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ES" sheetId="1" r:id="rId5"/>
    <sheet state="visible" name="LOAN BALANCES" sheetId="2" r:id="rId6"/>
    <sheet state="visible" name="INVESTMENT" sheetId="3" r:id="rId7"/>
    <sheet state="visible" name="INSURANCE" sheetId="4" r:id="rId8"/>
    <sheet state="visible" name="SHAREOUT" sheetId="5" r:id="rId9"/>
    <sheet state="visible" name="Bank" sheetId="6" r:id="rId10"/>
  </sheets>
  <definedNames/>
  <calcPr/>
</workbook>
</file>

<file path=xl/sharedStrings.xml><?xml version="1.0" encoding="utf-8"?>
<sst xmlns="http://schemas.openxmlformats.org/spreadsheetml/2006/main" count="2149" uniqueCount="124">
  <si>
    <t>http://villagebankapplication.test/login</t>
  </si>
  <si>
    <t>INVESTMENT</t>
  </si>
  <si>
    <t>INSURANCE</t>
  </si>
  <si>
    <t>SHARES</t>
  </si>
  <si>
    <t>LOAN REPAYMENT</t>
  </si>
  <si>
    <t>TOTAL BORROWED</t>
  </si>
  <si>
    <t>MAX BORROW</t>
  </si>
  <si>
    <t>NAMES</t>
  </si>
  <si>
    <t>NUMBER</t>
  </si>
  <si>
    <t>INVESTED</t>
  </si>
  <si>
    <t>LOAN REP</t>
  </si>
  <si>
    <t xml:space="preserve">TOTAL </t>
  </si>
  <si>
    <t>INS-SHARE</t>
  </si>
  <si>
    <t>LOAN</t>
  </si>
  <si>
    <t>LOAN AP</t>
  </si>
  <si>
    <t>TOTAL</t>
  </si>
  <si>
    <t>TOTAL AMOUNT</t>
  </si>
  <si>
    <t>INS-SHARES</t>
  </si>
  <si>
    <t>shubart Nyimbili</t>
  </si>
  <si>
    <t>Peter Njovu</t>
  </si>
  <si>
    <t>Jailos Daka</t>
  </si>
  <si>
    <t>Gabriel nyimbili</t>
  </si>
  <si>
    <t>Daniel Banda</t>
  </si>
  <si>
    <t>Faides Nyimbili</t>
  </si>
  <si>
    <t>Clera Mashonga</t>
  </si>
  <si>
    <t>Maureen Daka</t>
  </si>
  <si>
    <t>Lesa Chisanga</t>
  </si>
  <si>
    <t>Michelle Nangandu</t>
  </si>
  <si>
    <t>Rosemary Kalikoga</t>
  </si>
  <si>
    <t>Osward</t>
  </si>
  <si>
    <t>VILLAGE BANK 2025</t>
  </si>
  <si>
    <t>LOAN TRANSACTIONS</t>
  </si>
  <si>
    <t>APRIL</t>
  </si>
  <si>
    <t>FEBRUARY</t>
  </si>
  <si>
    <t>MARCH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</si>
  <si>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</si>
  <si>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</si>
  <si>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</si>
  <si>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</si>
  <si>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</si>
  <si>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</si>
  <si>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</si>
  <si>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</si>
  <si>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</si>
  <si>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Member ID</t>
  </si>
  <si>
    <t>Opening Loan Balance</t>
  </si>
  <si>
    <t>Loan repayment</t>
  </si>
  <si>
    <t>Loan Application</t>
  </si>
  <si>
    <t>Interest 5%</t>
  </si>
  <si>
    <t>Interest 10%</t>
  </si>
  <si>
    <t>Penalty</t>
  </si>
  <si>
    <t>Closing Loan Balance</t>
  </si>
  <si>
    <t>Credit Limit</t>
  </si>
  <si>
    <t>Penalt</t>
  </si>
  <si>
    <t>Forced
 Loan</t>
  </si>
  <si>
    <t xml:space="preserve"> </t>
  </si>
  <si>
    <t>Gabriel Nyimbili</t>
  </si>
  <si>
    <t>SHUBART N</t>
  </si>
  <si>
    <t>PETER</t>
  </si>
  <si>
    <t>JAILOS D</t>
  </si>
  <si>
    <t>GABRIEL N</t>
  </si>
  <si>
    <t>DANIEL B</t>
  </si>
  <si>
    <t>FAIDES N</t>
  </si>
  <si>
    <t>CLARA M</t>
  </si>
  <si>
    <t>MAUREEN L</t>
  </si>
  <si>
    <t>LESA</t>
  </si>
  <si>
    <t>NANGANDU M</t>
  </si>
  <si>
    <t>ROSEMARY K</t>
  </si>
  <si>
    <t>OSWARD N</t>
  </si>
  <si>
    <t>Vbank24</t>
  </si>
  <si>
    <t>Interest</t>
  </si>
  <si>
    <t>total shares invested</t>
  </si>
  <si>
    <t>Total Amount of Shares</t>
  </si>
  <si>
    <t>USER</t>
  </si>
  <si>
    <t>Return of Investment</t>
  </si>
  <si>
    <t>R of Insurance</t>
  </si>
  <si>
    <t>INS</t>
  </si>
  <si>
    <t>Insurance</t>
  </si>
  <si>
    <t>SHARE</t>
  </si>
  <si>
    <t>SHAREOUT</t>
  </si>
  <si>
    <t>loan</t>
  </si>
  <si>
    <t>NET</t>
  </si>
  <si>
    <t>Net Shareout</t>
  </si>
  <si>
    <t>loans</t>
  </si>
  <si>
    <t>Shubart</t>
  </si>
  <si>
    <t>Peter</t>
  </si>
  <si>
    <t>Jailos</t>
  </si>
  <si>
    <t>Gabriel</t>
  </si>
  <si>
    <t>Daniel</t>
  </si>
  <si>
    <t>Faides</t>
  </si>
  <si>
    <t>Clera</t>
  </si>
  <si>
    <t>Maureen</t>
  </si>
  <si>
    <t>Lesa</t>
  </si>
  <si>
    <t>Michelle</t>
  </si>
  <si>
    <t>Rosemary</t>
  </si>
  <si>
    <t>sout</t>
  </si>
  <si>
    <t>BALANCE</t>
  </si>
  <si>
    <t>NAME</t>
  </si>
  <si>
    <t>PROFIT ON INVESTMENT</t>
  </si>
  <si>
    <t>RETURN ON INSURANCE</t>
  </si>
  <si>
    <t>NET  SHARE OUT</t>
  </si>
  <si>
    <t>ACTION</t>
  </si>
  <si>
    <t>f</t>
  </si>
  <si>
    <t>Pay back</t>
  </si>
  <si>
    <t>j</t>
  </si>
  <si>
    <t>Receiving</t>
  </si>
  <si>
    <t>n</t>
  </si>
  <si>
    <t>r</t>
  </si>
  <si>
    <t>v</t>
  </si>
  <si>
    <t>z</t>
  </si>
  <si>
    <t>ad</t>
  </si>
  <si>
    <t>ah</t>
  </si>
  <si>
    <t>al</t>
  </si>
  <si>
    <t>ap</t>
  </si>
  <si>
    <t>at</t>
  </si>
  <si>
    <t>ax</t>
  </si>
  <si>
    <t>bank</t>
  </si>
  <si>
    <t>payback</t>
  </si>
  <si>
    <t>payout</t>
  </si>
  <si>
    <t>balance</t>
  </si>
  <si>
    <t>November</t>
  </si>
  <si>
    <t>December</t>
  </si>
  <si>
    <t>January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</si>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</sst>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_(* #,##0.00_);_(* \(#,##0.00\);_(* &quot;-&quot;??_);_(@_)"/>
    <numFmt numFmtId="166" formatCode="#,##0.00;[Red]#,##0.00"/>
  </numFmts>
  <fonts count="22">
    <font>
      <sz val="11.0"/>
      <color theme="1"/>
      <name val="Calibri"/>
      <scheme val="minor"/>
    </font>
    <font>
      <sz val="11.0"/>
      <color theme="1"/>
      <name val="Calibri"/>
    </font>
    <font>
      <b/>
      <u/>
      <sz val="11.0"/>
      <color theme="1"/>
      <name val="Calibri"/>
    </font>
    <font/>
    <font>
      <b/>
      <sz val="11.0"/>
      <color theme="1"/>
      <name val="Calibri"/>
    </font>
    <font>
      <b/>
      <sz val="11.0"/>
      <color rgb="FFD0CECE"/>
      <name val="Calibri"/>
    </font>
    <font>
      <b/>
      <sz val="16.0"/>
      <color theme="0"/>
      <name val="Calibri"/>
    </font>
    <font>
      <b/>
      <sz val="12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b/>
      <sz val="11.0"/>
      <color theme="0"/>
      <name val="Calibri"/>
    </font>
    <font>
      <b/>
      <sz val="12.0"/>
      <color theme="0"/>
      <name val="Calibri"/>
    </font>
    <font>
      <sz val="14.0"/>
      <color theme="1"/>
      <name val="Calibri"/>
    </font>
    <font>
      <sz val="10.0"/>
      <color theme="1"/>
      <name val="Trebuchet MS"/>
    </font>
    <font>
      <sz val="11.0"/>
      <color rgb="FF000000"/>
      <name val="Calibri"/>
    </font>
    <font>
      <b/>
      <sz val="14.0"/>
      <color theme="1"/>
      <name val="Calibri"/>
    </font>
    <font>
      <b/>
      <sz val="11.0"/>
      <color rgb="FF000000"/>
      <name val="Calibri"/>
    </font>
    <font>
      <b/>
      <sz val="10.0"/>
      <color theme="1"/>
      <name val="Trebuchet MS"/>
    </font>
    <font>
      <b/>
      <sz val="8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color theme="1"/>
      <name val="Calibri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92D050"/>
        <bgColor rgb="FF92D050"/>
      </patternFill>
    </fill>
    <fill>
      <patternFill patternType="solid">
        <fgColor rgb="FFF7CAAC"/>
        <bgColor rgb="FFF7CAAC"/>
      </patternFill>
    </fill>
    <fill>
      <patternFill patternType="solid">
        <fgColor rgb="FFFFC000"/>
        <bgColor rgb="FFFFC000"/>
      </patternFill>
    </fill>
    <fill>
      <patternFill patternType="solid">
        <fgColor rgb="FF8EAADB"/>
        <bgColor rgb="FF8EAADB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theme="1"/>
        <bgColor theme="1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A5A5A5"/>
        <bgColor rgb="FFA5A5A5"/>
      </patternFill>
    </fill>
    <fill>
      <patternFill patternType="solid">
        <fgColor rgb="FFFFD965"/>
        <bgColor rgb="FFFFD965"/>
      </patternFill>
    </fill>
    <fill>
      <patternFill patternType="solid">
        <fgColor rgb="FF2F5496"/>
        <bgColor rgb="FF2F5496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</fills>
  <borders count="6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lef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6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1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3" fontId="4" numFmtId="17" xfId="0" applyAlignment="1" applyBorder="1" applyFill="1" applyFont="1" applyNumberFormat="1">
      <alignment horizontal="center"/>
    </xf>
    <xf borderId="1" fillId="4" fontId="4" numFmtId="17" xfId="0" applyAlignment="1" applyBorder="1" applyFill="1" applyFont="1" applyNumberFormat="1">
      <alignment horizontal="center"/>
    </xf>
    <xf borderId="1" fillId="5" fontId="4" numFmtId="17" xfId="0" applyAlignment="1" applyBorder="1" applyFill="1" applyFont="1" applyNumberFormat="1">
      <alignment horizontal="center"/>
    </xf>
    <xf borderId="1" fillId="6" fontId="4" numFmtId="17" xfId="0" applyAlignment="1" applyBorder="1" applyFill="1" applyFont="1" applyNumberFormat="1">
      <alignment horizontal="center"/>
    </xf>
    <xf borderId="5" fillId="2" fontId="4" numFmtId="17" xfId="0" applyAlignment="1" applyBorder="1" applyFont="1" applyNumberFormat="1">
      <alignment horizontal="center"/>
    </xf>
    <xf borderId="6" fillId="0" fontId="3" numFmtId="0" xfId="0" applyBorder="1" applyFont="1"/>
    <xf borderId="7" fillId="2" fontId="4" numFmtId="17" xfId="0" applyAlignment="1" applyBorder="1" applyFont="1" applyNumberFormat="1">
      <alignment horizontal="center"/>
    </xf>
    <xf borderId="7" fillId="6" fontId="4" numFmtId="17" xfId="0" applyAlignment="1" applyBorder="1" applyFont="1" applyNumberFormat="1">
      <alignment horizontal="center"/>
    </xf>
    <xf borderId="1" fillId="7" fontId="4" numFmtId="17" xfId="0" applyAlignment="1" applyBorder="1" applyFill="1" applyFont="1" applyNumberFormat="1">
      <alignment horizontal="center"/>
    </xf>
    <xf borderId="2" fillId="8" fontId="4" numFmtId="0" xfId="0" applyBorder="1" applyFill="1" applyFont="1"/>
    <xf borderId="8" fillId="9" fontId="4" numFmtId="0" xfId="0" applyBorder="1" applyFill="1" applyFont="1"/>
    <xf borderId="8" fillId="10" fontId="4" numFmtId="0" xfId="0" applyBorder="1" applyFill="1" applyFont="1"/>
    <xf borderId="7" fillId="11" fontId="4" numFmtId="0" xfId="0" applyBorder="1" applyFill="1" applyFont="1"/>
    <xf borderId="7" fillId="12" fontId="4" numFmtId="0" xfId="0" applyBorder="1" applyFill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3" fillId="0" fontId="4" numFmtId="0" xfId="0" applyAlignment="1" applyBorder="1" applyFont="1">
      <alignment readingOrder="0"/>
    </xf>
    <xf borderId="14" fillId="0" fontId="4" numFmtId="0" xfId="0" applyBorder="1" applyFont="1"/>
    <xf borderId="15" fillId="8" fontId="4" numFmtId="0" xfId="0" applyBorder="1" applyFont="1"/>
    <xf borderId="16" fillId="9" fontId="4" numFmtId="0" xfId="0" applyBorder="1" applyFont="1"/>
    <xf borderId="17" fillId="9" fontId="4" numFmtId="0" xfId="0" applyBorder="1" applyFont="1"/>
    <xf borderId="17" fillId="10" fontId="4" numFmtId="0" xfId="0" applyBorder="1" applyFont="1"/>
    <xf borderId="18" fillId="11" fontId="4" numFmtId="0" xfId="0" applyBorder="1" applyFont="1"/>
    <xf borderId="19" fillId="12" fontId="4" numFmtId="0" xfId="0" applyBorder="1" applyFont="1"/>
    <xf borderId="16" fillId="12" fontId="4" numFmtId="0" xfId="0" applyBorder="1" applyFont="1"/>
    <xf borderId="20" fillId="13" fontId="5" numFmtId="0" xfId="0" applyBorder="1" applyFill="1" applyFont="1"/>
    <xf borderId="21" fillId="0" fontId="1" numFmtId="0" xfId="0" applyBorder="1" applyFont="1"/>
    <xf borderId="22" fillId="0" fontId="1" numFmtId="0" xfId="0" applyBorder="1" applyFont="1"/>
    <xf borderId="23" fillId="0" fontId="1" numFmtId="0" xfId="0" applyBorder="1" applyFont="1"/>
    <xf borderId="23" fillId="0" fontId="1" numFmtId="0" xfId="0" applyAlignment="1" applyBorder="1" applyFont="1">
      <alignment readingOrder="0"/>
    </xf>
    <xf borderId="24" fillId="0" fontId="1" numFmtId="0" xfId="0" applyBorder="1" applyFont="1"/>
    <xf borderId="22" fillId="0" fontId="1" numFmtId="0" xfId="0" applyAlignment="1" applyBorder="1" applyFont="1">
      <alignment readingOrder="0"/>
    </xf>
    <xf borderId="25" fillId="0" fontId="1" numFmtId="0" xfId="0" applyBorder="1" applyFont="1"/>
    <xf borderId="24" fillId="0" fontId="1" numFmtId="0" xfId="0" applyAlignment="1" applyBorder="1" applyFont="1">
      <alignment readingOrder="0"/>
    </xf>
    <xf borderId="21" fillId="8" fontId="4" numFmtId="0" xfId="0" applyBorder="1" applyFont="1"/>
    <xf borderId="26" fillId="9" fontId="4" numFmtId="0" xfId="0" applyBorder="1" applyFont="1"/>
    <xf borderId="23" fillId="9" fontId="4" numFmtId="0" xfId="0" applyBorder="1" applyFont="1"/>
    <xf borderId="23" fillId="10" fontId="4" numFmtId="0" xfId="0" applyBorder="1" applyFont="1"/>
    <xf borderId="27" fillId="11" fontId="4" numFmtId="0" xfId="0" applyBorder="1" applyFont="1"/>
    <xf borderId="21" fillId="12" fontId="4" numFmtId="0" xfId="0" applyBorder="1" applyFont="1"/>
    <xf borderId="26" fillId="12" fontId="4" numFmtId="0" xfId="0" applyBorder="1" applyFont="1"/>
    <xf borderId="20" fillId="14" fontId="4" numFmtId="0" xfId="0" applyAlignment="1" applyBorder="1" applyFill="1" applyFont="1">
      <alignment readingOrder="0"/>
    </xf>
    <xf borderId="21" fillId="14" fontId="1" numFmtId="0" xfId="0" applyBorder="1" applyFont="1"/>
    <xf borderId="22" fillId="14" fontId="1" numFmtId="0" xfId="0" applyAlignment="1" applyBorder="1" applyFont="1">
      <alignment readingOrder="0"/>
    </xf>
    <xf borderId="23" fillId="14" fontId="1" numFmtId="0" xfId="0" applyAlignment="1" applyBorder="1" applyFont="1">
      <alignment readingOrder="0"/>
    </xf>
    <xf borderId="23" fillId="14" fontId="1" numFmtId="0" xfId="0" applyBorder="1" applyFont="1"/>
    <xf borderId="24" fillId="14" fontId="1" numFmtId="0" xfId="0" applyBorder="1" applyFont="1"/>
    <xf borderId="25" fillId="14" fontId="1" numFmtId="0" xfId="0" applyAlignment="1" applyBorder="1" applyFont="1">
      <alignment readingOrder="0"/>
    </xf>
    <xf borderId="22" fillId="14" fontId="1" numFmtId="0" xfId="0" applyBorder="1" applyFont="1"/>
    <xf borderId="21" fillId="14" fontId="4" numFmtId="0" xfId="0" applyBorder="1" applyFont="1"/>
    <xf borderId="26" fillId="14" fontId="4" numFmtId="0" xfId="0" applyBorder="1" applyFont="1"/>
    <xf borderId="23" fillId="14" fontId="4" numFmtId="0" xfId="0" applyBorder="1" applyFont="1"/>
    <xf borderId="27" fillId="14" fontId="4" numFmtId="0" xfId="0" applyBorder="1" applyFont="1"/>
    <xf borderId="20" fillId="15" fontId="4" numFmtId="0" xfId="0" applyBorder="1" applyFill="1" applyFont="1"/>
    <xf borderId="21" fillId="15" fontId="1" numFmtId="0" xfId="0" applyBorder="1" applyFont="1"/>
    <xf borderId="22" fillId="15" fontId="1" numFmtId="0" xfId="0" applyAlignment="1" applyBorder="1" applyFont="1">
      <alignment readingOrder="0"/>
    </xf>
    <xf borderId="23" fillId="15" fontId="1" numFmtId="0" xfId="0" applyAlignment="1" applyBorder="1" applyFont="1">
      <alignment readingOrder="0"/>
    </xf>
    <xf borderId="23" fillId="15" fontId="1" numFmtId="0" xfId="0" applyBorder="1" applyFont="1"/>
    <xf borderId="24" fillId="15" fontId="1" numFmtId="0" xfId="0" applyBorder="1" applyFont="1"/>
    <xf borderId="24" fillId="15" fontId="1" numFmtId="0" xfId="0" applyAlignment="1" applyBorder="1" applyFont="1">
      <alignment readingOrder="0"/>
    </xf>
    <xf borderId="25" fillId="15" fontId="1" numFmtId="0" xfId="0" applyAlignment="1" applyBorder="1" applyFont="1">
      <alignment readingOrder="0"/>
    </xf>
    <xf borderId="22" fillId="15" fontId="1" numFmtId="0" xfId="0" applyBorder="1" applyFont="1"/>
    <xf borderId="21" fillId="15" fontId="4" numFmtId="0" xfId="0" applyBorder="1" applyFont="1"/>
    <xf borderId="26" fillId="15" fontId="4" numFmtId="0" xfId="0" applyBorder="1" applyFont="1"/>
    <xf borderId="23" fillId="15" fontId="4" numFmtId="0" xfId="0" applyBorder="1" applyFont="1"/>
    <xf borderId="27" fillId="15" fontId="4" numFmtId="0" xfId="0" applyBorder="1" applyFont="1"/>
    <xf borderId="20" fillId="16" fontId="4" numFmtId="0" xfId="0" applyBorder="1" applyFill="1" applyFont="1"/>
    <xf borderId="21" fillId="16" fontId="1" numFmtId="0" xfId="0" applyBorder="1" applyFont="1"/>
    <xf borderId="22" fillId="16" fontId="1" numFmtId="0" xfId="0" applyAlignment="1" applyBorder="1" applyFont="1">
      <alignment readingOrder="0"/>
    </xf>
    <xf borderId="23" fillId="16" fontId="1" numFmtId="0" xfId="0" applyAlignment="1" applyBorder="1" applyFont="1">
      <alignment readingOrder="0"/>
    </xf>
    <xf borderId="23" fillId="16" fontId="1" numFmtId="0" xfId="0" applyBorder="1" applyFont="1"/>
    <xf borderId="24" fillId="16" fontId="1" numFmtId="0" xfId="0" applyBorder="1" applyFont="1"/>
    <xf borderId="24" fillId="16" fontId="1" numFmtId="0" xfId="0" applyAlignment="1" applyBorder="1" applyFont="1">
      <alignment readingOrder="0"/>
    </xf>
    <xf borderId="25" fillId="16" fontId="1" numFmtId="0" xfId="0" applyAlignment="1" applyBorder="1" applyFont="1">
      <alignment readingOrder="0"/>
    </xf>
    <xf borderId="22" fillId="16" fontId="1" numFmtId="0" xfId="0" applyBorder="1" applyFont="1"/>
    <xf borderId="21" fillId="16" fontId="4" numFmtId="0" xfId="0" applyBorder="1" applyFont="1"/>
    <xf borderId="26" fillId="16" fontId="4" numFmtId="0" xfId="0" applyBorder="1" applyFont="1"/>
    <xf borderId="23" fillId="16" fontId="4" numFmtId="0" xfId="0" applyBorder="1" applyFont="1"/>
    <xf borderId="27" fillId="16" fontId="4" numFmtId="0" xfId="0" applyBorder="1" applyFont="1"/>
    <xf borderId="28" fillId="0" fontId="4" numFmtId="0" xfId="0" applyBorder="1" applyFont="1"/>
    <xf borderId="25" fillId="0" fontId="1" numFmtId="0" xfId="0" applyAlignment="1" applyBorder="1" applyFont="1">
      <alignment readingOrder="0"/>
    </xf>
    <xf borderId="20" fillId="17" fontId="4" numFmtId="0" xfId="0" applyBorder="1" applyFill="1" applyFont="1"/>
    <xf borderId="21" fillId="17" fontId="1" numFmtId="0" xfId="0" applyBorder="1" applyFont="1"/>
    <xf borderId="22" fillId="17" fontId="1" numFmtId="0" xfId="0" applyAlignment="1" applyBorder="1" applyFont="1">
      <alignment readingOrder="0"/>
    </xf>
    <xf borderId="23" fillId="17" fontId="1" numFmtId="0" xfId="0" applyAlignment="1" applyBorder="1" applyFont="1">
      <alignment readingOrder="0"/>
    </xf>
    <xf borderId="23" fillId="17" fontId="1" numFmtId="0" xfId="0" applyBorder="1" applyFont="1"/>
    <xf borderId="24" fillId="17" fontId="1" numFmtId="0" xfId="0" applyAlignment="1" applyBorder="1" applyFont="1">
      <alignment readingOrder="0"/>
    </xf>
    <xf borderId="24" fillId="17" fontId="1" numFmtId="0" xfId="0" applyBorder="1" applyFont="1"/>
    <xf borderId="25" fillId="17" fontId="1" numFmtId="0" xfId="0" applyBorder="1" applyFont="1"/>
    <xf borderId="22" fillId="17" fontId="1" numFmtId="0" xfId="0" applyBorder="1" applyFont="1"/>
    <xf borderId="21" fillId="17" fontId="4" numFmtId="0" xfId="0" applyBorder="1" applyFont="1"/>
    <xf borderId="26" fillId="17" fontId="4" numFmtId="0" xfId="0" applyBorder="1" applyFont="1"/>
    <xf borderId="23" fillId="17" fontId="4" numFmtId="0" xfId="0" applyBorder="1" applyFont="1"/>
    <xf borderId="27" fillId="17" fontId="4" numFmtId="0" xfId="0" applyBorder="1" applyFont="1"/>
    <xf borderId="20" fillId="18" fontId="4" numFmtId="0" xfId="0" applyBorder="1" applyFill="1" applyFont="1"/>
    <xf borderId="21" fillId="18" fontId="1" numFmtId="0" xfId="0" applyBorder="1" applyFont="1"/>
    <xf borderId="22" fillId="18" fontId="1" numFmtId="0" xfId="0" applyAlignment="1" applyBorder="1" applyFont="1">
      <alignment readingOrder="0"/>
    </xf>
    <xf borderId="23" fillId="18" fontId="1" numFmtId="0" xfId="0" applyAlignment="1" applyBorder="1" applyFont="1">
      <alignment readingOrder="0"/>
    </xf>
    <xf borderId="23" fillId="18" fontId="1" numFmtId="0" xfId="0" applyBorder="1" applyFont="1"/>
    <xf borderId="24" fillId="18" fontId="1" numFmtId="0" xfId="0" applyBorder="1" applyFont="1"/>
    <xf borderId="24" fillId="18" fontId="1" numFmtId="0" xfId="0" applyAlignment="1" applyBorder="1" applyFont="1">
      <alignment readingOrder="0"/>
    </xf>
    <xf borderId="25" fillId="18" fontId="1" numFmtId="0" xfId="0" applyBorder="1" applyFont="1"/>
    <xf borderId="22" fillId="18" fontId="1" numFmtId="0" xfId="0" applyBorder="1" applyFont="1"/>
    <xf borderId="21" fillId="18" fontId="4" numFmtId="0" xfId="0" applyBorder="1" applyFont="1"/>
    <xf borderId="26" fillId="18" fontId="4" numFmtId="0" xfId="0" applyBorder="1" applyFont="1"/>
    <xf borderId="23" fillId="18" fontId="4" numFmtId="0" xfId="0" applyBorder="1" applyFont="1"/>
    <xf borderId="27" fillId="18" fontId="4" numFmtId="0" xfId="0" applyBorder="1" applyFont="1"/>
    <xf borderId="20" fillId="19" fontId="4" numFmtId="0" xfId="0" applyAlignment="1" applyBorder="1" applyFill="1" applyFont="1">
      <alignment readingOrder="0"/>
    </xf>
    <xf borderId="21" fillId="19" fontId="1" numFmtId="0" xfId="0" applyBorder="1" applyFont="1"/>
    <xf borderId="22" fillId="19" fontId="1" numFmtId="0" xfId="0" applyAlignment="1" applyBorder="1" applyFont="1">
      <alignment readingOrder="0"/>
    </xf>
    <xf borderId="23" fillId="19" fontId="1" numFmtId="0" xfId="0" applyAlignment="1" applyBorder="1" applyFont="1">
      <alignment readingOrder="0"/>
    </xf>
    <xf borderId="23" fillId="19" fontId="1" numFmtId="0" xfId="0" applyBorder="1" applyFont="1"/>
    <xf borderId="24" fillId="19" fontId="1" numFmtId="0" xfId="0" applyBorder="1" applyFont="1"/>
    <xf borderId="24" fillId="19" fontId="1" numFmtId="0" xfId="0" applyAlignment="1" applyBorder="1" applyFont="1">
      <alignment readingOrder="0"/>
    </xf>
    <xf borderId="22" fillId="19" fontId="1" numFmtId="0" xfId="0" applyBorder="1" applyFont="1"/>
    <xf borderId="25" fillId="19" fontId="1" numFmtId="0" xfId="0" applyBorder="1" applyFont="1"/>
    <xf borderId="21" fillId="19" fontId="4" numFmtId="0" xfId="0" applyBorder="1" applyFont="1"/>
    <xf borderId="26" fillId="19" fontId="4" numFmtId="0" xfId="0" applyBorder="1" applyFont="1"/>
    <xf borderId="23" fillId="19" fontId="4" numFmtId="0" xfId="0" applyBorder="1" applyFont="1"/>
    <xf borderId="27" fillId="19" fontId="4" numFmtId="0" xfId="0" applyBorder="1" applyFont="1"/>
    <xf borderId="28" fillId="11" fontId="4" numFmtId="0" xfId="0" applyAlignment="1" applyBorder="1" applyFont="1">
      <alignment readingOrder="0"/>
    </xf>
    <xf borderId="21" fillId="11" fontId="1" numFmtId="0" xfId="0" applyBorder="1" applyFont="1"/>
    <xf borderId="22" fillId="11" fontId="1" numFmtId="0" xfId="0" applyAlignment="1" applyBorder="1" applyFont="1">
      <alignment readingOrder="0"/>
    </xf>
    <xf borderId="23" fillId="11" fontId="1" numFmtId="0" xfId="0" applyAlignment="1" applyBorder="1" applyFont="1">
      <alignment readingOrder="0"/>
    </xf>
    <xf borderId="23" fillId="11" fontId="1" numFmtId="0" xfId="0" applyBorder="1" applyFont="1"/>
    <xf borderId="24" fillId="11" fontId="1" numFmtId="0" xfId="0" applyBorder="1" applyFont="1"/>
    <xf borderId="24" fillId="11" fontId="1" numFmtId="0" xfId="0" applyAlignment="1" applyBorder="1" applyFont="1">
      <alignment readingOrder="0"/>
    </xf>
    <xf borderId="25" fillId="11" fontId="1" numFmtId="0" xfId="0" applyAlignment="1" applyBorder="1" applyFont="1">
      <alignment readingOrder="0"/>
    </xf>
    <xf borderId="22" fillId="11" fontId="1" numFmtId="0" xfId="0" applyBorder="1" applyFont="1"/>
    <xf borderId="21" fillId="11" fontId="4" numFmtId="0" xfId="0" applyBorder="1" applyFont="1"/>
    <xf borderId="26" fillId="11" fontId="4" numFmtId="0" xfId="0" applyBorder="1" applyFont="1"/>
    <xf borderId="23" fillId="11" fontId="4" numFmtId="0" xfId="0" applyBorder="1" applyFont="1"/>
    <xf borderId="20" fillId="19" fontId="4" numFmtId="0" xfId="0" applyBorder="1" applyFont="1"/>
    <xf borderId="28" fillId="2" fontId="4" numFmtId="0" xfId="0" applyAlignment="1" applyBorder="1" applyFont="1">
      <alignment readingOrder="0"/>
    </xf>
    <xf borderId="21" fillId="2" fontId="1" numFmtId="0" xfId="0" applyAlignment="1" applyBorder="1" applyFont="1">
      <alignment readingOrder="0"/>
    </xf>
    <xf borderId="22" fillId="2" fontId="1" numFmtId="0" xfId="0" applyAlignment="1" applyBorder="1" applyFont="1">
      <alignment readingOrder="0"/>
    </xf>
    <xf borderId="23" fillId="2" fontId="1" numFmtId="0" xfId="0" applyAlignment="1" applyBorder="1" applyFont="1">
      <alignment readingOrder="0"/>
    </xf>
    <xf borderId="23" fillId="2" fontId="1" numFmtId="0" xfId="0" applyBorder="1" applyFont="1"/>
    <xf borderId="24" fillId="2" fontId="1" numFmtId="0" xfId="0" applyBorder="1" applyFont="1"/>
    <xf borderId="24" fillId="2" fontId="1" numFmtId="0" xfId="0" applyAlignment="1" applyBorder="1" applyFont="1">
      <alignment readingOrder="0"/>
    </xf>
    <xf borderId="25" fillId="2" fontId="1" numFmtId="0" xfId="0" applyBorder="1" applyFont="1"/>
    <xf borderId="22" fillId="2" fontId="1" numFmtId="0" xfId="0" applyBorder="1" applyFont="1"/>
    <xf borderId="21" fillId="2" fontId="4" numFmtId="0" xfId="0" applyBorder="1" applyFont="1"/>
    <xf borderId="26" fillId="2" fontId="4" numFmtId="0" xfId="0" applyBorder="1" applyFont="1"/>
    <xf borderId="23" fillId="2" fontId="4" numFmtId="0" xfId="0" applyBorder="1" applyFont="1"/>
    <xf borderId="27" fillId="2" fontId="4" numFmtId="0" xfId="0" applyBorder="1" applyFont="1"/>
    <xf borderId="29" fillId="0" fontId="4" numFmtId="0" xfId="0" applyAlignment="1" applyBorder="1" applyFont="1">
      <alignment readingOrder="0"/>
    </xf>
    <xf borderId="30" fillId="0" fontId="1" numFmtId="0" xfId="0" applyAlignment="1" applyBorder="1" applyFont="1">
      <alignment readingOrder="0"/>
    </xf>
    <xf borderId="31" fillId="0" fontId="1" numFmtId="0" xfId="0" applyBorder="1" applyFont="1"/>
    <xf borderId="32" fillId="0" fontId="1" numFmtId="0" xfId="0" applyBorder="1" applyFont="1"/>
    <xf borderId="33" fillId="0" fontId="1" numFmtId="0" xfId="0" applyBorder="1" applyFont="1"/>
    <xf borderId="33" fillId="0" fontId="1" numFmtId="0" xfId="0" applyAlignment="1" applyBorder="1" applyFont="1">
      <alignment readingOrder="0"/>
    </xf>
    <xf borderId="34" fillId="0" fontId="1" numFmtId="0" xfId="0" applyBorder="1" applyFont="1"/>
    <xf borderId="31" fillId="0" fontId="1" numFmtId="0" xfId="0" applyAlignment="1" applyBorder="1" applyFont="1">
      <alignment readingOrder="0"/>
    </xf>
    <xf borderId="32" fillId="0" fontId="1" numFmtId="0" xfId="0" applyAlignment="1" applyBorder="1" applyFont="1">
      <alignment readingOrder="0"/>
    </xf>
    <xf borderId="35" fillId="8" fontId="4" numFmtId="0" xfId="0" applyBorder="1" applyFont="1"/>
    <xf borderId="36" fillId="9" fontId="4" numFmtId="0" xfId="0" applyBorder="1" applyFont="1"/>
    <xf borderId="37" fillId="9" fontId="4" numFmtId="0" xfId="0" applyBorder="1" applyFont="1"/>
    <xf borderId="37" fillId="10" fontId="4" numFmtId="0" xfId="0" applyBorder="1" applyFont="1"/>
    <xf borderId="38" fillId="11" fontId="4" numFmtId="0" xfId="0" applyBorder="1" applyFont="1"/>
    <xf borderId="36" fillId="12" fontId="4" numFmtId="0" xfId="0" applyBorder="1" applyFont="1"/>
    <xf borderId="1" fillId="0" fontId="4" numFmtId="0" xfId="0" applyBorder="1" applyFont="1"/>
    <xf borderId="2" fillId="0" fontId="4" numFmtId="0" xfId="0" applyBorder="1" applyFont="1"/>
    <xf borderId="39" fillId="0" fontId="4" numFmtId="0" xfId="0" applyBorder="1" applyFont="1"/>
    <xf borderId="40" fillId="0" fontId="4" numFmtId="0" xfId="0" applyBorder="1" applyFont="1"/>
    <xf borderId="40" fillId="0" fontId="1" numFmtId="0" xfId="0" applyBorder="1" applyFont="1"/>
    <xf borderId="41" fillId="0" fontId="4" numFmtId="0" xfId="0" applyBorder="1" applyFont="1"/>
    <xf borderId="42" fillId="0" fontId="4" numFmtId="0" xfId="0" applyBorder="1" applyFont="1"/>
    <xf borderId="43" fillId="9" fontId="4" numFmtId="0" xfId="0" applyBorder="1" applyFont="1"/>
    <xf borderId="40" fillId="9" fontId="4" numFmtId="0" xfId="0" applyBorder="1" applyFont="1"/>
    <xf borderId="40" fillId="10" fontId="4" numFmtId="0" xfId="0" applyBorder="1" applyFont="1"/>
    <xf borderId="44" fillId="11" fontId="4" numFmtId="0" xfId="0" applyBorder="1" applyFont="1"/>
    <xf borderId="0" fillId="0" fontId="4" numFmtId="0" xfId="0" applyFont="1"/>
    <xf borderId="45" fillId="0" fontId="1" numFmtId="0" xfId="0" applyBorder="1" applyFont="1"/>
    <xf borderId="46" fillId="20" fontId="6" numFmtId="0" xfId="0" applyBorder="1" applyFill="1" applyFont="1"/>
    <xf borderId="22" fillId="0" fontId="4" numFmtId="0" xfId="0" applyAlignment="1" applyBorder="1" applyFont="1">
      <alignment shrinkToFit="0" wrapText="1"/>
    </xf>
    <xf borderId="46" fillId="21" fontId="7" numFmtId="0" xfId="0" applyBorder="1" applyFill="1" applyFont="1"/>
    <xf borderId="0" fillId="0" fontId="8" numFmtId="0" xfId="0" applyFont="1"/>
    <xf borderId="22" fillId="0" fontId="4" numFmtId="0" xfId="0" applyBorder="1" applyFont="1"/>
    <xf borderId="0" fillId="0" fontId="9" numFmtId="0" xfId="0" applyFont="1"/>
    <xf borderId="46" fillId="22" fontId="7" numFmtId="0" xfId="0" applyBorder="1" applyFill="1" applyFont="1"/>
    <xf borderId="47" fillId="22" fontId="7" numFmtId="164" xfId="0" applyAlignment="1" applyBorder="1" applyFont="1" applyNumberFormat="1">
      <alignment horizontal="center"/>
    </xf>
    <xf borderId="48" fillId="0" fontId="3" numFmtId="0" xfId="0" applyBorder="1" applyFont="1"/>
    <xf borderId="49" fillId="0" fontId="3" numFmtId="0" xfId="0" applyBorder="1" applyFont="1"/>
    <xf borderId="0" fillId="0" fontId="7" numFmtId="164" xfId="0" applyFont="1" applyNumberFormat="1"/>
    <xf borderId="0" fillId="0" fontId="1" numFmtId="164" xfId="0" applyFont="1" applyNumberFormat="1"/>
    <xf borderId="1" fillId="22" fontId="7" numFmtId="164" xfId="0" applyAlignment="1" applyBorder="1" applyFont="1" applyNumberFormat="1">
      <alignment horizontal="center"/>
    </xf>
    <xf borderId="47" fillId="9" fontId="7" numFmtId="164" xfId="0" applyAlignment="1" applyBorder="1" applyFont="1" applyNumberFormat="1">
      <alignment horizontal="center"/>
    </xf>
    <xf borderId="38" fillId="23" fontId="10" numFmtId="0" xfId="0" applyAlignment="1" applyBorder="1" applyFill="1" applyFont="1">
      <alignment shrinkToFit="0" vertical="center" wrapText="1"/>
    </xf>
    <xf borderId="50" fillId="23" fontId="10" numFmtId="10" xfId="0" applyAlignment="1" applyBorder="1" applyFont="1" applyNumberFormat="1">
      <alignment horizontal="center" shrinkToFit="0" vertical="center" wrapText="1"/>
    </xf>
    <xf borderId="51" fillId="23" fontId="11" numFmtId="0" xfId="0" applyAlignment="1" applyBorder="1" applyFont="1">
      <alignment horizontal="center" shrinkToFit="0" vertical="center" wrapText="1"/>
    </xf>
    <xf borderId="51" fillId="23" fontId="10" numFmtId="0" xfId="0" applyAlignment="1" applyBorder="1" applyFont="1">
      <alignment horizontal="center" shrinkToFit="0" vertical="center" wrapText="1"/>
    </xf>
    <xf borderId="51" fillId="23" fontId="10" numFmtId="10" xfId="0" applyAlignment="1" applyBorder="1" applyFont="1" applyNumberFormat="1">
      <alignment horizontal="center" shrinkToFit="0" vertical="center" wrapText="1"/>
    </xf>
    <xf borderId="52" fillId="24" fontId="4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53" fillId="23" fontId="11" numFmtId="0" xfId="0" applyAlignment="1" applyBorder="1" applyFont="1">
      <alignment horizontal="center" shrinkToFit="0" vertical="center" wrapText="1"/>
    </xf>
    <xf borderId="53" fillId="23" fontId="10" numFmtId="0" xfId="0" applyAlignment="1" applyBorder="1" applyFont="1">
      <alignment horizontal="center" shrinkToFit="0" vertical="center" wrapText="1"/>
    </xf>
    <xf borderId="53" fillId="23" fontId="10" numFmtId="10" xfId="0" applyAlignment="1" applyBorder="1" applyFont="1" applyNumberFormat="1">
      <alignment horizontal="center" shrinkToFit="0" vertical="center" wrapText="1"/>
    </xf>
    <xf borderId="54" fillId="24" fontId="4" numFmtId="0" xfId="0" applyAlignment="1" applyBorder="1" applyFont="1">
      <alignment horizontal="center" shrinkToFit="0" vertical="center" wrapText="1"/>
    </xf>
    <xf borderId="50" fillId="9" fontId="10" numFmtId="10" xfId="0" applyAlignment="1" applyBorder="1" applyFont="1" applyNumberFormat="1">
      <alignment horizontal="center" shrinkToFit="0" vertical="center" wrapText="1"/>
    </xf>
    <xf borderId="53" fillId="9" fontId="11" numFmtId="0" xfId="0" applyAlignment="1" applyBorder="1" applyFont="1">
      <alignment horizontal="center" shrinkToFit="0" vertical="center" wrapText="1"/>
    </xf>
    <xf borderId="53" fillId="9" fontId="10" numFmtId="0" xfId="0" applyAlignment="1" applyBorder="1" applyFont="1">
      <alignment horizontal="center" shrinkToFit="0" vertical="center" wrapText="1"/>
    </xf>
    <xf borderId="53" fillId="9" fontId="10" numFmtId="10" xfId="0" applyAlignment="1" applyBorder="1" applyFont="1" applyNumberFormat="1">
      <alignment horizontal="center" shrinkToFit="0" vertical="center" wrapText="1"/>
    </xf>
    <xf borderId="54" fillId="9" fontId="4" numFmtId="0" xfId="0" applyAlignment="1" applyBorder="1" applyFont="1">
      <alignment horizontal="center" shrinkToFit="0" vertical="center" wrapText="1"/>
    </xf>
    <xf borderId="23" fillId="0" fontId="12" numFmtId="0" xfId="0" applyBorder="1" applyFont="1"/>
    <xf borderId="12" fillId="0" fontId="13" numFmtId="165" xfId="0" applyAlignment="1" applyBorder="1" applyFont="1" applyNumberFormat="1">
      <alignment horizontal="right" readingOrder="0"/>
    </xf>
    <xf borderId="12" fillId="0" fontId="7" numFmtId="165" xfId="0" applyAlignment="1" applyBorder="1" applyFont="1" applyNumberFormat="1">
      <alignment horizontal="right"/>
    </xf>
    <xf borderId="12" fillId="0" fontId="1" numFmtId="165" xfId="0" applyAlignment="1" applyBorder="1" applyFont="1" applyNumberFormat="1">
      <alignment horizontal="right"/>
    </xf>
    <xf borderId="12" fillId="0" fontId="13" numFmtId="165" xfId="0" applyAlignment="1" applyBorder="1" applyFont="1" applyNumberFormat="1">
      <alignment horizontal="right"/>
    </xf>
    <xf borderId="55" fillId="24" fontId="9" numFmtId="165" xfId="0" applyAlignment="1" applyBorder="1" applyFont="1" applyNumberFormat="1">
      <alignment horizontal="right"/>
    </xf>
    <xf borderId="0" fillId="0" fontId="9" numFmtId="165" xfId="0" applyAlignment="1" applyFont="1" applyNumberFormat="1">
      <alignment horizontal="right"/>
    </xf>
    <xf borderId="11" fillId="0" fontId="13" numFmtId="165" xfId="0" applyAlignment="1" applyBorder="1" applyFont="1" applyNumberFormat="1">
      <alignment horizontal="right"/>
    </xf>
    <xf borderId="0" fillId="0" fontId="1" numFmtId="165" xfId="0" applyAlignment="1" applyFont="1" applyNumberFormat="1">
      <alignment horizontal="right"/>
    </xf>
    <xf borderId="12" fillId="0" fontId="7" numFmtId="165" xfId="0" applyAlignment="1" applyBorder="1" applyFont="1" applyNumberFormat="1">
      <alignment horizontal="right" readingOrder="0"/>
    </xf>
    <xf borderId="17" fillId="10" fontId="1" numFmtId="165" xfId="0" applyAlignment="1" applyBorder="1" applyFont="1" applyNumberFormat="1">
      <alignment horizontal="right" readingOrder="0"/>
    </xf>
    <xf borderId="11" fillId="9" fontId="13" numFmtId="165" xfId="0" applyAlignment="1" applyBorder="1" applyFont="1" applyNumberFormat="1">
      <alignment horizontal="right"/>
    </xf>
    <xf borderId="12" fillId="9" fontId="7" numFmtId="165" xfId="0" applyAlignment="1" applyBorder="1" applyFont="1" applyNumberFormat="1">
      <alignment horizontal="right"/>
    </xf>
    <xf borderId="12" fillId="9" fontId="13" numFmtId="165" xfId="0" applyAlignment="1" applyBorder="1" applyFont="1" applyNumberFormat="1">
      <alignment horizontal="right" readingOrder="0"/>
    </xf>
    <xf borderId="12" fillId="9" fontId="13" numFmtId="165" xfId="0" applyAlignment="1" applyBorder="1" applyFont="1" applyNumberFormat="1">
      <alignment horizontal="right"/>
    </xf>
    <xf borderId="12" fillId="9" fontId="1" numFmtId="165" xfId="0" applyAlignment="1" applyBorder="1" applyFont="1" applyNumberFormat="1">
      <alignment horizontal="right"/>
    </xf>
    <xf borderId="55" fillId="9" fontId="9" numFmtId="165" xfId="0" applyAlignment="1" applyBorder="1" applyFont="1" applyNumberFormat="1">
      <alignment horizontal="right"/>
    </xf>
    <xf borderId="23" fillId="15" fontId="12" numFmtId="0" xfId="0" applyBorder="1" applyFont="1"/>
    <xf borderId="20" fillId="15" fontId="4" numFmtId="0" xfId="0" applyAlignment="1" applyBorder="1" applyFont="1">
      <alignment readingOrder="0"/>
    </xf>
    <xf borderId="12" fillId="15" fontId="13" numFmtId="165" xfId="0" applyAlignment="1" applyBorder="1" applyFont="1" applyNumberFormat="1">
      <alignment horizontal="right" readingOrder="0"/>
    </xf>
    <xf borderId="12" fillId="15" fontId="7" numFmtId="165" xfId="0" applyAlignment="1" applyBorder="1" applyFont="1" applyNumberFormat="1">
      <alignment horizontal="right"/>
    </xf>
    <xf borderId="12" fillId="15" fontId="1" numFmtId="165" xfId="0" applyAlignment="1" applyBorder="1" applyFont="1" applyNumberFormat="1">
      <alignment horizontal="right"/>
    </xf>
    <xf borderId="12" fillId="15" fontId="13" numFmtId="165" xfId="0" applyAlignment="1" applyBorder="1" applyFont="1" applyNumberFormat="1">
      <alignment horizontal="right"/>
    </xf>
    <xf borderId="55" fillId="15" fontId="9" numFmtId="165" xfId="0" applyAlignment="1" applyBorder="1" applyFont="1" applyNumberFormat="1">
      <alignment horizontal="right"/>
    </xf>
    <xf borderId="0" fillId="15" fontId="9" numFmtId="165" xfId="0" applyAlignment="1" applyFont="1" applyNumberFormat="1">
      <alignment horizontal="right"/>
    </xf>
    <xf borderId="11" fillId="15" fontId="13" numFmtId="165" xfId="0" applyAlignment="1" applyBorder="1" applyFont="1" applyNumberFormat="1">
      <alignment horizontal="right"/>
    </xf>
    <xf borderId="0" fillId="15" fontId="1" numFmtId="165" xfId="0" applyAlignment="1" applyFont="1" applyNumberFormat="1">
      <alignment horizontal="right"/>
    </xf>
    <xf borderId="0" fillId="15" fontId="9" numFmtId="165" xfId="0" applyAlignment="1" applyFont="1" applyNumberFormat="1">
      <alignment horizontal="right" readingOrder="0"/>
    </xf>
    <xf borderId="23" fillId="15" fontId="1" numFmtId="165" xfId="0" applyAlignment="1" applyBorder="1" applyFont="1" applyNumberFormat="1">
      <alignment horizontal="right" readingOrder="0"/>
    </xf>
    <xf borderId="17" fillId="15" fontId="1" numFmtId="165" xfId="0" applyAlignment="1" applyBorder="1" applyFont="1" applyNumberFormat="1">
      <alignment horizontal="right" readingOrder="0"/>
    </xf>
    <xf borderId="23" fillId="15" fontId="1" numFmtId="165" xfId="0" applyAlignment="1" applyBorder="1" applyFont="1" applyNumberFormat="1">
      <alignment horizontal="right"/>
    </xf>
    <xf borderId="23" fillId="9" fontId="1" numFmtId="165" xfId="0" applyAlignment="1" applyBorder="1" applyFont="1" applyNumberFormat="1">
      <alignment horizontal="right"/>
    </xf>
    <xf borderId="20" fillId="25" fontId="4" numFmtId="0" xfId="0" applyBorder="1" applyFill="1" applyFont="1"/>
    <xf borderId="23" fillId="0" fontId="1" numFmtId="165" xfId="0" applyAlignment="1" applyBorder="1" applyFont="1" applyNumberFormat="1">
      <alignment horizontal="right" readingOrder="0"/>
    </xf>
    <xf borderId="23" fillId="0" fontId="1" numFmtId="165" xfId="0" applyAlignment="1" applyBorder="1" applyFont="1" applyNumberFormat="1">
      <alignment horizontal="right"/>
    </xf>
    <xf borderId="23" fillId="9" fontId="12" numFmtId="0" xfId="0" applyBorder="1" applyFont="1"/>
    <xf borderId="20" fillId="9" fontId="4" numFmtId="0" xfId="0" applyAlignment="1" applyBorder="1" applyFont="1">
      <alignment readingOrder="0"/>
    </xf>
    <xf borderId="12" fillId="9" fontId="14" numFmtId="165" xfId="0" applyAlignment="1" applyBorder="1" applyFont="1" applyNumberFormat="1">
      <alignment horizontal="right" readingOrder="0"/>
    </xf>
    <xf borderId="0" fillId="9" fontId="9" numFmtId="165" xfId="0" applyAlignment="1" applyFont="1" applyNumberFormat="1">
      <alignment horizontal="right"/>
    </xf>
    <xf borderId="0" fillId="9" fontId="1" numFmtId="165" xfId="0" applyAlignment="1" applyFont="1" applyNumberFormat="1">
      <alignment horizontal="right"/>
    </xf>
    <xf borderId="23" fillId="9" fontId="1" numFmtId="165" xfId="0" applyAlignment="1" applyBorder="1" applyFont="1" applyNumberFormat="1">
      <alignment horizontal="right" readingOrder="0"/>
    </xf>
    <xf borderId="17" fillId="9" fontId="1" numFmtId="165" xfId="0" applyAlignment="1" applyBorder="1" applyFont="1" applyNumberFormat="1">
      <alignment horizontal="right" readingOrder="0"/>
    </xf>
    <xf borderId="12" fillId="9" fontId="7" numFmtId="165" xfId="0" applyAlignment="1" applyBorder="1" applyFont="1" applyNumberFormat="1">
      <alignment horizontal="right" readingOrder="0"/>
    </xf>
    <xf borderId="12" fillId="0" fontId="14" numFmtId="165" xfId="0" applyAlignment="1" applyBorder="1" applyFont="1" applyNumberFormat="1">
      <alignment horizontal="right" readingOrder="0"/>
    </xf>
    <xf borderId="23" fillId="11" fontId="12" numFmtId="0" xfId="0" applyBorder="1" applyFont="1"/>
    <xf borderId="20" fillId="11" fontId="4" numFmtId="0" xfId="0" applyBorder="1" applyFont="1"/>
    <xf borderId="12" fillId="11" fontId="14" numFmtId="165" xfId="0" applyAlignment="1" applyBorder="1" applyFont="1" applyNumberFormat="1">
      <alignment horizontal="right" readingOrder="0"/>
    </xf>
    <xf borderId="12" fillId="11" fontId="7" numFmtId="165" xfId="0" applyAlignment="1" applyBorder="1" applyFont="1" applyNumberFormat="1">
      <alignment horizontal="right"/>
    </xf>
    <xf borderId="12" fillId="11" fontId="1" numFmtId="165" xfId="0" applyAlignment="1" applyBorder="1" applyFont="1" applyNumberFormat="1">
      <alignment horizontal="right"/>
    </xf>
    <xf borderId="12" fillId="11" fontId="13" numFmtId="165" xfId="0" applyAlignment="1" applyBorder="1" applyFont="1" applyNumberFormat="1">
      <alignment horizontal="right"/>
    </xf>
    <xf borderId="55" fillId="11" fontId="9" numFmtId="165" xfId="0" applyAlignment="1" applyBorder="1" applyFont="1" applyNumberFormat="1">
      <alignment horizontal="right"/>
    </xf>
    <xf borderId="0" fillId="11" fontId="9" numFmtId="165" xfId="0" applyAlignment="1" applyFont="1" applyNumberFormat="1">
      <alignment horizontal="right"/>
    </xf>
    <xf borderId="11" fillId="11" fontId="13" numFmtId="165" xfId="0" applyAlignment="1" applyBorder="1" applyFont="1" applyNumberFormat="1">
      <alignment horizontal="right"/>
    </xf>
    <xf borderId="0" fillId="11" fontId="1" numFmtId="165" xfId="0" applyAlignment="1" applyFont="1" applyNumberFormat="1">
      <alignment horizontal="right"/>
    </xf>
    <xf borderId="23" fillId="11" fontId="1" numFmtId="165" xfId="0" applyAlignment="1" applyBorder="1" applyFont="1" applyNumberFormat="1">
      <alignment horizontal="right" readingOrder="0"/>
    </xf>
    <xf borderId="17" fillId="11" fontId="1" numFmtId="165" xfId="0" applyAlignment="1" applyBorder="1" applyFont="1" applyNumberFormat="1">
      <alignment horizontal="right" readingOrder="0"/>
    </xf>
    <xf borderId="23" fillId="11" fontId="1" numFmtId="165" xfId="0" applyAlignment="1" applyBorder="1" applyFont="1" applyNumberFormat="1">
      <alignment horizontal="right"/>
    </xf>
    <xf borderId="20" fillId="21" fontId="4" numFmtId="0" xfId="0" applyBorder="1" applyFont="1"/>
    <xf borderId="23" fillId="26" fontId="12" numFmtId="0" xfId="0" applyBorder="1" applyFill="1" applyFont="1"/>
    <xf borderId="20" fillId="26" fontId="4" numFmtId="0" xfId="0" applyAlignment="1" applyBorder="1" applyFont="1">
      <alignment readingOrder="0"/>
    </xf>
    <xf borderId="12" fillId="26" fontId="14" numFmtId="165" xfId="0" applyAlignment="1" applyBorder="1" applyFont="1" applyNumberFormat="1">
      <alignment horizontal="right" readingOrder="0"/>
    </xf>
    <xf borderId="12" fillId="26" fontId="7" numFmtId="165" xfId="0" applyAlignment="1" applyBorder="1" applyFont="1" applyNumberFormat="1">
      <alignment horizontal="right"/>
    </xf>
    <xf borderId="12" fillId="26" fontId="1" numFmtId="165" xfId="0" applyAlignment="1" applyBorder="1" applyFont="1" applyNumberFormat="1">
      <alignment horizontal="right"/>
    </xf>
    <xf borderId="12" fillId="26" fontId="13" numFmtId="165" xfId="0" applyAlignment="1" applyBorder="1" applyFont="1" applyNumberFormat="1">
      <alignment horizontal="right"/>
    </xf>
    <xf borderId="55" fillId="26" fontId="9" numFmtId="165" xfId="0" applyAlignment="1" applyBorder="1" applyFont="1" applyNumberFormat="1">
      <alignment horizontal="right"/>
    </xf>
    <xf borderId="0" fillId="26" fontId="9" numFmtId="165" xfId="0" applyAlignment="1" applyFont="1" applyNumberFormat="1">
      <alignment horizontal="right"/>
    </xf>
    <xf borderId="11" fillId="26" fontId="13" numFmtId="165" xfId="0" applyAlignment="1" applyBorder="1" applyFont="1" applyNumberFormat="1">
      <alignment horizontal="right"/>
    </xf>
    <xf borderId="0" fillId="26" fontId="1" numFmtId="165" xfId="0" applyAlignment="1" applyFont="1" applyNumberFormat="1">
      <alignment horizontal="right"/>
    </xf>
    <xf borderId="23" fillId="26" fontId="1" numFmtId="165" xfId="0" applyAlignment="1" applyBorder="1" applyFont="1" applyNumberFormat="1">
      <alignment horizontal="right" readingOrder="0"/>
    </xf>
    <xf borderId="17" fillId="26" fontId="1" numFmtId="165" xfId="0" applyAlignment="1" applyBorder="1" applyFont="1" applyNumberFormat="1">
      <alignment horizontal="right" readingOrder="0"/>
    </xf>
    <xf borderId="23" fillId="26" fontId="1" numFmtId="165" xfId="0" applyAlignment="1" applyBorder="1" applyFont="1" applyNumberFormat="1">
      <alignment horizontal="right"/>
    </xf>
    <xf borderId="28" fillId="0" fontId="4" numFmtId="0" xfId="0" applyAlignment="1" applyBorder="1" applyFont="1">
      <alignment readingOrder="0"/>
    </xf>
    <xf borderId="20" fillId="9" fontId="4" numFmtId="0" xfId="0" applyBorder="1" applyFont="1"/>
    <xf borderId="23" fillId="2" fontId="15" numFmtId="0" xfId="0" applyBorder="1" applyFont="1"/>
    <xf borderId="12" fillId="2" fontId="16" numFmtId="165" xfId="0" applyAlignment="1" applyBorder="1" applyFont="1" applyNumberFormat="1">
      <alignment horizontal="right" readingOrder="0"/>
    </xf>
    <xf borderId="12" fillId="2" fontId="7" numFmtId="165" xfId="0" applyAlignment="1" applyBorder="1" applyFont="1" applyNumberFormat="1">
      <alignment horizontal="right"/>
    </xf>
    <xf borderId="12" fillId="2" fontId="4" numFmtId="165" xfId="0" applyAlignment="1" applyBorder="1" applyFont="1" applyNumberFormat="1">
      <alignment horizontal="right"/>
    </xf>
    <xf borderId="12" fillId="2" fontId="17" numFmtId="165" xfId="0" applyAlignment="1" applyBorder="1" applyFont="1" applyNumberFormat="1">
      <alignment horizontal="right"/>
    </xf>
    <xf borderId="55" fillId="2" fontId="7" numFmtId="165" xfId="0" applyAlignment="1" applyBorder="1" applyFont="1" applyNumberFormat="1">
      <alignment horizontal="right"/>
    </xf>
    <xf borderId="0" fillId="2" fontId="7" numFmtId="165" xfId="0" applyAlignment="1" applyFont="1" applyNumberFormat="1">
      <alignment horizontal="right"/>
    </xf>
    <xf borderId="11" fillId="2" fontId="17" numFmtId="165" xfId="0" applyAlignment="1" applyBorder="1" applyFont="1" applyNumberFormat="1">
      <alignment horizontal="right"/>
    </xf>
    <xf borderId="0" fillId="2" fontId="4" numFmtId="165" xfId="0" applyAlignment="1" applyFont="1" applyNumberFormat="1">
      <alignment horizontal="right"/>
    </xf>
    <xf borderId="23" fillId="2" fontId="4" numFmtId="165" xfId="0" applyAlignment="1" applyBorder="1" applyFont="1" applyNumberFormat="1">
      <alignment horizontal="right" readingOrder="0"/>
    </xf>
    <xf borderId="17" fillId="2" fontId="4" numFmtId="165" xfId="0" applyAlignment="1" applyBorder="1" applyFont="1" applyNumberFormat="1">
      <alignment horizontal="right" readingOrder="0"/>
    </xf>
    <xf borderId="23" fillId="2" fontId="4" numFmtId="165" xfId="0" applyAlignment="1" applyBorder="1" applyFont="1" applyNumberFormat="1">
      <alignment horizontal="right"/>
    </xf>
    <xf borderId="11" fillId="9" fontId="17" numFmtId="165" xfId="0" applyAlignment="1" applyBorder="1" applyFont="1" applyNumberFormat="1">
      <alignment horizontal="right"/>
    </xf>
    <xf borderId="23" fillId="9" fontId="4" numFmtId="165" xfId="0" applyAlignment="1" applyBorder="1" applyFont="1" applyNumberFormat="1">
      <alignment horizontal="right"/>
    </xf>
    <xf borderId="12" fillId="9" fontId="17" numFmtId="165" xfId="0" applyAlignment="1" applyBorder="1" applyFont="1" applyNumberFormat="1">
      <alignment horizontal="right"/>
    </xf>
    <xf borderId="12" fillId="9" fontId="4" numFmtId="165" xfId="0" applyAlignment="1" applyBorder="1" applyFont="1" applyNumberFormat="1">
      <alignment horizontal="right"/>
    </xf>
    <xf borderId="55" fillId="9" fontId="7" numFmtId="165" xfId="0" applyAlignment="1" applyBorder="1" applyFont="1" applyNumberFormat="1">
      <alignment horizontal="right"/>
    </xf>
    <xf borderId="29" fillId="0" fontId="4" numFmtId="0" xfId="0" applyBorder="1" applyFont="1"/>
    <xf borderId="12" fillId="0" fontId="14" numFmtId="165" xfId="0" applyAlignment="1" applyBorder="1" applyFont="1" applyNumberFormat="1">
      <alignment horizontal="right"/>
    </xf>
    <xf borderId="46" fillId="22" fontId="7" numFmtId="165" xfId="0" applyAlignment="1" applyBorder="1" applyFont="1" applyNumberFormat="1">
      <alignment horizontal="right"/>
    </xf>
    <xf borderId="46" fillId="9" fontId="7" numFmtId="165" xfId="0" applyAlignment="1" applyBorder="1" applyFont="1" applyNumberFormat="1">
      <alignment horizontal="right"/>
    </xf>
    <xf borderId="0" fillId="0" fontId="9" numFmtId="0" xfId="0" applyAlignment="1" applyFont="1">
      <alignment horizontal="right"/>
    </xf>
    <xf borderId="0" fillId="0" fontId="7" numFmtId="0" xfId="0" applyAlignment="1" applyFont="1">
      <alignment horizontal="right"/>
    </xf>
    <xf borderId="0" fillId="9" fontId="9" numFmtId="0" xfId="0" applyAlignment="1" applyFont="1">
      <alignment horizontal="right"/>
    </xf>
    <xf borderId="0" fillId="0" fontId="4" numFmtId="0" xfId="0" applyAlignment="1" applyFont="1">
      <alignment readingOrder="0"/>
    </xf>
    <xf borderId="56" fillId="0" fontId="4" numFmtId="0" xfId="0" applyBorder="1" applyFont="1"/>
    <xf borderId="23" fillId="0" fontId="18" numFmtId="0" xfId="0" applyAlignment="1" applyBorder="1" applyFont="1">
      <alignment horizontal="center" shrinkToFit="0" wrapText="1"/>
    </xf>
    <xf borderId="23" fillId="0" fontId="19" numFmtId="166" xfId="0" applyAlignment="1" applyBorder="1" applyFont="1" applyNumberFormat="1">
      <alignment horizontal="center" readingOrder="0" vertical="center"/>
    </xf>
    <xf borderId="23" fillId="0" fontId="19" numFmtId="166" xfId="0" applyAlignment="1" applyBorder="1" applyFont="1" applyNumberFormat="1">
      <alignment horizontal="center" vertical="center"/>
    </xf>
    <xf borderId="56" fillId="0" fontId="19" numFmtId="166" xfId="0" applyAlignment="1" applyBorder="1" applyFont="1" applyNumberFormat="1">
      <alignment horizontal="center" vertical="center"/>
    </xf>
    <xf borderId="25" fillId="0" fontId="18" numFmtId="0" xfId="0" applyAlignment="1" applyBorder="1" applyFont="1">
      <alignment horizontal="center" shrinkToFit="0" wrapText="1"/>
    </xf>
    <xf borderId="57" fillId="0" fontId="19" numFmtId="166" xfId="0" applyAlignment="1" applyBorder="1" applyFont="1" applyNumberFormat="1">
      <alignment horizontal="center" vertical="center"/>
    </xf>
    <xf borderId="23" fillId="0" fontId="18" numFmtId="0" xfId="0" applyAlignment="1" applyBorder="1" applyFont="1">
      <alignment readingOrder="0" shrinkToFit="0" wrapText="1"/>
    </xf>
    <xf borderId="23" fillId="0" fontId="20" numFmtId="166" xfId="0" applyBorder="1" applyFont="1" applyNumberFormat="1"/>
    <xf borderId="56" fillId="0" fontId="20" numFmtId="166" xfId="0" applyBorder="1" applyFont="1" applyNumberFormat="1"/>
    <xf borderId="57" fillId="0" fontId="20" numFmtId="166" xfId="0" applyBorder="1" applyFont="1" applyNumberFormat="1"/>
    <xf borderId="23" fillId="0" fontId="18" numFmtId="0" xfId="0" applyAlignment="1" applyBorder="1" applyFont="1">
      <alignment shrinkToFit="0" wrapText="1"/>
    </xf>
    <xf borderId="25" fillId="0" fontId="18" numFmtId="0" xfId="0" applyAlignment="1" applyBorder="1" applyFont="1">
      <alignment shrinkToFit="0" wrapText="1"/>
    </xf>
    <xf borderId="23" fillId="0" fontId="20" numFmtId="166" xfId="0" applyAlignment="1" applyBorder="1" applyFont="1" applyNumberFormat="1">
      <alignment readingOrder="0"/>
    </xf>
    <xf borderId="0" fillId="0" fontId="19" numFmtId="0" xfId="0" applyAlignment="1" applyFont="1">
      <alignment horizontal="center"/>
    </xf>
    <xf borderId="23" fillId="0" fontId="1" numFmtId="166" xfId="0" applyBorder="1" applyFont="1" applyNumberFormat="1"/>
    <xf borderId="57" fillId="0" fontId="1" numFmtId="0" xfId="0" applyBorder="1" applyFont="1"/>
    <xf borderId="56" fillId="0" fontId="1" numFmtId="0" xfId="0" applyBorder="1" applyFont="1"/>
    <xf borderId="0" fillId="0" fontId="8" numFmtId="0" xfId="0" applyAlignment="1" applyFont="1">
      <alignment readingOrder="0"/>
    </xf>
    <xf borderId="23" fillId="27" fontId="4" numFmtId="166" xfId="0" applyBorder="1" applyFill="1" applyFont="1" applyNumberFormat="1"/>
    <xf borderId="23" fillId="0" fontId="19" numFmtId="166" xfId="0" applyBorder="1" applyFont="1" applyNumberFormat="1"/>
    <xf borderId="23" fillId="27" fontId="4" numFmtId="0" xfId="0" applyAlignment="1" applyBorder="1" applyFont="1">
      <alignment readingOrder="0"/>
    </xf>
    <xf borderId="23" fillId="27" fontId="4" numFmtId="0" xfId="0" applyBorder="1" applyFont="1"/>
    <xf borderId="58" fillId="19" fontId="4" numFmtId="0" xfId="0" applyBorder="1" applyFont="1"/>
    <xf borderId="56" fillId="0" fontId="19" numFmtId="166" xfId="0" applyBorder="1" applyFont="1" applyNumberFormat="1"/>
    <xf borderId="0" fillId="0" fontId="18" numFmtId="0" xfId="0" applyAlignment="1" applyFont="1">
      <alignment readingOrder="0" shrinkToFit="0" wrapText="1"/>
    </xf>
    <xf borderId="0" fillId="0" fontId="19" numFmtId="166" xfId="0" applyFont="1" applyNumberFormat="1"/>
    <xf borderId="0" fillId="0" fontId="21" numFmtId="0" xfId="0" applyFont="1"/>
    <xf borderId="23" fillId="0" fontId="4" numFmtId="166" xfId="0" applyBorder="1" applyFont="1" applyNumberFormat="1"/>
    <xf borderId="23" fillId="0" fontId="21" numFmtId="0" xfId="0" applyBorder="1" applyFont="1"/>
    <xf borderId="0" fillId="0" fontId="18" numFmtId="0" xfId="0" applyAlignment="1" applyFont="1">
      <alignment shrinkToFit="0" wrapText="1"/>
    </xf>
    <xf borderId="0" fillId="0" fontId="4" numFmtId="166" xfId="0" applyFont="1" applyNumberFormat="1"/>
    <xf borderId="23" fillId="0" fontId="4" numFmtId="165" xfId="0" applyBorder="1" applyFont="1" applyNumberFormat="1"/>
    <xf borderId="0" fillId="0" fontId="4" numFmtId="165" xfId="0" applyFont="1" applyNumberFormat="1"/>
    <xf borderId="23" fillId="27" fontId="1" numFmtId="0" xfId="0" applyAlignment="1" applyBorder="1" applyFont="1">
      <alignment readingOrder="0"/>
    </xf>
    <xf borderId="23" fillId="27" fontId="1" numFmtId="166" xfId="0" applyBorder="1" applyFont="1" applyNumberFormat="1"/>
    <xf borderId="23" fillId="27" fontId="1" numFmtId="0" xfId="0" applyBorder="1" applyFont="1"/>
    <xf borderId="59" fillId="19" fontId="1" numFmtId="0" xfId="0" applyBorder="1" applyFont="1"/>
    <xf borderId="23" fillId="0" fontId="1" numFmtId="165" xfId="0" applyBorder="1" applyFont="1" applyNumberFormat="1"/>
    <xf borderId="12" fillId="0" fontId="1" numFmtId="0" xfId="0" applyBorder="1" applyFont="1"/>
    <xf borderId="60" fillId="0" fontId="18" numFmtId="0" xfId="0" applyAlignment="1" applyBorder="1" applyFont="1">
      <alignment shrinkToFit="0" wrapText="1"/>
    </xf>
    <xf borderId="60" fillId="0" fontId="1" numFmtId="165" xfId="0" applyBorder="1" applyFont="1" applyNumberFormat="1"/>
    <xf borderId="60" fillId="0" fontId="1" numFmtId="0" xfId="0" applyBorder="1" applyFont="1"/>
    <xf borderId="46" fillId="19" fontId="1" numFmtId="0" xfId="0" applyBorder="1" applyFont="1"/>
    <xf borderId="0" fillId="0" fontId="20" numFmtId="166" xfId="0" applyFont="1" applyNumberFormat="1"/>
    <xf borderId="0" fillId="0" fontId="1" numFmtId="166" xfId="0" applyFont="1" applyNumberFormat="1"/>
    <xf borderId="0" fillId="0" fontId="1" numFmtId="165" xfId="0" applyFont="1" applyNumberFormat="1"/>
    <xf borderId="61" fillId="19" fontId="1" numFmtId="0" xfId="0" applyBorder="1" applyFont="1"/>
    <xf borderId="0" fillId="0" fontId="8" numFmtId="166" xfId="0" applyFont="1" applyNumberFormat="1"/>
    <xf borderId="0" fillId="0" fontId="8" numFmtId="166" xfId="0" applyAlignment="1" applyFont="1" applyNumberFormat="1">
      <alignment readingOrder="0"/>
    </xf>
    <xf borderId="0" fillId="0" fontId="8" numFmtId="165" xfId="0" applyAlignment="1" applyFont="1" applyNumberFormat="1">
      <alignment readingOrder="0"/>
    </xf>
    <xf borderId="0" fillId="0" fontId="8" numFmtId="165" xfId="0" applyFont="1" applyNumberFormat="1"/>
    <xf borderId="0" fillId="0" fontId="8" numFmtId="4" xfId="0" applyAlignment="1" applyFont="1" applyNumberFormat="1">
      <alignment readingOrder="0"/>
    </xf>
    <xf borderId="23" fillId="0" fontId="21" numFmtId="0" xfId="0" applyAlignment="1" applyBorder="1" applyFont="1">
      <alignment readingOrder="0"/>
    </xf>
    <xf borderId="23" fillId="0" fontId="8" numFmtId="0" xfId="0" applyAlignment="1" applyBorder="1" applyFont="1">
      <alignment readingOrder="0"/>
    </xf>
    <xf borderId="23" fillId="0" fontId="8" numFmtId="165" xfId="0" applyBorder="1" applyFont="1" applyNumberFormat="1"/>
  </cellXfs>
  <cellStyles count="1">
    <cellStyle xfId="0" name="Normal" builtinId="0"/>
  </cellStyles>
  <dxfs count="7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134F5C"/>
      </font>
      <fill>
        <patternFill patternType="solid">
          <fgColor rgb="FFB7E1CD"/>
          <bgColor rgb="FFB7E1CD"/>
        </patternFill>
      </fill>
      <border/>
    </dxf>
    <dxf>
      <font>
        <b/>
        <color rgb="FF9C0006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006100"/>
          <bgColor rgb="FF0061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illagebankapplication.test/logi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5.71"/>
    <col customWidth="1" min="2" max="2" width="13.0"/>
    <col customWidth="1" min="3" max="3" width="11.43"/>
    <col customWidth="1" min="4" max="4" width="9.71"/>
    <col customWidth="1" min="5" max="5" width="9.86"/>
    <col customWidth="1" min="6" max="6" width="7.57"/>
    <col customWidth="1" min="7" max="7" width="10.43"/>
    <col customWidth="1" min="8" max="8" width="7.86"/>
    <col customWidth="1" min="9" max="9" width="6.14"/>
    <col customWidth="1" min="10" max="10" width="11.43"/>
    <col customWidth="1" min="11" max="11" width="9.71"/>
    <col customWidth="1" min="12" max="12" width="9.86"/>
    <col customWidth="1" min="13" max="13" width="7.0"/>
    <col customWidth="1" min="14" max="14" width="10.43"/>
    <col customWidth="1" min="15" max="15" width="7.86"/>
    <col customWidth="1" min="16" max="16" width="6.14"/>
    <col customWidth="1" min="17" max="17" width="11.43"/>
    <col customWidth="1" min="18" max="18" width="9.71"/>
    <col customWidth="1" min="19" max="19" width="9.86"/>
    <col customWidth="1" min="20" max="20" width="7.0"/>
    <col customWidth="1" min="21" max="21" width="10.43"/>
    <col customWidth="1" min="22" max="22" width="7.86"/>
    <col customWidth="1" min="23" max="23" width="6.14"/>
    <col customWidth="1" min="24" max="24" width="11.43"/>
    <col customWidth="1" min="25" max="25" width="9.71"/>
    <col customWidth="1" min="26" max="26" width="9.86"/>
    <col customWidth="1" min="27" max="27" width="7.0"/>
    <col customWidth="1" min="28" max="28" width="10.43"/>
    <col customWidth="1" min="29" max="29" width="7.86"/>
    <col customWidth="1" min="30" max="30" width="6.14"/>
    <col customWidth="1" min="31" max="31" width="11.43"/>
    <col customWidth="1" min="32" max="32" width="9.71"/>
    <col customWidth="1" min="33" max="33" width="9.86"/>
    <col customWidth="1" min="34" max="34" width="7.0"/>
    <col customWidth="1" min="35" max="35" width="10.43"/>
    <col customWidth="1" min="36" max="36" width="7.86"/>
    <col customWidth="1" min="37" max="37" width="6.14"/>
    <col customWidth="1" min="38" max="38" width="11.43"/>
    <col customWidth="1" min="39" max="39" width="9.71"/>
    <col customWidth="1" min="40" max="40" width="9.86"/>
    <col customWidth="1" min="41" max="41" width="7.0"/>
    <col customWidth="1" min="42" max="42" width="10.43"/>
    <col customWidth="1" min="43" max="43" width="7.86"/>
    <col customWidth="1" min="44" max="44" width="9.0"/>
    <col customWidth="1" min="45" max="45" width="11.43"/>
    <col customWidth="1" min="46" max="46" width="9.71"/>
    <col customWidth="1" min="47" max="47" width="9.86"/>
    <col customWidth="1" min="48" max="48" width="7.0"/>
    <col customWidth="1" min="49" max="49" width="10.43"/>
    <col customWidth="1" min="50" max="50" width="7.86"/>
    <col customWidth="1" min="51" max="51" width="9.29"/>
    <col customWidth="1" min="52" max="52" width="11.43"/>
    <col customWidth="1" min="53" max="53" width="9.71"/>
    <col customWidth="1" min="54" max="54" width="9.86"/>
    <col customWidth="1" min="55" max="55" width="7.0"/>
    <col customWidth="1" min="56" max="56" width="10.43"/>
    <col customWidth="1" min="57" max="57" width="7.86"/>
    <col customWidth="1" min="58" max="58" width="6.14"/>
    <col customWidth="1" min="59" max="59" width="11.43"/>
    <col customWidth="1" min="60" max="60" width="9.71"/>
    <col customWidth="1" min="61" max="61" width="9.86"/>
    <col customWidth="1" min="62" max="62" width="9.14"/>
    <col customWidth="1" min="63" max="63" width="10.43"/>
    <col customWidth="1" min="64" max="64" width="7.86"/>
    <col customWidth="1" min="65" max="65" width="7.71"/>
    <col customWidth="1" min="66" max="66" width="9.86"/>
    <col customWidth="1" min="67" max="67" width="12.57"/>
    <col customWidth="1" min="68" max="68" width="7.14"/>
    <col customWidth="1" min="69" max="69" width="9.86"/>
    <col customWidth="1" min="70" max="70" width="12.57"/>
    <col customWidth="1" min="71" max="71" width="7.14"/>
    <col customWidth="1" min="72" max="72" width="9.86"/>
    <col customWidth="1" min="73" max="73" width="7.14"/>
    <col customWidth="1" min="74" max="74" width="12.71"/>
    <col customWidth="1" min="75" max="75" width="11.43"/>
    <col customWidth="1" min="76" max="76" width="15.29"/>
    <col customWidth="1" min="77" max="77" width="11.43"/>
    <col customWidth="1" min="78" max="78" width="7.86"/>
    <col customWidth="1" min="79" max="79" width="17.29"/>
    <col customWidth="1" min="80" max="80" width="17.71"/>
    <col customWidth="1" min="81" max="81" width="14.29"/>
  </cols>
  <sheetData>
    <row r="1" ht="33.0" customHeight="1">
      <c r="A1" s="1"/>
      <c r="B1" s="2"/>
      <c r="C1" s="3" t="s">
        <v>0</v>
      </c>
      <c r="D1" s="4"/>
      <c r="E1" s="4"/>
      <c r="F1" s="4"/>
      <c r="G1" s="4"/>
      <c r="H1" s="4"/>
      <c r="I1" s="5"/>
      <c r="J1" s="6">
        <v>45717.0</v>
      </c>
      <c r="K1" s="4"/>
      <c r="L1" s="4"/>
      <c r="M1" s="4"/>
      <c r="N1" s="4"/>
      <c r="O1" s="4"/>
      <c r="P1" s="5"/>
      <c r="Q1" s="7">
        <v>45748.0</v>
      </c>
      <c r="R1" s="4"/>
      <c r="S1" s="4"/>
      <c r="T1" s="4"/>
      <c r="U1" s="4"/>
      <c r="V1" s="4"/>
      <c r="W1" s="5"/>
      <c r="X1" s="8">
        <v>45778.0</v>
      </c>
      <c r="Y1" s="4"/>
      <c r="Z1" s="4"/>
      <c r="AA1" s="4"/>
      <c r="AB1" s="4"/>
      <c r="AC1" s="4"/>
      <c r="AD1" s="5"/>
      <c r="AE1" s="7">
        <v>45809.0</v>
      </c>
      <c r="AF1" s="4"/>
      <c r="AG1" s="4"/>
      <c r="AH1" s="4"/>
      <c r="AI1" s="4"/>
      <c r="AJ1" s="4"/>
      <c r="AK1" s="5"/>
      <c r="AL1" s="9">
        <v>45839.0</v>
      </c>
      <c r="AM1" s="4"/>
      <c r="AN1" s="4"/>
      <c r="AO1" s="4"/>
      <c r="AP1" s="4"/>
      <c r="AQ1" s="4"/>
      <c r="AR1" s="5"/>
      <c r="AS1" s="7">
        <v>45870.0</v>
      </c>
      <c r="AT1" s="4"/>
      <c r="AU1" s="4"/>
      <c r="AV1" s="4"/>
      <c r="AW1" s="4"/>
      <c r="AX1" s="4"/>
      <c r="AY1" s="5"/>
      <c r="AZ1" s="10">
        <v>45901.0</v>
      </c>
      <c r="BA1" s="4"/>
      <c r="BB1" s="4"/>
      <c r="BC1" s="4"/>
      <c r="BD1" s="4"/>
      <c r="BE1" s="11"/>
      <c r="BF1" s="12"/>
      <c r="BG1" s="9">
        <v>45931.0</v>
      </c>
      <c r="BH1" s="4"/>
      <c r="BI1" s="4"/>
      <c r="BJ1" s="4"/>
      <c r="BK1" s="4"/>
      <c r="BL1" s="11"/>
      <c r="BM1" s="13"/>
      <c r="BN1" s="7">
        <v>45962.0</v>
      </c>
      <c r="BO1" s="4"/>
      <c r="BP1" s="5"/>
      <c r="BQ1" s="14">
        <v>45992.0</v>
      </c>
      <c r="BR1" s="4"/>
      <c r="BS1" s="5"/>
      <c r="BT1" s="14">
        <v>46023.0</v>
      </c>
      <c r="BU1" s="5"/>
      <c r="BV1" s="15" t="s">
        <v>1</v>
      </c>
      <c r="BW1" s="16" t="s">
        <v>2</v>
      </c>
      <c r="BX1" s="16"/>
      <c r="BY1" s="16"/>
      <c r="BZ1" s="17" t="s">
        <v>3</v>
      </c>
      <c r="CA1" s="18" t="s">
        <v>4</v>
      </c>
      <c r="CB1" s="19" t="s">
        <v>5</v>
      </c>
      <c r="CC1" s="19" t="s">
        <v>6</v>
      </c>
    </row>
    <row r="2" ht="14.25" customHeight="1">
      <c r="A2" s="20" t="s">
        <v>7</v>
      </c>
      <c r="B2" s="21" t="s">
        <v>8</v>
      </c>
      <c r="C2" s="22" t="s">
        <v>2</v>
      </c>
      <c r="D2" s="23" t="s">
        <v>9</v>
      </c>
      <c r="E2" s="23" t="s">
        <v>10</v>
      </c>
      <c r="F2" s="23" t="s">
        <v>11</v>
      </c>
      <c r="G2" s="23" t="s">
        <v>12</v>
      </c>
      <c r="H2" s="23" t="s">
        <v>3</v>
      </c>
      <c r="I2" s="24" t="s">
        <v>13</v>
      </c>
      <c r="J2" s="22" t="s">
        <v>2</v>
      </c>
      <c r="K2" s="23" t="s">
        <v>9</v>
      </c>
      <c r="L2" s="23" t="s">
        <v>10</v>
      </c>
      <c r="M2" s="23" t="s">
        <v>11</v>
      </c>
      <c r="N2" s="23" t="s">
        <v>12</v>
      </c>
      <c r="O2" s="23" t="s">
        <v>3</v>
      </c>
      <c r="P2" s="24" t="s">
        <v>13</v>
      </c>
      <c r="Q2" s="22" t="s">
        <v>2</v>
      </c>
      <c r="R2" s="23" t="s">
        <v>9</v>
      </c>
      <c r="S2" s="23" t="s">
        <v>10</v>
      </c>
      <c r="T2" s="23" t="s">
        <v>11</v>
      </c>
      <c r="U2" s="23" t="s">
        <v>12</v>
      </c>
      <c r="V2" s="23" t="s">
        <v>3</v>
      </c>
      <c r="W2" s="24" t="s">
        <v>13</v>
      </c>
      <c r="X2" s="22" t="s">
        <v>2</v>
      </c>
      <c r="Y2" s="23" t="s">
        <v>9</v>
      </c>
      <c r="Z2" s="23" t="s">
        <v>10</v>
      </c>
      <c r="AA2" s="23" t="s">
        <v>11</v>
      </c>
      <c r="AB2" s="23" t="s">
        <v>12</v>
      </c>
      <c r="AC2" s="23" t="s">
        <v>3</v>
      </c>
      <c r="AD2" s="24" t="s">
        <v>13</v>
      </c>
      <c r="AE2" s="22" t="s">
        <v>2</v>
      </c>
      <c r="AF2" s="23" t="s">
        <v>9</v>
      </c>
      <c r="AG2" s="23" t="s">
        <v>10</v>
      </c>
      <c r="AH2" s="23" t="s">
        <v>11</v>
      </c>
      <c r="AI2" s="23" t="s">
        <v>12</v>
      </c>
      <c r="AJ2" s="23" t="s">
        <v>3</v>
      </c>
      <c r="AK2" s="24" t="s">
        <v>13</v>
      </c>
      <c r="AL2" s="22" t="s">
        <v>2</v>
      </c>
      <c r="AM2" s="23" t="s">
        <v>9</v>
      </c>
      <c r="AN2" s="23" t="s">
        <v>10</v>
      </c>
      <c r="AO2" s="23" t="s">
        <v>11</v>
      </c>
      <c r="AP2" s="23" t="s">
        <v>12</v>
      </c>
      <c r="AQ2" s="23" t="s">
        <v>3</v>
      </c>
      <c r="AR2" s="25" t="s">
        <v>14</v>
      </c>
      <c r="AS2" s="22" t="s">
        <v>2</v>
      </c>
      <c r="AT2" s="23" t="s">
        <v>9</v>
      </c>
      <c r="AU2" s="23" t="s">
        <v>10</v>
      </c>
      <c r="AV2" s="23" t="s">
        <v>11</v>
      </c>
      <c r="AW2" s="23" t="s">
        <v>12</v>
      </c>
      <c r="AX2" s="23" t="s">
        <v>3</v>
      </c>
      <c r="AY2" s="24" t="s">
        <v>13</v>
      </c>
      <c r="AZ2" s="26" t="s">
        <v>2</v>
      </c>
      <c r="BA2" s="23" t="s">
        <v>9</v>
      </c>
      <c r="BB2" s="23" t="s">
        <v>10</v>
      </c>
      <c r="BC2" s="23" t="s">
        <v>11</v>
      </c>
      <c r="BD2" s="23" t="s">
        <v>12</v>
      </c>
      <c r="BE2" s="23" t="s">
        <v>3</v>
      </c>
      <c r="BF2" s="24" t="s">
        <v>13</v>
      </c>
      <c r="BG2" s="22" t="s">
        <v>2</v>
      </c>
      <c r="BH2" s="23" t="s">
        <v>9</v>
      </c>
      <c r="BI2" s="23" t="s">
        <v>10</v>
      </c>
      <c r="BJ2" s="23" t="s">
        <v>11</v>
      </c>
      <c r="BK2" s="23" t="s">
        <v>12</v>
      </c>
      <c r="BL2" s="23" t="s">
        <v>3</v>
      </c>
      <c r="BM2" s="24" t="s">
        <v>13</v>
      </c>
      <c r="BN2" s="22" t="s">
        <v>10</v>
      </c>
      <c r="BO2" s="23" t="s">
        <v>1</v>
      </c>
      <c r="BP2" s="24" t="s">
        <v>11</v>
      </c>
      <c r="BQ2" s="22" t="s">
        <v>10</v>
      </c>
      <c r="BR2" s="23" t="s">
        <v>1</v>
      </c>
      <c r="BS2" s="24" t="s">
        <v>11</v>
      </c>
      <c r="BT2" s="22" t="s">
        <v>10</v>
      </c>
      <c r="BU2" s="24" t="s">
        <v>11</v>
      </c>
      <c r="BV2" s="27" t="s">
        <v>15</v>
      </c>
      <c r="BW2" s="28" t="s">
        <v>15</v>
      </c>
      <c r="BX2" s="29" t="s">
        <v>16</v>
      </c>
      <c r="BY2" s="29" t="s">
        <v>17</v>
      </c>
      <c r="BZ2" s="30" t="s">
        <v>15</v>
      </c>
      <c r="CA2" s="31" t="s">
        <v>15</v>
      </c>
      <c r="CB2" s="32" t="s">
        <v>15</v>
      </c>
      <c r="CC2" s="33"/>
    </row>
    <row r="3" ht="14.25" customHeight="1">
      <c r="A3" s="34" t="s">
        <v>18</v>
      </c>
      <c r="B3" s="35">
        <v>9.79780593E8</v>
      </c>
      <c r="C3" s="36">
        <v>100.0</v>
      </c>
      <c r="D3" s="37">
        <v>200.0</v>
      </c>
      <c r="E3" s="38"/>
      <c r="F3" s="37">
        <f t="shared" ref="F3:F14" si="11">SUM(C3,D3,E3)</f>
        <v>300</v>
      </c>
      <c r="G3" s="37">
        <f t="shared" ref="G3:H3" si="1">C3/200</f>
        <v>0.5</v>
      </c>
      <c r="H3" s="37">
        <f t="shared" si="1"/>
        <v>1</v>
      </c>
      <c r="I3" s="39"/>
      <c r="J3" s="36">
        <v>100.0</v>
      </c>
      <c r="K3" s="37">
        <v>400.0</v>
      </c>
      <c r="L3" s="37"/>
      <c r="M3" s="37">
        <f t="shared" ref="M3:M14" si="13">SUM(J3,K3,L3)</f>
        <v>500</v>
      </c>
      <c r="N3" s="37">
        <f t="shared" ref="N3:O3" si="2">J3/200</f>
        <v>0.5</v>
      </c>
      <c r="O3" s="37">
        <f t="shared" si="2"/>
        <v>2</v>
      </c>
      <c r="P3" s="39">
        <v>1100.0</v>
      </c>
      <c r="Q3" s="36">
        <v>100.0</v>
      </c>
      <c r="R3" s="37">
        <v>200.0</v>
      </c>
      <c r="S3" s="37">
        <v>200.0</v>
      </c>
      <c r="T3" s="37">
        <f t="shared" ref="T3:T14" si="15">SUM(Q3,R3,S3)</f>
        <v>500</v>
      </c>
      <c r="U3" s="37">
        <f t="shared" ref="U3:V3" si="3">Q3/200</f>
        <v>0.5</v>
      </c>
      <c r="V3" s="37">
        <f t="shared" si="3"/>
        <v>1</v>
      </c>
      <c r="W3" s="39"/>
      <c r="X3" s="36">
        <v>100.0</v>
      </c>
      <c r="Y3" s="37">
        <v>200.0</v>
      </c>
      <c r="Z3" s="37">
        <v>200.0</v>
      </c>
      <c r="AA3" s="37">
        <f t="shared" ref="AA3:AA14" si="17">SUM(X3,Y3,Z3)</f>
        <v>500</v>
      </c>
      <c r="AB3" s="37">
        <f t="shared" ref="AB3:AC3" si="4">X3/200</f>
        <v>0.5</v>
      </c>
      <c r="AC3" s="37">
        <f t="shared" si="4"/>
        <v>1</v>
      </c>
      <c r="AD3" s="39"/>
      <c r="AE3" s="40">
        <v>100.0</v>
      </c>
      <c r="AF3" s="38">
        <v>200.0</v>
      </c>
      <c r="AG3" s="38">
        <v>200.0</v>
      </c>
      <c r="AH3" s="37">
        <f t="shared" ref="AH3:AH6" si="19">SUM(AE3,AF3,AG3)</f>
        <v>500</v>
      </c>
      <c r="AI3" s="37">
        <f t="shared" ref="AI3:AJ3" si="5">AE3/200</f>
        <v>0.5</v>
      </c>
      <c r="AJ3" s="37">
        <f t="shared" si="5"/>
        <v>1</v>
      </c>
      <c r="AK3" s="39"/>
      <c r="AL3" s="40">
        <v>100.0</v>
      </c>
      <c r="AM3" s="38">
        <v>200.0</v>
      </c>
      <c r="AN3" s="38">
        <v>200.0</v>
      </c>
      <c r="AO3" s="37">
        <f t="shared" ref="AO3:AO14" si="21">SUM(AL3,AM3,AN3)</f>
        <v>500</v>
      </c>
      <c r="AP3" s="37">
        <f t="shared" ref="AP3:AQ3" si="6">AL3/200</f>
        <v>0.5</v>
      </c>
      <c r="AQ3" s="37">
        <f t="shared" si="6"/>
        <v>1</v>
      </c>
      <c r="AR3" s="39"/>
      <c r="AS3" s="36"/>
      <c r="AT3" s="37"/>
      <c r="AU3" s="37"/>
      <c r="AV3" s="37">
        <f t="shared" ref="AV3:AV14" si="23">SUM(AS3,AT3,AU3)</f>
        <v>0</v>
      </c>
      <c r="AW3" s="37">
        <f t="shared" ref="AW3:AX3" si="7">AS3/200</f>
        <v>0</v>
      </c>
      <c r="AX3" s="37">
        <f t="shared" si="7"/>
        <v>0</v>
      </c>
      <c r="AY3" s="39"/>
      <c r="AZ3" s="41">
        <v>0.0</v>
      </c>
      <c r="BA3" s="37">
        <v>0.0</v>
      </c>
      <c r="BB3" s="37">
        <v>0.0</v>
      </c>
      <c r="BC3" s="37">
        <f t="shared" ref="BC3:BC14" si="25">SUM(AZ3,BA3,BB3)</f>
        <v>0</v>
      </c>
      <c r="BD3" s="37">
        <f t="shared" ref="BD3:BE3" si="8">AZ3/200</f>
        <v>0</v>
      </c>
      <c r="BE3" s="37">
        <f t="shared" si="8"/>
        <v>0</v>
      </c>
      <c r="BF3" s="39"/>
      <c r="BG3" s="40">
        <v>100.0</v>
      </c>
      <c r="BH3" s="38">
        <v>200.0</v>
      </c>
      <c r="BI3" s="38">
        <v>623.61</v>
      </c>
      <c r="BJ3" s="37">
        <f t="shared" ref="BJ3:BJ14" si="27">SUM(BG3,BH3,BI3)</f>
        <v>923.61</v>
      </c>
      <c r="BK3" s="37">
        <f t="shared" ref="BK3:BL3" si="9">BG3/200</f>
        <v>0.5</v>
      </c>
      <c r="BL3" s="37">
        <f t="shared" si="9"/>
        <v>1</v>
      </c>
      <c r="BM3" s="42">
        <v>7556.61</v>
      </c>
      <c r="BN3" s="40">
        <v>2000.0</v>
      </c>
      <c r="BO3" s="38"/>
      <c r="BP3" s="39">
        <f>SUM(BN3)</f>
        <v>2000</v>
      </c>
      <c r="BQ3" s="40">
        <v>1000.0</v>
      </c>
      <c r="BR3" s="37"/>
      <c r="BS3" s="39">
        <f t="shared" ref="BS3:BS14" si="29">SUM(BQ3)</f>
        <v>1000</v>
      </c>
      <c r="BT3" s="36">
        <v>0.0</v>
      </c>
      <c r="BU3" s="39">
        <f t="shared" ref="BU3:BU14" si="30">SUM(BT3)</f>
        <v>0</v>
      </c>
      <c r="BV3" s="43">
        <f>SUM(BH3,BA3,AT3,AM3,AF3,Y3,R3,K3,D3)</f>
        <v>1600</v>
      </c>
      <c r="BW3" s="44">
        <f t="shared" ref="BW3:BW15" si="31">SUM(BG3,AZ3,AS3,AL3,AE3,X3,Q3,J3,C3)</f>
        <v>700</v>
      </c>
      <c r="BX3" s="45">
        <f t="shared" ref="BX3:BX15" si="32">SUM(BV3,BW3)</f>
        <v>2300</v>
      </c>
      <c r="BY3" s="46">
        <f t="shared" ref="BY3:BZ3" si="10">SUM(BK3,BD3,AW3,AP3,AI3,AB3,U3,N3,G3)</f>
        <v>3.5</v>
      </c>
      <c r="BZ3" s="46">
        <f t="shared" si="10"/>
        <v>8</v>
      </c>
      <c r="CA3" s="47">
        <f t="shared" ref="CA3:CA15" si="34">SUM(BT3,BQ3,BN3,BI3,BB3,AU3,AN3,AG3,Z3,S3,L3,E3)</f>
        <v>4423.61</v>
      </c>
      <c r="CB3" s="48">
        <f t="shared" ref="CB3:CB15" si="35">SUM(I3,P3,W3,AD3,AK3,AR3,AY3,BF3,BM3)</f>
        <v>8656.61</v>
      </c>
      <c r="CC3" s="49">
        <f t="shared" ref="CC3:CC15" si="36">3*BV3</f>
        <v>4800</v>
      </c>
    </row>
    <row r="4" ht="14.25" customHeight="1">
      <c r="A4" s="50" t="s">
        <v>19</v>
      </c>
      <c r="B4" s="51">
        <v>9.78958789E8</v>
      </c>
      <c r="C4" s="52">
        <v>100.0</v>
      </c>
      <c r="D4" s="53">
        <v>500.0</v>
      </c>
      <c r="E4" s="54"/>
      <c r="F4" s="54">
        <f t="shared" si="11"/>
        <v>600</v>
      </c>
      <c r="G4" s="54">
        <f t="shared" ref="G4:H4" si="12">C4/200</f>
        <v>0.5</v>
      </c>
      <c r="H4" s="54">
        <f t="shared" si="12"/>
        <v>2.5</v>
      </c>
      <c r="I4" s="55"/>
      <c r="J4" s="52">
        <v>100.0</v>
      </c>
      <c r="K4" s="53">
        <v>400.0</v>
      </c>
      <c r="L4" s="54"/>
      <c r="M4" s="54">
        <f t="shared" si="13"/>
        <v>500</v>
      </c>
      <c r="N4" s="54">
        <f t="shared" ref="N4:O4" si="14">J4/200</f>
        <v>0.5</v>
      </c>
      <c r="O4" s="54">
        <f t="shared" si="14"/>
        <v>2</v>
      </c>
      <c r="P4" s="55"/>
      <c r="Q4" s="52">
        <v>100.0</v>
      </c>
      <c r="R4" s="53">
        <v>400.0</v>
      </c>
      <c r="S4" s="54"/>
      <c r="T4" s="54">
        <f t="shared" si="15"/>
        <v>500</v>
      </c>
      <c r="U4" s="54">
        <f t="shared" ref="U4:V4" si="16">Q4/200</f>
        <v>0.5</v>
      </c>
      <c r="V4" s="54">
        <f t="shared" si="16"/>
        <v>2</v>
      </c>
      <c r="W4" s="55"/>
      <c r="X4" s="52">
        <v>100.0</v>
      </c>
      <c r="Y4" s="53">
        <v>200.0</v>
      </c>
      <c r="Z4" s="53">
        <v>0.0</v>
      </c>
      <c r="AA4" s="54">
        <f t="shared" si="17"/>
        <v>300</v>
      </c>
      <c r="AB4" s="54">
        <f t="shared" ref="AB4:AC4" si="18">X4/200</f>
        <v>0.5</v>
      </c>
      <c r="AC4" s="54">
        <f t="shared" si="18"/>
        <v>1</v>
      </c>
      <c r="AD4" s="55"/>
      <c r="AE4" s="52">
        <v>100.0</v>
      </c>
      <c r="AF4" s="53">
        <v>400.0</v>
      </c>
      <c r="AG4" s="54"/>
      <c r="AH4" s="54">
        <f t="shared" si="19"/>
        <v>500</v>
      </c>
      <c r="AI4" s="54">
        <f t="shared" ref="AI4:AJ4" si="20">AE4/200</f>
        <v>0.5</v>
      </c>
      <c r="AJ4" s="54">
        <f t="shared" si="20"/>
        <v>2</v>
      </c>
      <c r="AK4" s="55"/>
      <c r="AL4" s="52">
        <v>100.0</v>
      </c>
      <c r="AM4" s="53">
        <v>600.0</v>
      </c>
      <c r="AN4" s="54"/>
      <c r="AO4" s="54">
        <f t="shared" si="21"/>
        <v>700</v>
      </c>
      <c r="AP4" s="54">
        <f t="shared" ref="AP4:AQ4" si="22">AL4/200</f>
        <v>0.5</v>
      </c>
      <c r="AQ4" s="54">
        <f t="shared" si="22"/>
        <v>3</v>
      </c>
      <c r="AR4" s="55"/>
      <c r="AS4" s="52">
        <v>100.0</v>
      </c>
      <c r="AT4" s="53">
        <v>400.0</v>
      </c>
      <c r="AU4" s="54"/>
      <c r="AV4" s="54">
        <f t="shared" si="23"/>
        <v>500</v>
      </c>
      <c r="AW4" s="54">
        <f t="shared" ref="AW4:AX4" si="24">AS4/200</f>
        <v>0.5</v>
      </c>
      <c r="AX4" s="54">
        <f t="shared" si="24"/>
        <v>2</v>
      </c>
      <c r="AY4" s="55"/>
      <c r="AZ4" s="56">
        <v>100.0</v>
      </c>
      <c r="BA4" s="53">
        <v>600.0</v>
      </c>
      <c r="BB4" s="53"/>
      <c r="BC4" s="54">
        <f t="shared" si="25"/>
        <v>700</v>
      </c>
      <c r="BD4" s="54">
        <f t="shared" ref="BD4:BE4" si="26">AZ4/200</f>
        <v>0.5</v>
      </c>
      <c r="BE4" s="54">
        <f t="shared" si="26"/>
        <v>3</v>
      </c>
      <c r="BF4" s="55"/>
      <c r="BG4" s="52">
        <v>100.0</v>
      </c>
      <c r="BH4" s="53">
        <v>400.0</v>
      </c>
      <c r="BI4" s="54">
        <v>0.0</v>
      </c>
      <c r="BJ4" s="54">
        <f t="shared" si="27"/>
        <v>500</v>
      </c>
      <c r="BK4" s="54">
        <f t="shared" ref="BK4:BL4" si="28">BG4/200</f>
        <v>0.5</v>
      </c>
      <c r="BL4" s="54">
        <f t="shared" si="28"/>
        <v>2</v>
      </c>
      <c r="BM4" s="55"/>
      <c r="BN4" s="57">
        <v>0.0</v>
      </c>
      <c r="BO4" s="53">
        <v>500.0</v>
      </c>
      <c r="BP4" s="55">
        <f>SUM(BN4,BO4)</f>
        <v>500</v>
      </c>
      <c r="BQ4" s="57">
        <v>0.0</v>
      </c>
      <c r="BR4" s="53">
        <v>500.0</v>
      </c>
      <c r="BS4" s="55">
        <f t="shared" si="29"/>
        <v>0</v>
      </c>
      <c r="BT4" s="57">
        <v>0.0</v>
      </c>
      <c r="BU4" s="55">
        <f t="shared" si="30"/>
        <v>0</v>
      </c>
      <c r="BV4" s="58">
        <f>SUM(BH4,BA4,AT4,AM4,AF4,Y4,R4,K4,D4, BO4)</f>
        <v>4400</v>
      </c>
      <c r="BW4" s="59">
        <f t="shared" si="31"/>
        <v>900</v>
      </c>
      <c r="BX4" s="60">
        <f t="shared" si="32"/>
        <v>5300</v>
      </c>
      <c r="BY4" s="60">
        <f t="shared" ref="BY4:BZ4" si="33">SUM(BK4,BD4,AW4,AP4,AI4,AB4,U4,N4,G4)</f>
        <v>4.5</v>
      </c>
      <c r="BZ4" s="60">
        <f t="shared" si="33"/>
        <v>19.5</v>
      </c>
      <c r="CA4" s="61">
        <f t="shared" si="34"/>
        <v>0</v>
      </c>
      <c r="CB4" s="58">
        <f t="shared" si="35"/>
        <v>0</v>
      </c>
      <c r="CC4" s="59">
        <f t="shared" si="36"/>
        <v>13200</v>
      </c>
    </row>
    <row r="5" ht="14.25" customHeight="1">
      <c r="A5" s="62" t="s">
        <v>20</v>
      </c>
      <c r="B5" s="63">
        <v>9.73097114E8</v>
      </c>
      <c r="C5" s="64">
        <v>100.0</v>
      </c>
      <c r="D5" s="65">
        <v>200.0</v>
      </c>
      <c r="E5" s="66"/>
      <c r="F5" s="66">
        <f t="shared" si="11"/>
        <v>300</v>
      </c>
      <c r="G5" s="66">
        <f t="shared" ref="G5:H5" si="37">C5/200</f>
        <v>0.5</v>
      </c>
      <c r="H5" s="66">
        <f t="shared" si="37"/>
        <v>1</v>
      </c>
      <c r="I5" s="67"/>
      <c r="J5" s="64">
        <v>100.0</v>
      </c>
      <c r="K5" s="65">
        <v>200.0</v>
      </c>
      <c r="L5" s="66"/>
      <c r="M5" s="66">
        <f t="shared" si="13"/>
        <v>300</v>
      </c>
      <c r="N5" s="66">
        <f t="shared" ref="N5:O5" si="38">J5/200</f>
        <v>0.5</v>
      </c>
      <c r="O5" s="66">
        <f t="shared" si="38"/>
        <v>1</v>
      </c>
      <c r="P5" s="67"/>
      <c r="Q5" s="64">
        <v>100.0</v>
      </c>
      <c r="R5" s="65">
        <v>200.0</v>
      </c>
      <c r="S5" s="66"/>
      <c r="T5" s="66">
        <f t="shared" si="15"/>
        <v>300</v>
      </c>
      <c r="U5" s="66">
        <f t="shared" ref="U5:V5" si="39">Q5/200</f>
        <v>0.5</v>
      </c>
      <c r="V5" s="66">
        <f t="shared" si="39"/>
        <v>1</v>
      </c>
      <c r="W5" s="68">
        <v>1000.0</v>
      </c>
      <c r="X5" s="64">
        <v>100.0</v>
      </c>
      <c r="Y5" s="65">
        <v>200.0</v>
      </c>
      <c r="Z5" s="65">
        <v>200.0</v>
      </c>
      <c r="AA5" s="66">
        <f t="shared" si="17"/>
        <v>500</v>
      </c>
      <c r="AB5" s="66">
        <f t="shared" ref="AB5:AC5" si="40">X5/200</f>
        <v>0.5</v>
      </c>
      <c r="AC5" s="66">
        <f t="shared" si="40"/>
        <v>1</v>
      </c>
      <c r="AD5" s="67"/>
      <c r="AE5" s="64">
        <v>100.0</v>
      </c>
      <c r="AF5" s="65">
        <v>200.0</v>
      </c>
      <c r="AG5" s="65">
        <v>200.0</v>
      </c>
      <c r="AH5" s="66">
        <f t="shared" si="19"/>
        <v>500</v>
      </c>
      <c r="AI5" s="66">
        <f t="shared" ref="AI5:AJ5" si="41">AE5/200</f>
        <v>0.5</v>
      </c>
      <c r="AJ5" s="66">
        <f t="shared" si="41"/>
        <v>1</v>
      </c>
      <c r="AK5" s="67"/>
      <c r="AL5" s="64">
        <v>100.0</v>
      </c>
      <c r="AM5" s="65">
        <v>200.0</v>
      </c>
      <c r="AN5" s="65">
        <v>200.0</v>
      </c>
      <c r="AO5" s="66">
        <f t="shared" si="21"/>
        <v>500</v>
      </c>
      <c r="AP5" s="66">
        <f t="shared" ref="AP5:AQ5" si="42">AL5/200</f>
        <v>0.5</v>
      </c>
      <c r="AQ5" s="66">
        <f t="shared" si="42"/>
        <v>1</v>
      </c>
      <c r="AR5" s="68">
        <v>1500.0</v>
      </c>
      <c r="AS5" s="64">
        <v>100.0</v>
      </c>
      <c r="AT5" s="65">
        <v>400.0</v>
      </c>
      <c r="AU5" s="65">
        <v>500.0</v>
      </c>
      <c r="AV5" s="66">
        <f t="shared" si="23"/>
        <v>1000</v>
      </c>
      <c r="AW5" s="66">
        <f t="shared" ref="AW5:AX5" si="43">AS5/200</f>
        <v>0.5</v>
      </c>
      <c r="AX5" s="66">
        <f t="shared" si="43"/>
        <v>2</v>
      </c>
      <c r="AY5" s="67"/>
      <c r="AZ5" s="69">
        <v>100.0</v>
      </c>
      <c r="BA5" s="65">
        <v>200.0</v>
      </c>
      <c r="BB5" s="65">
        <v>200.0</v>
      </c>
      <c r="BC5" s="66">
        <f t="shared" si="25"/>
        <v>500</v>
      </c>
      <c r="BD5" s="66">
        <f t="shared" ref="BD5:BE5" si="44">AZ5/200</f>
        <v>0.5</v>
      </c>
      <c r="BE5" s="66">
        <f t="shared" si="44"/>
        <v>1</v>
      </c>
      <c r="BF5" s="68">
        <v>500.0</v>
      </c>
      <c r="BG5" s="64">
        <v>100.0</v>
      </c>
      <c r="BH5" s="65">
        <v>200.0</v>
      </c>
      <c r="BI5" s="65">
        <v>200.0</v>
      </c>
      <c r="BJ5" s="66">
        <f t="shared" si="27"/>
        <v>500</v>
      </c>
      <c r="BK5" s="66">
        <f t="shared" ref="BK5:BL5" si="45">BG5/200</f>
        <v>0.5</v>
      </c>
      <c r="BL5" s="66">
        <f t="shared" si="45"/>
        <v>1</v>
      </c>
      <c r="BM5" s="67"/>
      <c r="BN5" s="64">
        <v>500.0</v>
      </c>
      <c r="BO5" s="66"/>
      <c r="BP5" s="67">
        <f t="shared" ref="BP5:BP12" si="56">SUM(BN5)</f>
        <v>500</v>
      </c>
      <c r="BQ5" s="64">
        <v>0.0</v>
      </c>
      <c r="BR5" s="65">
        <v>500.0</v>
      </c>
      <c r="BS5" s="67">
        <f t="shared" si="29"/>
        <v>0</v>
      </c>
      <c r="BT5" s="70">
        <v>0.0</v>
      </c>
      <c r="BU5" s="67">
        <f t="shared" si="30"/>
        <v>0</v>
      </c>
      <c r="BV5" s="71">
        <f t="shared" ref="BV5:BV15" si="57">SUM(BH5,BA5,AT5,AM5,AF5,Y5,R5,K5,D5)</f>
        <v>2000</v>
      </c>
      <c r="BW5" s="72">
        <f t="shared" si="31"/>
        <v>900</v>
      </c>
      <c r="BX5" s="73">
        <f t="shared" si="32"/>
        <v>2900</v>
      </c>
      <c r="BY5" s="73">
        <f t="shared" ref="BY5:BZ5" si="46">SUM(BK5,BD5,AW5,AP5,AI5,AB5,U5,N5,G5)</f>
        <v>4.5</v>
      </c>
      <c r="BZ5" s="73">
        <f t="shared" si="46"/>
        <v>10</v>
      </c>
      <c r="CA5" s="74">
        <f t="shared" si="34"/>
        <v>2000</v>
      </c>
      <c r="CB5" s="71">
        <f t="shared" si="35"/>
        <v>3000</v>
      </c>
      <c r="CC5" s="72">
        <f t="shared" si="36"/>
        <v>6000</v>
      </c>
    </row>
    <row r="6" ht="14.25" customHeight="1">
      <c r="A6" s="75" t="s">
        <v>21</v>
      </c>
      <c r="B6" s="76">
        <v>9.74498509E8</v>
      </c>
      <c r="C6" s="77">
        <v>0.0</v>
      </c>
      <c r="D6" s="78">
        <v>0.0</v>
      </c>
      <c r="E6" s="79"/>
      <c r="F6" s="79">
        <f t="shared" si="11"/>
        <v>0</v>
      </c>
      <c r="G6" s="79">
        <f t="shared" ref="G6:H6" si="47">C6/200</f>
        <v>0</v>
      </c>
      <c r="H6" s="79">
        <f t="shared" si="47"/>
        <v>0</v>
      </c>
      <c r="I6" s="80"/>
      <c r="J6" s="77">
        <v>100.0</v>
      </c>
      <c r="K6" s="78">
        <v>200.0</v>
      </c>
      <c r="L6" s="79"/>
      <c r="M6" s="79">
        <f t="shared" si="13"/>
        <v>300</v>
      </c>
      <c r="N6" s="79">
        <f t="shared" ref="N6:O6" si="48">J6/200</f>
        <v>0.5</v>
      </c>
      <c r="O6" s="79">
        <f t="shared" si="48"/>
        <v>1</v>
      </c>
      <c r="P6" s="81">
        <v>1000.0</v>
      </c>
      <c r="Q6" s="77">
        <v>100.0</v>
      </c>
      <c r="R6" s="78">
        <v>200.0</v>
      </c>
      <c r="S6" s="78">
        <v>200.0</v>
      </c>
      <c r="T6" s="79">
        <f t="shared" si="15"/>
        <v>500</v>
      </c>
      <c r="U6" s="79">
        <f t="shared" ref="U6:V6" si="49">Q6/200</f>
        <v>0.5</v>
      </c>
      <c r="V6" s="79">
        <f t="shared" si="49"/>
        <v>1</v>
      </c>
      <c r="W6" s="80"/>
      <c r="X6" s="77">
        <v>100.0</v>
      </c>
      <c r="Y6" s="78">
        <v>200.0</v>
      </c>
      <c r="Z6" s="78">
        <v>200.0</v>
      </c>
      <c r="AA6" s="79">
        <f t="shared" si="17"/>
        <v>500</v>
      </c>
      <c r="AB6" s="79">
        <f t="shared" ref="AB6:AC6" si="50">X6/200</f>
        <v>0.5</v>
      </c>
      <c r="AC6" s="79">
        <f t="shared" si="50"/>
        <v>1</v>
      </c>
      <c r="AD6" s="80"/>
      <c r="AE6" s="77">
        <v>100.0</v>
      </c>
      <c r="AF6" s="78">
        <v>200.0</v>
      </c>
      <c r="AG6" s="78">
        <v>500.0</v>
      </c>
      <c r="AH6" s="79">
        <f t="shared" si="19"/>
        <v>800</v>
      </c>
      <c r="AI6" s="79">
        <f t="shared" ref="AI6:AJ6" si="51">AE6/200</f>
        <v>0.5</v>
      </c>
      <c r="AJ6" s="79">
        <f t="shared" si="51"/>
        <v>1</v>
      </c>
      <c r="AK6" s="80"/>
      <c r="AL6" s="77">
        <v>100.0</v>
      </c>
      <c r="AM6" s="78">
        <v>400.0</v>
      </c>
      <c r="AN6" s="78">
        <v>300.0</v>
      </c>
      <c r="AO6" s="79">
        <f t="shared" si="21"/>
        <v>800</v>
      </c>
      <c r="AP6" s="79">
        <f t="shared" ref="AP6:AQ6" si="52">AL6/200</f>
        <v>0.5</v>
      </c>
      <c r="AQ6" s="79">
        <f t="shared" si="52"/>
        <v>2</v>
      </c>
      <c r="AR6" s="80"/>
      <c r="AS6" s="77">
        <v>100.0</v>
      </c>
      <c r="AT6" s="78">
        <v>500.0</v>
      </c>
      <c r="AU6" s="79"/>
      <c r="AV6" s="79">
        <f t="shared" si="23"/>
        <v>600</v>
      </c>
      <c r="AW6" s="79">
        <f t="shared" ref="AW6:AX6" si="53">AS6/200</f>
        <v>0.5</v>
      </c>
      <c r="AX6" s="79">
        <f t="shared" si="53"/>
        <v>2.5</v>
      </c>
      <c r="AY6" s="80"/>
      <c r="AZ6" s="82">
        <v>100.0</v>
      </c>
      <c r="BA6" s="78">
        <v>400.0</v>
      </c>
      <c r="BB6" s="79">
        <v>0.0</v>
      </c>
      <c r="BC6" s="79">
        <f t="shared" si="25"/>
        <v>500</v>
      </c>
      <c r="BD6" s="79">
        <f t="shared" ref="BD6:BE6" si="54">AZ6/200</f>
        <v>0.5</v>
      </c>
      <c r="BE6" s="79">
        <f t="shared" si="54"/>
        <v>2</v>
      </c>
      <c r="BF6" s="80"/>
      <c r="BG6" s="77">
        <v>100.0</v>
      </c>
      <c r="BH6" s="78">
        <v>400.0</v>
      </c>
      <c r="BI6" s="79">
        <v>0.0</v>
      </c>
      <c r="BJ6" s="79">
        <f t="shared" si="27"/>
        <v>500</v>
      </c>
      <c r="BK6" s="79">
        <f t="shared" ref="BK6:BL6" si="55">BG6/200</f>
        <v>0.5</v>
      </c>
      <c r="BL6" s="79">
        <f t="shared" si="55"/>
        <v>2</v>
      </c>
      <c r="BM6" s="80"/>
      <c r="BN6" s="83">
        <v>0.0</v>
      </c>
      <c r="BO6" s="79"/>
      <c r="BP6" s="80">
        <f t="shared" si="56"/>
        <v>0</v>
      </c>
      <c r="BQ6" s="83">
        <v>0.0</v>
      </c>
      <c r="BR6" s="79"/>
      <c r="BS6" s="80">
        <f t="shared" si="29"/>
        <v>0</v>
      </c>
      <c r="BT6" s="83">
        <v>0.0</v>
      </c>
      <c r="BU6" s="80">
        <f t="shared" si="30"/>
        <v>0</v>
      </c>
      <c r="BV6" s="84">
        <f t="shared" si="57"/>
        <v>2500</v>
      </c>
      <c r="BW6" s="85">
        <f t="shared" si="31"/>
        <v>800</v>
      </c>
      <c r="BX6" s="86">
        <f t="shared" si="32"/>
        <v>3300</v>
      </c>
      <c r="BY6" s="86">
        <f t="shared" ref="BY6:BZ6" si="58">SUM(BK6,BD6,AW6,AP6,AI6,AB6,U6,N6,G6)</f>
        <v>4</v>
      </c>
      <c r="BZ6" s="86">
        <f t="shared" si="58"/>
        <v>12.5</v>
      </c>
      <c r="CA6" s="87">
        <f t="shared" si="34"/>
        <v>1200</v>
      </c>
      <c r="CB6" s="84">
        <f t="shared" si="35"/>
        <v>1000</v>
      </c>
      <c r="CC6" s="85">
        <f t="shared" si="36"/>
        <v>7500</v>
      </c>
    </row>
    <row r="7" ht="14.25" customHeight="1">
      <c r="A7" s="88" t="s">
        <v>22</v>
      </c>
      <c r="B7" s="35">
        <v>9.78647507E8</v>
      </c>
      <c r="C7" s="40">
        <v>100.0</v>
      </c>
      <c r="D7" s="38">
        <v>200.0</v>
      </c>
      <c r="E7" s="37"/>
      <c r="F7" s="37">
        <f t="shared" si="11"/>
        <v>300</v>
      </c>
      <c r="G7" s="37">
        <f t="shared" ref="G7:H7" si="59">C7/200</f>
        <v>0.5</v>
      </c>
      <c r="H7" s="37">
        <f t="shared" si="59"/>
        <v>1</v>
      </c>
      <c r="I7" s="42">
        <v>800.0</v>
      </c>
      <c r="J7" s="40">
        <v>100.0</v>
      </c>
      <c r="K7" s="38">
        <v>200.0</v>
      </c>
      <c r="L7" s="37"/>
      <c r="M7" s="37">
        <f t="shared" si="13"/>
        <v>300</v>
      </c>
      <c r="N7" s="37">
        <f t="shared" ref="N7:O7" si="60">J7/200</f>
        <v>0.5</v>
      </c>
      <c r="O7" s="37">
        <f t="shared" si="60"/>
        <v>1</v>
      </c>
      <c r="P7" s="39"/>
      <c r="Q7" s="40">
        <v>100.0</v>
      </c>
      <c r="R7" s="38">
        <v>200.0</v>
      </c>
      <c r="S7" s="37"/>
      <c r="T7" s="37">
        <f t="shared" si="15"/>
        <v>300</v>
      </c>
      <c r="U7" s="37">
        <f t="shared" ref="U7:V7" si="61">Q7/200</f>
        <v>0.5</v>
      </c>
      <c r="V7" s="37">
        <f t="shared" si="61"/>
        <v>1</v>
      </c>
      <c r="W7" s="39"/>
      <c r="X7" s="40">
        <v>100.0</v>
      </c>
      <c r="Y7" s="38">
        <v>200.0</v>
      </c>
      <c r="Z7" s="38">
        <v>0.0</v>
      </c>
      <c r="AA7" s="37">
        <f t="shared" si="17"/>
        <v>300</v>
      </c>
      <c r="AB7" s="37">
        <f t="shared" ref="AB7:AC7" si="62">X7/200</f>
        <v>0.5</v>
      </c>
      <c r="AC7" s="37">
        <f t="shared" si="62"/>
        <v>1</v>
      </c>
      <c r="AD7" s="39"/>
      <c r="AE7" s="40">
        <v>100.0</v>
      </c>
      <c r="AF7" s="38">
        <v>200.0</v>
      </c>
      <c r="AG7" s="37"/>
      <c r="AH7" s="38">
        <v>200.0</v>
      </c>
      <c r="AI7" s="37">
        <f t="shared" ref="AI7:AJ7" si="63">AE7/200</f>
        <v>0.5</v>
      </c>
      <c r="AJ7" s="37">
        <f t="shared" si="63"/>
        <v>1</v>
      </c>
      <c r="AK7" s="42">
        <v>2000.0</v>
      </c>
      <c r="AL7" s="40">
        <v>100.0</v>
      </c>
      <c r="AM7" s="38">
        <v>400.0</v>
      </c>
      <c r="AN7" s="38">
        <v>400.0</v>
      </c>
      <c r="AO7" s="37">
        <f t="shared" si="21"/>
        <v>900</v>
      </c>
      <c r="AP7" s="37">
        <f t="shared" ref="AP7:AQ7" si="64">AL7/200</f>
        <v>0.5</v>
      </c>
      <c r="AQ7" s="37">
        <f t="shared" si="64"/>
        <v>2</v>
      </c>
      <c r="AR7" s="39"/>
      <c r="AS7" s="40">
        <v>100.0</v>
      </c>
      <c r="AT7" s="38">
        <v>200.0</v>
      </c>
      <c r="AU7" s="37"/>
      <c r="AV7" s="37">
        <f t="shared" si="23"/>
        <v>300</v>
      </c>
      <c r="AW7" s="37">
        <f t="shared" ref="AW7:AX7" si="65">AS7/200</f>
        <v>0.5</v>
      </c>
      <c r="AX7" s="37">
        <f t="shared" si="65"/>
        <v>1</v>
      </c>
      <c r="AY7" s="39"/>
      <c r="AZ7" s="89">
        <v>100.0</v>
      </c>
      <c r="BA7" s="38">
        <v>200.0</v>
      </c>
      <c r="BB7" s="37">
        <v>0.0</v>
      </c>
      <c r="BC7" s="37">
        <f t="shared" si="25"/>
        <v>300</v>
      </c>
      <c r="BD7" s="37">
        <f t="shared" ref="BD7:BE7" si="66">AZ7/200</f>
        <v>0.5</v>
      </c>
      <c r="BE7" s="37">
        <f t="shared" si="66"/>
        <v>1</v>
      </c>
      <c r="BF7" s="42">
        <v>2300.0</v>
      </c>
      <c r="BG7" s="40">
        <v>100.0</v>
      </c>
      <c r="BH7" s="38">
        <v>200.0</v>
      </c>
      <c r="BI7" s="38">
        <v>400.0</v>
      </c>
      <c r="BJ7" s="37">
        <f t="shared" si="27"/>
        <v>700</v>
      </c>
      <c r="BK7" s="37">
        <f t="shared" ref="BK7:BL7" si="67">BG7/200</f>
        <v>0.5</v>
      </c>
      <c r="BL7" s="37">
        <f t="shared" si="67"/>
        <v>1</v>
      </c>
      <c r="BM7" s="39"/>
      <c r="BN7" s="40">
        <v>700.0</v>
      </c>
      <c r="BO7" s="37"/>
      <c r="BP7" s="39">
        <f t="shared" si="56"/>
        <v>700</v>
      </c>
      <c r="BQ7" s="40">
        <v>1300.0</v>
      </c>
      <c r="BR7" s="38"/>
      <c r="BS7" s="39">
        <f t="shared" si="29"/>
        <v>1300</v>
      </c>
      <c r="BT7" s="40"/>
      <c r="BU7" s="39">
        <f t="shared" si="30"/>
        <v>0</v>
      </c>
      <c r="BV7" s="43">
        <f t="shared" si="57"/>
        <v>2000</v>
      </c>
      <c r="BW7" s="44">
        <f t="shared" si="31"/>
        <v>900</v>
      </c>
      <c r="BX7" s="45">
        <f t="shared" si="32"/>
        <v>2900</v>
      </c>
      <c r="BY7" s="46">
        <f t="shared" ref="BY7:BZ7" si="68">SUM(BK7,BD7,AW7,AP7,AI7,AB7,U7,N7,G7)</f>
        <v>4.5</v>
      </c>
      <c r="BZ7" s="46">
        <f t="shared" si="68"/>
        <v>10</v>
      </c>
      <c r="CA7" s="47">
        <f t="shared" si="34"/>
        <v>2800</v>
      </c>
      <c r="CB7" s="48">
        <f t="shared" si="35"/>
        <v>5100</v>
      </c>
      <c r="CC7" s="49">
        <f t="shared" si="36"/>
        <v>6000</v>
      </c>
    </row>
    <row r="8" ht="14.25" customHeight="1">
      <c r="A8" s="90" t="s">
        <v>23</v>
      </c>
      <c r="B8" s="91">
        <v>9.71817434E8</v>
      </c>
      <c r="C8" s="92">
        <v>100.0</v>
      </c>
      <c r="D8" s="93">
        <v>200.0</v>
      </c>
      <c r="E8" s="94"/>
      <c r="F8" s="94">
        <f t="shared" si="11"/>
        <v>300</v>
      </c>
      <c r="G8" s="94">
        <f t="shared" ref="G8:H8" si="69">C8/200</f>
        <v>0.5</v>
      </c>
      <c r="H8" s="94">
        <f t="shared" si="69"/>
        <v>1</v>
      </c>
      <c r="I8" s="95">
        <v>1000.0</v>
      </c>
      <c r="J8" s="92">
        <v>100.0</v>
      </c>
      <c r="K8" s="93">
        <v>200.0</v>
      </c>
      <c r="L8" s="94"/>
      <c r="M8" s="94">
        <f t="shared" si="13"/>
        <v>300</v>
      </c>
      <c r="N8" s="94">
        <f t="shared" ref="N8:O8" si="70">J8/200</f>
        <v>0.5</v>
      </c>
      <c r="O8" s="94">
        <f t="shared" si="70"/>
        <v>1</v>
      </c>
      <c r="P8" s="96"/>
      <c r="Q8" s="92">
        <v>0.0</v>
      </c>
      <c r="R8" s="93">
        <v>0.0</v>
      </c>
      <c r="S8" s="93">
        <v>0.0</v>
      </c>
      <c r="T8" s="94">
        <f t="shared" si="15"/>
        <v>0</v>
      </c>
      <c r="U8" s="94">
        <f t="shared" ref="U8:V8" si="71">Q8/200</f>
        <v>0</v>
      </c>
      <c r="V8" s="94">
        <f t="shared" si="71"/>
        <v>0</v>
      </c>
      <c r="W8" s="96"/>
      <c r="X8" s="92">
        <v>100.0</v>
      </c>
      <c r="Y8" s="93">
        <v>200.0</v>
      </c>
      <c r="Z8" s="93">
        <v>200.0</v>
      </c>
      <c r="AA8" s="94">
        <f t="shared" si="17"/>
        <v>500</v>
      </c>
      <c r="AB8" s="94">
        <f t="shared" ref="AB8:AC8" si="72">X8/200</f>
        <v>0.5</v>
      </c>
      <c r="AC8" s="94">
        <f t="shared" si="72"/>
        <v>1</v>
      </c>
      <c r="AD8" s="96"/>
      <c r="AE8" s="92">
        <v>100.0</v>
      </c>
      <c r="AF8" s="93">
        <v>200.0</v>
      </c>
      <c r="AG8" s="93">
        <v>200.0</v>
      </c>
      <c r="AH8" s="94">
        <f t="shared" ref="AH8:AH14" si="83">SUM(AE8,AF8,AG8)</f>
        <v>500</v>
      </c>
      <c r="AI8" s="94">
        <f t="shared" ref="AI8:AJ8" si="73">AE8/200</f>
        <v>0.5</v>
      </c>
      <c r="AJ8" s="94">
        <f t="shared" si="73"/>
        <v>1</v>
      </c>
      <c r="AK8" s="96"/>
      <c r="AL8" s="92">
        <v>100.0</v>
      </c>
      <c r="AM8" s="93">
        <v>200.0</v>
      </c>
      <c r="AN8" s="93">
        <v>200.0</v>
      </c>
      <c r="AO8" s="94">
        <f t="shared" si="21"/>
        <v>500</v>
      </c>
      <c r="AP8" s="94">
        <f t="shared" ref="AP8:AQ8" si="74">AL8/200</f>
        <v>0.5</v>
      </c>
      <c r="AQ8" s="94">
        <f t="shared" si="74"/>
        <v>1</v>
      </c>
      <c r="AR8" s="96"/>
      <c r="AS8" s="92">
        <v>100.0</v>
      </c>
      <c r="AT8" s="93">
        <v>200.0</v>
      </c>
      <c r="AU8" s="94"/>
      <c r="AV8" s="94">
        <f t="shared" si="23"/>
        <v>300</v>
      </c>
      <c r="AW8" s="94">
        <f t="shared" ref="AW8:AX8" si="75">AS8/200</f>
        <v>0.5</v>
      </c>
      <c r="AX8" s="94">
        <f t="shared" si="75"/>
        <v>1</v>
      </c>
      <c r="AY8" s="95">
        <v>3000.0</v>
      </c>
      <c r="AZ8" s="97">
        <v>0.0</v>
      </c>
      <c r="BA8" s="94">
        <v>0.0</v>
      </c>
      <c r="BB8" s="94">
        <v>0.0</v>
      </c>
      <c r="BC8" s="94">
        <f t="shared" si="25"/>
        <v>0</v>
      </c>
      <c r="BD8" s="94">
        <f t="shared" ref="BD8:BE8" si="76">AZ8/200</f>
        <v>0</v>
      </c>
      <c r="BE8" s="94">
        <f t="shared" si="76"/>
        <v>0</v>
      </c>
      <c r="BF8" s="96"/>
      <c r="BG8" s="92">
        <v>100.0</v>
      </c>
      <c r="BH8" s="93">
        <v>200.0</v>
      </c>
      <c r="BI8" s="93">
        <v>700.0</v>
      </c>
      <c r="BJ8" s="94">
        <f t="shared" si="27"/>
        <v>1000</v>
      </c>
      <c r="BK8" s="94">
        <f t="shared" ref="BK8:BL8" si="77">BG8/200</f>
        <v>0.5</v>
      </c>
      <c r="BL8" s="94">
        <f t="shared" si="77"/>
        <v>1</v>
      </c>
      <c r="BM8" s="96"/>
      <c r="BN8" s="92">
        <v>1000.0</v>
      </c>
      <c r="BO8" s="94"/>
      <c r="BP8" s="96">
        <f t="shared" si="56"/>
        <v>1000</v>
      </c>
      <c r="BQ8" s="98">
        <v>0.0</v>
      </c>
      <c r="BR8" s="94"/>
      <c r="BS8" s="96">
        <f t="shared" si="29"/>
        <v>0</v>
      </c>
      <c r="BT8" s="98">
        <v>0.0</v>
      </c>
      <c r="BU8" s="96">
        <f t="shared" si="30"/>
        <v>0</v>
      </c>
      <c r="BV8" s="99">
        <f t="shared" si="57"/>
        <v>1400</v>
      </c>
      <c r="BW8" s="100">
        <f t="shared" si="31"/>
        <v>700</v>
      </c>
      <c r="BX8" s="101">
        <f t="shared" si="32"/>
        <v>2100</v>
      </c>
      <c r="BY8" s="101">
        <f t="shared" ref="BY8:BZ8" si="78">SUM(BK8,BD8,AW8,AP8,AI8,AB8,U8,N8,G8)</f>
        <v>3.5</v>
      </c>
      <c r="BZ8" s="101">
        <f t="shared" si="78"/>
        <v>7</v>
      </c>
      <c r="CA8" s="102">
        <f t="shared" si="34"/>
        <v>2300</v>
      </c>
      <c r="CB8" s="99">
        <f t="shared" si="35"/>
        <v>4000</v>
      </c>
      <c r="CC8" s="100">
        <f t="shared" si="36"/>
        <v>4200</v>
      </c>
    </row>
    <row r="9" ht="14.25" customHeight="1">
      <c r="A9" s="103" t="s">
        <v>24</v>
      </c>
      <c r="B9" s="104">
        <v>9.77516128E8</v>
      </c>
      <c r="C9" s="105">
        <v>100.0</v>
      </c>
      <c r="D9" s="106">
        <v>200.0</v>
      </c>
      <c r="E9" s="107"/>
      <c r="F9" s="107">
        <f t="shared" si="11"/>
        <v>300</v>
      </c>
      <c r="G9" s="107">
        <f t="shared" ref="G9:H9" si="79">C9/200</f>
        <v>0.5</v>
      </c>
      <c r="H9" s="107">
        <f t="shared" si="79"/>
        <v>1</v>
      </c>
      <c r="I9" s="108"/>
      <c r="J9" s="105">
        <v>100.0</v>
      </c>
      <c r="K9" s="106">
        <v>200.0</v>
      </c>
      <c r="L9" s="107"/>
      <c r="M9" s="107">
        <f t="shared" si="13"/>
        <v>300</v>
      </c>
      <c r="N9" s="107">
        <f t="shared" ref="N9:O9" si="80">J9/200</f>
        <v>0.5</v>
      </c>
      <c r="O9" s="107">
        <f t="shared" si="80"/>
        <v>1</v>
      </c>
      <c r="P9" s="108"/>
      <c r="Q9" s="105">
        <v>100.0</v>
      </c>
      <c r="R9" s="106">
        <v>200.0</v>
      </c>
      <c r="S9" s="107"/>
      <c r="T9" s="107">
        <f t="shared" si="15"/>
        <v>300</v>
      </c>
      <c r="U9" s="107">
        <f t="shared" ref="U9:V9" si="81">Q9/200</f>
        <v>0.5</v>
      </c>
      <c r="V9" s="107">
        <f t="shared" si="81"/>
        <v>1</v>
      </c>
      <c r="W9" s="109">
        <v>1800.0</v>
      </c>
      <c r="X9" s="105">
        <v>100.0</v>
      </c>
      <c r="Y9" s="106">
        <v>200.0</v>
      </c>
      <c r="Z9" s="106">
        <v>180.0</v>
      </c>
      <c r="AA9" s="107">
        <f t="shared" si="17"/>
        <v>480</v>
      </c>
      <c r="AB9" s="107">
        <f t="shared" ref="AB9:AC9" si="82">X9/200</f>
        <v>0.5</v>
      </c>
      <c r="AC9" s="107">
        <f t="shared" si="82"/>
        <v>1</v>
      </c>
      <c r="AD9" s="108"/>
      <c r="AE9" s="105">
        <v>100.0</v>
      </c>
      <c r="AF9" s="106">
        <v>200.0</v>
      </c>
      <c r="AG9" s="106">
        <v>2528.0</v>
      </c>
      <c r="AH9" s="107">
        <f t="shared" si="83"/>
        <v>2828</v>
      </c>
      <c r="AI9" s="107">
        <f t="shared" ref="AI9:AJ9" si="84">AE9/200</f>
        <v>0.5</v>
      </c>
      <c r="AJ9" s="107">
        <f t="shared" si="84"/>
        <v>1</v>
      </c>
      <c r="AK9" s="109">
        <v>1528.0</v>
      </c>
      <c r="AL9" s="105">
        <v>100.0</v>
      </c>
      <c r="AM9" s="106">
        <v>200.0</v>
      </c>
      <c r="AN9" s="106">
        <v>200.0</v>
      </c>
      <c r="AO9" s="107">
        <f t="shared" si="21"/>
        <v>500</v>
      </c>
      <c r="AP9" s="107">
        <f t="shared" ref="AP9:AQ9" si="85">AL9/200</f>
        <v>0.5</v>
      </c>
      <c r="AQ9" s="107">
        <f t="shared" si="85"/>
        <v>1</v>
      </c>
      <c r="AR9" s="108"/>
      <c r="AS9" s="105">
        <v>100.0</v>
      </c>
      <c r="AT9" s="106">
        <v>200.0</v>
      </c>
      <c r="AU9" s="106">
        <v>851.45</v>
      </c>
      <c r="AV9" s="107">
        <f t="shared" si="23"/>
        <v>1151.45</v>
      </c>
      <c r="AW9" s="107">
        <f t="shared" ref="AW9:AX9" si="86">AS9/200</f>
        <v>0.5</v>
      </c>
      <c r="AX9" s="107">
        <f t="shared" si="86"/>
        <v>1</v>
      </c>
      <c r="AY9" s="109">
        <v>3151.45</v>
      </c>
      <c r="AZ9" s="110">
        <v>0.0</v>
      </c>
      <c r="BA9" s="107">
        <v>0.0</v>
      </c>
      <c r="BB9" s="107">
        <v>0.0</v>
      </c>
      <c r="BC9" s="107">
        <f t="shared" si="25"/>
        <v>0</v>
      </c>
      <c r="BD9" s="107">
        <f t="shared" ref="BD9:BE9" si="87">AZ9/200</f>
        <v>0</v>
      </c>
      <c r="BE9" s="107">
        <f t="shared" si="87"/>
        <v>0</v>
      </c>
      <c r="BF9" s="108"/>
      <c r="BG9" s="105">
        <v>100.0</v>
      </c>
      <c r="BH9" s="107">
        <v>0.0</v>
      </c>
      <c r="BI9" s="106">
        <v>300.0</v>
      </c>
      <c r="BJ9" s="107">
        <f t="shared" si="27"/>
        <v>400</v>
      </c>
      <c r="BK9" s="107">
        <f t="shared" ref="BK9:BL9" si="88">BG9/200</f>
        <v>0.5</v>
      </c>
      <c r="BL9" s="107">
        <f t="shared" si="88"/>
        <v>0</v>
      </c>
      <c r="BM9" s="108"/>
      <c r="BN9" s="105">
        <v>2600.0</v>
      </c>
      <c r="BO9" s="107"/>
      <c r="BP9" s="108">
        <f t="shared" si="56"/>
        <v>2600</v>
      </c>
      <c r="BQ9" s="105">
        <v>300.0</v>
      </c>
      <c r="BR9" s="107"/>
      <c r="BS9" s="108">
        <f t="shared" si="29"/>
        <v>300</v>
      </c>
      <c r="BT9" s="111">
        <v>0.0</v>
      </c>
      <c r="BU9" s="108">
        <f t="shared" si="30"/>
        <v>0</v>
      </c>
      <c r="BV9" s="112">
        <f t="shared" si="57"/>
        <v>1400</v>
      </c>
      <c r="BW9" s="113">
        <f t="shared" si="31"/>
        <v>800</v>
      </c>
      <c r="BX9" s="114">
        <f t="shared" si="32"/>
        <v>2200</v>
      </c>
      <c r="BY9" s="114">
        <f t="shared" ref="BY9:BZ9" si="89">SUM(BK9,BD9,AW9,AP9,AI9,AB9,U9,N9,G9)</f>
        <v>4</v>
      </c>
      <c r="BZ9" s="114">
        <f t="shared" si="89"/>
        <v>7</v>
      </c>
      <c r="CA9" s="115">
        <f t="shared" si="34"/>
        <v>6959.45</v>
      </c>
      <c r="CB9" s="112">
        <f t="shared" si="35"/>
        <v>6479.45</v>
      </c>
      <c r="CC9" s="113">
        <f t="shared" si="36"/>
        <v>4200</v>
      </c>
    </row>
    <row r="10" ht="14.25" customHeight="1">
      <c r="A10" s="116" t="s">
        <v>25</v>
      </c>
      <c r="B10" s="117">
        <v>9.76663626E8</v>
      </c>
      <c r="C10" s="118">
        <v>0.0</v>
      </c>
      <c r="D10" s="119">
        <v>0.0</v>
      </c>
      <c r="E10" s="120"/>
      <c r="F10" s="120">
        <f t="shared" si="11"/>
        <v>0</v>
      </c>
      <c r="G10" s="120">
        <f t="shared" ref="G10:H10" si="90">C10/200</f>
        <v>0</v>
      </c>
      <c r="H10" s="120">
        <f t="shared" si="90"/>
        <v>0</v>
      </c>
      <c r="I10" s="121"/>
      <c r="J10" s="118">
        <v>0.0</v>
      </c>
      <c r="K10" s="119">
        <v>0.0</v>
      </c>
      <c r="L10" s="120"/>
      <c r="M10" s="120">
        <f t="shared" si="13"/>
        <v>0</v>
      </c>
      <c r="N10" s="120">
        <f t="shared" ref="N10:O10" si="91">J10/200</f>
        <v>0</v>
      </c>
      <c r="O10" s="120">
        <f t="shared" si="91"/>
        <v>0</v>
      </c>
      <c r="P10" s="121"/>
      <c r="Q10" s="118">
        <v>100.0</v>
      </c>
      <c r="R10" s="119">
        <v>200.0</v>
      </c>
      <c r="S10" s="120"/>
      <c r="T10" s="120">
        <f t="shared" si="15"/>
        <v>300</v>
      </c>
      <c r="U10" s="120">
        <f t="shared" ref="U10:V10" si="92">Q10/200</f>
        <v>0.5</v>
      </c>
      <c r="V10" s="120">
        <f t="shared" si="92"/>
        <v>1</v>
      </c>
      <c r="W10" s="121"/>
      <c r="X10" s="118">
        <v>100.0</v>
      </c>
      <c r="Y10" s="119">
        <v>800.0</v>
      </c>
      <c r="Z10" s="119">
        <v>0.0</v>
      </c>
      <c r="AA10" s="120">
        <f t="shared" si="17"/>
        <v>900</v>
      </c>
      <c r="AB10" s="120">
        <f t="shared" ref="AB10:AC10" si="93">X10/200</f>
        <v>0.5</v>
      </c>
      <c r="AC10" s="120">
        <f t="shared" si="93"/>
        <v>4</v>
      </c>
      <c r="AD10" s="122">
        <v>3900.0</v>
      </c>
      <c r="AE10" s="118">
        <v>100.0</v>
      </c>
      <c r="AF10" s="119">
        <v>400.0</v>
      </c>
      <c r="AG10" s="119">
        <v>1500.0</v>
      </c>
      <c r="AH10" s="120">
        <f t="shared" si="83"/>
        <v>2000</v>
      </c>
      <c r="AI10" s="120">
        <f t="shared" ref="AI10:AJ10" si="94">AE10/200</f>
        <v>0.5</v>
      </c>
      <c r="AJ10" s="120">
        <f t="shared" si="94"/>
        <v>2</v>
      </c>
      <c r="AK10" s="122">
        <v>1300.0</v>
      </c>
      <c r="AL10" s="118">
        <v>100.0</v>
      </c>
      <c r="AM10" s="120"/>
      <c r="AN10" s="119">
        <v>200.0</v>
      </c>
      <c r="AO10" s="120">
        <f t="shared" si="21"/>
        <v>300</v>
      </c>
      <c r="AP10" s="120">
        <f t="shared" ref="AP10:AQ10" si="95">AL10/200</f>
        <v>0.5</v>
      </c>
      <c r="AQ10" s="120">
        <f t="shared" si="95"/>
        <v>0</v>
      </c>
      <c r="AR10" s="121"/>
      <c r="AS10" s="123"/>
      <c r="AT10" s="120"/>
      <c r="AU10" s="119">
        <v>300.0</v>
      </c>
      <c r="AV10" s="120">
        <f t="shared" si="23"/>
        <v>300</v>
      </c>
      <c r="AW10" s="120">
        <f t="shared" ref="AW10:AX10" si="96">AS10/200</f>
        <v>0</v>
      </c>
      <c r="AX10" s="120">
        <f t="shared" si="96"/>
        <v>0</v>
      </c>
      <c r="AY10" s="121"/>
      <c r="AZ10" s="124">
        <v>0.0</v>
      </c>
      <c r="BA10" s="120">
        <v>0.0</v>
      </c>
      <c r="BB10" s="120">
        <v>0.0</v>
      </c>
      <c r="BC10" s="120">
        <f t="shared" si="25"/>
        <v>0</v>
      </c>
      <c r="BD10" s="120">
        <f t="shared" ref="BD10:BE10" si="97">AZ10/200</f>
        <v>0</v>
      </c>
      <c r="BE10" s="120">
        <f t="shared" si="97"/>
        <v>0</v>
      </c>
      <c r="BF10" s="121"/>
      <c r="BG10" s="118">
        <v>100.0</v>
      </c>
      <c r="BH10" s="119">
        <v>400.0</v>
      </c>
      <c r="BI10" s="119">
        <v>1000.0</v>
      </c>
      <c r="BJ10" s="120">
        <f t="shared" si="27"/>
        <v>1500</v>
      </c>
      <c r="BK10" s="120">
        <f t="shared" ref="BK10:BL10" si="98">BG10/200</f>
        <v>0.5</v>
      </c>
      <c r="BL10" s="120">
        <f t="shared" si="98"/>
        <v>2</v>
      </c>
      <c r="BM10" s="121"/>
      <c r="BN10" s="123">
        <v>0.0</v>
      </c>
      <c r="BO10" s="120"/>
      <c r="BP10" s="121">
        <f t="shared" si="56"/>
        <v>0</v>
      </c>
      <c r="BQ10" s="118">
        <v>647.0</v>
      </c>
      <c r="BR10" s="120"/>
      <c r="BS10" s="121">
        <f t="shared" si="29"/>
        <v>647</v>
      </c>
      <c r="BT10" s="123">
        <v>0.0</v>
      </c>
      <c r="BU10" s="121">
        <f t="shared" si="30"/>
        <v>0</v>
      </c>
      <c r="BV10" s="125">
        <f t="shared" si="57"/>
        <v>1800</v>
      </c>
      <c r="BW10" s="126">
        <f t="shared" si="31"/>
        <v>500</v>
      </c>
      <c r="BX10" s="127">
        <f t="shared" si="32"/>
        <v>2300</v>
      </c>
      <c r="BY10" s="127">
        <f t="shared" ref="BY10:BZ10" si="99">SUM(BK10,BD10,AW10,AP10,AI10,AB10,U10,N10,G10)</f>
        <v>2.5</v>
      </c>
      <c r="BZ10" s="127">
        <f t="shared" si="99"/>
        <v>9</v>
      </c>
      <c r="CA10" s="128">
        <f t="shared" si="34"/>
        <v>3647</v>
      </c>
      <c r="CB10" s="125">
        <f t="shared" si="35"/>
        <v>5200</v>
      </c>
      <c r="CC10" s="126">
        <f t="shared" si="36"/>
        <v>5400</v>
      </c>
    </row>
    <row r="11" ht="14.25" customHeight="1">
      <c r="A11" s="129" t="s">
        <v>26</v>
      </c>
      <c r="B11" s="130">
        <v>9.73274443E8</v>
      </c>
      <c r="C11" s="131">
        <v>0.0</v>
      </c>
      <c r="D11" s="132">
        <v>0.0</v>
      </c>
      <c r="E11" s="133"/>
      <c r="F11" s="133">
        <f t="shared" si="11"/>
        <v>0</v>
      </c>
      <c r="G11" s="133">
        <f t="shared" ref="G11:H11" si="100">C11/200</f>
        <v>0</v>
      </c>
      <c r="H11" s="133">
        <f t="shared" si="100"/>
        <v>0</v>
      </c>
      <c r="I11" s="134"/>
      <c r="J11" s="131">
        <v>100.0</v>
      </c>
      <c r="K11" s="132">
        <v>200.0</v>
      </c>
      <c r="L11" s="133"/>
      <c r="M11" s="133">
        <f t="shared" si="13"/>
        <v>300</v>
      </c>
      <c r="N11" s="133">
        <f t="shared" ref="N11:O11" si="101">J11/200</f>
        <v>0.5</v>
      </c>
      <c r="O11" s="133">
        <f t="shared" si="101"/>
        <v>1</v>
      </c>
      <c r="P11" s="135">
        <v>900.0</v>
      </c>
      <c r="Q11" s="131">
        <v>0.0</v>
      </c>
      <c r="R11" s="132">
        <v>0.0</v>
      </c>
      <c r="S11" s="132">
        <v>0.0</v>
      </c>
      <c r="T11" s="133">
        <f t="shared" si="15"/>
        <v>0</v>
      </c>
      <c r="U11" s="133">
        <f t="shared" ref="U11:V11" si="102">Q11/200</f>
        <v>0</v>
      </c>
      <c r="V11" s="133">
        <f t="shared" si="102"/>
        <v>0</v>
      </c>
      <c r="W11" s="134"/>
      <c r="X11" s="131">
        <v>100.0</v>
      </c>
      <c r="Y11" s="132">
        <v>200.0</v>
      </c>
      <c r="Z11" s="132">
        <v>200.0</v>
      </c>
      <c r="AA11" s="133">
        <f t="shared" si="17"/>
        <v>500</v>
      </c>
      <c r="AB11" s="133">
        <f t="shared" ref="AB11:AC11" si="103">X11/200</f>
        <v>0.5</v>
      </c>
      <c r="AC11" s="133">
        <f t="shared" si="103"/>
        <v>1</v>
      </c>
      <c r="AD11" s="135">
        <v>580.0</v>
      </c>
      <c r="AE11" s="131">
        <v>100.0</v>
      </c>
      <c r="AF11" s="132">
        <v>200.0</v>
      </c>
      <c r="AG11" s="132">
        <v>200.0</v>
      </c>
      <c r="AH11" s="133">
        <f t="shared" si="83"/>
        <v>500</v>
      </c>
      <c r="AI11" s="133">
        <f t="shared" ref="AI11:AJ11" si="104">AE11/200</f>
        <v>0.5</v>
      </c>
      <c r="AJ11" s="133">
        <f t="shared" si="104"/>
        <v>1</v>
      </c>
      <c r="AK11" s="134"/>
      <c r="AL11" s="131">
        <v>100.0</v>
      </c>
      <c r="AM11" s="132">
        <v>200.0</v>
      </c>
      <c r="AN11" s="132">
        <v>200.0</v>
      </c>
      <c r="AO11" s="133">
        <f t="shared" si="21"/>
        <v>500</v>
      </c>
      <c r="AP11" s="133">
        <f t="shared" ref="AP11:AQ11" si="105">AL11/200</f>
        <v>0.5</v>
      </c>
      <c r="AQ11" s="133">
        <f t="shared" si="105"/>
        <v>1</v>
      </c>
      <c r="AR11" s="135">
        <v>3000.0</v>
      </c>
      <c r="AS11" s="131">
        <v>100.0</v>
      </c>
      <c r="AT11" s="132">
        <v>200.0</v>
      </c>
      <c r="AU11" s="132">
        <v>500.0</v>
      </c>
      <c r="AV11" s="133">
        <f t="shared" si="23"/>
        <v>800</v>
      </c>
      <c r="AW11" s="133">
        <f t="shared" ref="AW11:AX11" si="106">AS11/200</f>
        <v>0.5</v>
      </c>
      <c r="AX11" s="133">
        <f t="shared" si="106"/>
        <v>1</v>
      </c>
      <c r="AY11" s="134"/>
      <c r="AZ11" s="136">
        <v>100.0</v>
      </c>
      <c r="BA11" s="132">
        <v>200.0</v>
      </c>
      <c r="BB11" s="132">
        <v>200.0</v>
      </c>
      <c r="BC11" s="133">
        <f t="shared" si="25"/>
        <v>500</v>
      </c>
      <c r="BD11" s="133">
        <f t="shared" ref="BD11:BE11" si="107">AZ11/200</f>
        <v>0.5</v>
      </c>
      <c r="BE11" s="133">
        <f t="shared" si="107"/>
        <v>1</v>
      </c>
      <c r="BF11" s="135">
        <v>500.0</v>
      </c>
      <c r="BG11" s="131">
        <v>100.0</v>
      </c>
      <c r="BH11" s="132">
        <v>200.0</v>
      </c>
      <c r="BI11" s="132">
        <v>200.0</v>
      </c>
      <c r="BJ11" s="133">
        <f t="shared" si="27"/>
        <v>500</v>
      </c>
      <c r="BK11" s="133">
        <f t="shared" ref="BK11:BL11" si="108">BG11/200</f>
        <v>0.5</v>
      </c>
      <c r="BL11" s="133">
        <f t="shared" si="108"/>
        <v>1</v>
      </c>
      <c r="BM11" s="134"/>
      <c r="BN11" s="131">
        <v>500.0</v>
      </c>
      <c r="BO11" s="133"/>
      <c r="BP11" s="134">
        <f t="shared" si="56"/>
        <v>500</v>
      </c>
      <c r="BQ11" s="131">
        <v>1000.0</v>
      </c>
      <c r="BR11" s="133"/>
      <c r="BS11" s="134">
        <f t="shared" si="29"/>
        <v>1000</v>
      </c>
      <c r="BT11" s="137">
        <v>0.0</v>
      </c>
      <c r="BU11" s="134">
        <f t="shared" si="30"/>
        <v>0</v>
      </c>
      <c r="BV11" s="138">
        <f t="shared" si="57"/>
        <v>1400</v>
      </c>
      <c r="BW11" s="139">
        <f t="shared" si="31"/>
        <v>700</v>
      </c>
      <c r="BX11" s="140">
        <f t="shared" si="32"/>
        <v>2100</v>
      </c>
      <c r="BY11" s="140">
        <f t="shared" ref="BY11:BZ11" si="109">SUM(BK11,BD11,AW11,AP11,AI11,AB11,U11,N11,G11)</f>
        <v>3.5</v>
      </c>
      <c r="BZ11" s="140">
        <f t="shared" si="109"/>
        <v>7</v>
      </c>
      <c r="CA11" s="47">
        <f t="shared" si="34"/>
        <v>3000</v>
      </c>
      <c r="CB11" s="138">
        <f t="shared" si="35"/>
        <v>4980</v>
      </c>
      <c r="CC11" s="139">
        <f t="shared" si="36"/>
        <v>4200</v>
      </c>
    </row>
    <row r="12" ht="14.25" customHeight="1">
      <c r="A12" s="141" t="s">
        <v>27</v>
      </c>
      <c r="B12" s="35">
        <v>9.71585569E8</v>
      </c>
      <c r="C12" s="40">
        <v>0.0</v>
      </c>
      <c r="D12" s="38">
        <v>0.0</v>
      </c>
      <c r="E12" s="37"/>
      <c r="F12" s="37">
        <f t="shared" si="11"/>
        <v>0</v>
      </c>
      <c r="G12" s="37">
        <f t="shared" ref="G12:H12" si="110">C12/200</f>
        <v>0</v>
      </c>
      <c r="H12" s="37">
        <f t="shared" si="110"/>
        <v>0</v>
      </c>
      <c r="I12" s="39"/>
      <c r="J12" s="40">
        <v>0.0</v>
      </c>
      <c r="K12" s="38">
        <v>0.0</v>
      </c>
      <c r="L12" s="37"/>
      <c r="M12" s="37">
        <f t="shared" si="13"/>
        <v>0</v>
      </c>
      <c r="N12" s="37">
        <f t="shared" ref="N12:O12" si="111">J12/200</f>
        <v>0</v>
      </c>
      <c r="O12" s="37">
        <f t="shared" si="111"/>
        <v>0</v>
      </c>
      <c r="P12" s="39"/>
      <c r="Q12" s="40">
        <v>0.0</v>
      </c>
      <c r="R12" s="38">
        <v>0.0</v>
      </c>
      <c r="S12" s="37"/>
      <c r="T12" s="37">
        <f t="shared" si="15"/>
        <v>0</v>
      </c>
      <c r="U12" s="37">
        <f t="shared" ref="U12:V12" si="112">Q12/200</f>
        <v>0</v>
      </c>
      <c r="V12" s="37">
        <f t="shared" si="112"/>
        <v>0</v>
      </c>
      <c r="W12" s="39"/>
      <c r="X12" s="40">
        <v>0.0</v>
      </c>
      <c r="Y12" s="38">
        <v>0.0</v>
      </c>
      <c r="Z12" s="37"/>
      <c r="AA12" s="37">
        <f t="shared" si="17"/>
        <v>0</v>
      </c>
      <c r="AB12" s="37">
        <f t="shared" ref="AB12:AC12" si="113">X12/200</f>
        <v>0</v>
      </c>
      <c r="AC12" s="37">
        <f t="shared" si="113"/>
        <v>0</v>
      </c>
      <c r="AD12" s="39"/>
      <c r="AE12" s="40">
        <v>100.0</v>
      </c>
      <c r="AF12" s="38">
        <v>1000.0</v>
      </c>
      <c r="AG12" s="37"/>
      <c r="AH12" s="37">
        <f t="shared" si="83"/>
        <v>1100</v>
      </c>
      <c r="AI12" s="37">
        <f t="shared" ref="AI12:AJ12" si="114">AE12/200</f>
        <v>0.5</v>
      </c>
      <c r="AJ12" s="37">
        <f t="shared" si="114"/>
        <v>5</v>
      </c>
      <c r="AK12" s="42">
        <v>5000.0</v>
      </c>
      <c r="AL12" s="40">
        <v>100.0</v>
      </c>
      <c r="AM12" s="38">
        <v>200.0</v>
      </c>
      <c r="AN12" s="38">
        <v>200.0</v>
      </c>
      <c r="AO12" s="37">
        <f t="shared" si="21"/>
        <v>500</v>
      </c>
      <c r="AP12" s="37">
        <f t="shared" ref="AP12:AQ12" si="115">AL12/200</f>
        <v>0.5</v>
      </c>
      <c r="AQ12" s="37">
        <f t="shared" si="115"/>
        <v>1</v>
      </c>
      <c r="AR12" s="42"/>
      <c r="AS12" s="36"/>
      <c r="AT12" s="37"/>
      <c r="AU12" s="37"/>
      <c r="AV12" s="37">
        <f t="shared" si="23"/>
        <v>0</v>
      </c>
      <c r="AW12" s="37">
        <f t="shared" ref="AW12:AX12" si="116">AS12/200</f>
        <v>0</v>
      </c>
      <c r="AX12" s="37">
        <f t="shared" si="116"/>
        <v>0</v>
      </c>
      <c r="AY12" s="39"/>
      <c r="AZ12" s="41">
        <v>0.0</v>
      </c>
      <c r="BA12" s="37">
        <v>0.0</v>
      </c>
      <c r="BB12" s="38">
        <v>1000.0</v>
      </c>
      <c r="BC12" s="37">
        <f t="shared" si="25"/>
        <v>1000</v>
      </c>
      <c r="BD12" s="37">
        <f t="shared" ref="BD12:BE12" si="117">AZ12/200</f>
        <v>0</v>
      </c>
      <c r="BE12" s="37">
        <f t="shared" si="117"/>
        <v>0</v>
      </c>
      <c r="BF12" s="39"/>
      <c r="BG12" s="40">
        <v>100.0</v>
      </c>
      <c r="BH12" s="37">
        <v>0.0</v>
      </c>
      <c r="BI12" s="38">
        <v>400.0</v>
      </c>
      <c r="BJ12" s="37">
        <f t="shared" si="27"/>
        <v>500</v>
      </c>
      <c r="BK12" s="37">
        <f t="shared" ref="BK12:BL12" si="118">BG12/200</f>
        <v>0.5</v>
      </c>
      <c r="BL12" s="37">
        <f t="shared" si="118"/>
        <v>0</v>
      </c>
      <c r="BM12" s="39"/>
      <c r="BN12" s="36">
        <v>0.0</v>
      </c>
      <c r="BO12" s="37"/>
      <c r="BP12" s="39">
        <f t="shared" si="56"/>
        <v>0</v>
      </c>
      <c r="BQ12" s="40">
        <v>2950.0</v>
      </c>
      <c r="BR12" s="37"/>
      <c r="BS12" s="39">
        <f t="shared" si="29"/>
        <v>2950</v>
      </c>
      <c r="BT12" s="36">
        <v>0.0</v>
      </c>
      <c r="BU12" s="39">
        <f t="shared" si="30"/>
        <v>0</v>
      </c>
      <c r="BV12" s="43">
        <f t="shared" si="57"/>
        <v>1200</v>
      </c>
      <c r="BW12" s="44">
        <f t="shared" si="31"/>
        <v>300</v>
      </c>
      <c r="BX12" s="45">
        <f t="shared" si="32"/>
        <v>1500</v>
      </c>
      <c r="BY12" s="46">
        <f t="shared" ref="BY12:BZ12" si="119">SUM(BK12,BD12,AW12,AP12,AI12,AB12,U12,N12,G12)</f>
        <v>1.5</v>
      </c>
      <c r="BZ12" s="46">
        <f t="shared" si="119"/>
        <v>6</v>
      </c>
      <c r="CA12" s="47">
        <f t="shared" si="34"/>
        <v>4550</v>
      </c>
      <c r="CB12" s="48">
        <f t="shared" si="35"/>
        <v>5000</v>
      </c>
      <c r="CC12" s="49">
        <f t="shared" si="36"/>
        <v>3600</v>
      </c>
    </row>
    <row r="13" ht="14.25" customHeight="1">
      <c r="A13" s="142" t="s">
        <v>28</v>
      </c>
      <c r="B13" s="143">
        <v>7.73472923E8</v>
      </c>
      <c r="C13" s="144">
        <v>0.0</v>
      </c>
      <c r="D13" s="145">
        <v>0.0</v>
      </c>
      <c r="E13" s="146"/>
      <c r="F13" s="146">
        <f t="shared" si="11"/>
        <v>0</v>
      </c>
      <c r="G13" s="146">
        <f t="shared" ref="G13:H13" si="120">C13/200</f>
        <v>0</v>
      </c>
      <c r="H13" s="146">
        <f t="shared" si="120"/>
        <v>0</v>
      </c>
      <c r="I13" s="147"/>
      <c r="J13" s="144">
        <v>0.0</v>
      </c>
      <c r="K13" s="145">
        <v>0.0</v>
      </c>
      <c r="L13" s="146"/>
      <c r="M13" s="146">
        <f t="shared" si="13"/>
        <v>0</v>
      </c>
      <c r="N13" s="146">
        <f t="shared" ref="N13:O13" si="121">J13/200</f>
        <v>0</v>
      </c>
      <c r="O13" s="146">
        <f t="shared" si="121"/>
        <v>0</v>
      </c>
      <c r="P13" s="147"/>
      <c r="Q13" s="144">
        <v>0.0</v>
      </c>
      <c r="R13" s="145">
        <v>0.0</v>
      </c>
      <c r="S13" s="146"/>
      <c r="T13" s="146">
        <f t="shared" si="15"/>
        <v>0</v>
      </c>
      <c r="U13" s="146">
        <f t="shared" ref="U13:V13" si="122">Q13/200</f>
        <v>0</v>
      </c>
      <c r="V13" s="146">
        <f t="shared" si="122"/>
        <v>0</v>
      </c>
      <c r="W13" s="147"/>
      <c r="X13" s="144">
        <v>0.0</v>
      </c>
      <c r="Y13" s="145">
        <v>0.0</v>
      </c>
      <c r="Z13" s="146"/>
      <c r="AA13" s="146">
        <f t="shared" si="17"/>
        <v>0</v>
      </c>
      <c r="AB13" s="146">
        <f t="shared" ref="AB13:AC13" si="123">X13/200</f>
        <v>0</v>
      </c>
      <c r="AC13" s="146">
        <f t="shared" si="123"/>
        <v>0</v>
      </c>
      <c r="AD13" s="147"/>
      <c r="AE13" s="144">
        <v>100.0</v>
      </c>
      <c r="AF13" s="145">
        <v>200.0</v>
      </c>
      <c r="AG13" s="146"/>
      <c r="AH13" s="146">
        <f t="shared" si="83"/>
        <v>300</v>
      </c>
      <c r="AI13" s="146">
        <f t="shared" ref="AI13:AJ13" si="124">AE13/200</f>
        <v>0.5</v>
      </c>
      <c r="AJ13" s="146">
        <f t="shared" si="124"/>
        <v>1</v>
      </c>
      <c r="AK13" s="148"/>
      <c r="AL13" s="144">
        <v>100.0</v>
      </c>
      <c r="AM13" s="145">
        <v>200.0</v>
      </c>
      <c r="AN13" s="145"/>
      <c r="AO13" s="146">
        <f t="shared" si="21"/>
        <v>300</v>
      </c>
      <c r="AP13" s="146">
        <f t="shared" ref="AP13:AQ13" si="125">AL13/200</f>
        <v>0.5</v>
      </c>
      <c r="AQ13" s="146">
        <f t="shared" si="125"/>
        <v>1</v>
      </c>
      <c r="AR13" s="148">
        <v>1500.0</v>
      </c>
      <c r="AS13" s="144">
        <v>100.0</v>
      </c>
      <c r="AT13" s="145">
        <v>200.0</v>
      </c>
      <c r="AU13" s="145">
        <v>500.0</v>
      </c>
      <c r="AV13" s="146">
        <f t="shared" si="23"/>
        <v>800</v>
      </c>
      <c r="AW13" s="146">
        <f t="shared" ref="AW13:AX13" si="126">AS13/200</f>
        <v>0.5</v>
      </c>
      <c r="AX13" s="146">
        <f t="shared" si="126"/>
        <v>1</v>
      </c>
      <c r="AY13" s="147"/>
      <c r="AZ13" s="149">
        <v>0.0</v>
      </c>
      <c r="BA13" s="146">
        <v>0.0</v>
      </c>
      <c r="BB13" s="146">
        <v>0.0</v>
      </c>
      <c r="BC13" s="146">
        <f t="shared" si="25"/>
        <v>0</v>
      </c>
      <c r="BD13" s="146">
        <f t="shared" ref="BD13:BE13" si="127">AZ13/200</f>
        <v>0</v>
      </c>
      <c r="BE13" s="146">
        <f t="shared" si="127"/>
        <v>0</v>
      </c>
      <c r="BF13" s="147"/>
      <c r="BG13" s="144">
        <v>100.0</v>
      </c>
      <c r="BH13" s="145">
        <v>200.0</v>
      </c>
      <c r="BI13" s="145">
        <v>633.0</v>
      </c>
      <c r="BJ13" s="146">
        <f t="shared" si="27"/>
        <v>933</v>
      </c>
      <c r="BK13" s="146">
        <f t="shared" ref="BK13:BL13" si="128">BG13/200</f>
        <v>0.5</v>
      </c>
      <c r="BL13" s="146">
        <f t="shared" si="128"/>
        <v>1</v>
      </c>
      <c r="BM13" s="147"/>
      <c r="BN13" s="144">
        <v>770.0</v>
      </c>
      <c r="BO13" s="145">
        <v>200.0</v>
      </c>
      <c r="BP13" s="147">
        <f>SUM(BN13,BO13)</f>
        <v>970</v>
      </c>
      <c r="BQ13" s="150">
        <v>0.0</v>
      </c>
      <c r="BR13" s="146"/>
      <c r="BS13" s="147">
        <f t="shared" si="29"/>
        <v>0</v>
      </c>
      <c r="BT13" s="150">
        <v>0.0</v>
      </c>
      <c r="BU13" s="147">
        <f t="shared" si="30"/>
        <v>0</v>
      </c>
      <c r="BV13" s="151">
        <f t="shared" si="57"/>
        <v>800</v>
      </c>
      <c r="BW13" s="152">
        <f t="shared" si="31"/>
        <v>400</v>
      </c>
      <c r="BX13" s="153">
        <f t="shared" si="32"/>
        <v>1200</v>
      </c>
      <c r="BY13" s="153">
        <f t="shared" ref="BY13:BZ13" si="129">SUM(BK13,BD13,AW13,AP13,AI13,AB13,U13,N13,G13)</f>
        <v>2</v>
      </c>
      <c r="BZ13" s="153">
        <f t="shared" si="129"/>
        <v>4</v>
      </c>
      <c r="CA13" s="154">
        <f t="shared" si="34"/>
        <v>1903</v>
      </c>
      <c r="CB13" s="151">
        <f t="shared" si="35"/>
        <v>1500</v>
      </c>
      <c r="CC13" s="152">
        <f t="shared" si="36"/>
        <v>2400</v>
      </c>
    </row>
    <row r="14" ht="14.25" customHeight="1">
      <c r="A14" s="155" t="s">
        <v>29</v>
      </c>
      <c r="B14" s="156">
        <v>9.76941466E8</v>
      </c>
      <c r="C14" s="157"/>
      <c r="D14" s="158"/>
      <c r="E14" s="158"/>
      <c r="F14" s="158">
        <f t="shared" si="11"/>
        <v>0</v>
      </c>
      <c r="G14" s="158">
        <f t="shared" ref="G14:H14" si="130">C14/200</f>
        <v>0</v>
      </c>
      <c r="H14" s="158">
        <f t="shared" si="130"/>
        <v>0</v>
      </c>
      <c r="I14" s="159"/>
      <c r="J14" s="157"/>
      <c r="K14" s="158"/>
      <c r="L14" s="158"/>
      <c r="M14" s="158">
        <f t="shared" si="13"/>
        <v>0</v>
      </c>
      <c r="N14" s="158">
        <f t="shared" ref="N14:O14" si="131">J14/200</f>
        <v>0</v>
      </c>
      <c r="O14" s="158">
        <f t="shared" si="131"/>
        <v>0</v>
      </c>
      <c r="P14" s="159"/>
      <c r="Q14" s="157"/>
      <c r="R14" s="158"/>
      <c r="S14" s="158"/>
      <c r="T14" s="158">
        <f t="shared" si="15"/>
        <v>0</v>
      </c>
      <c r="U14" s="158">
        <f t="shared" ref="U14:V14" si="132">Q14/200</f>
        <v>0</v>
      </c>
      <c r="V14" s="158">
        <f t="shared" si="132"/>
        <v>0</v>
      </c>
      <c r="W14" s="159"/>
      <c r="X14" s="157"/>
      <c r="Y14" s="158"/>
      <c r="Z14" s="158"/>
      <c r="AA14" s="158">
        <f t="shared" si="17"/>
        <v>0</v>
      </c>
      <c r="AB14" s="158">
        <f t="shared" ref="AB14:AC14" si="133">X14/200</f>
        <v>0</v>
      </c>
      <c r="AC14" s="158">
        <f t="shared" si="133"/>
        <v>0</v>
      </c>
      <c r="AD14" s="159"/>
      <c r="AE14" s="157"/>
      <c r="AF14" s="158"/>
      <c r="AG14" s="158"/>
      <c r="AH14" s="158">
        <f t="shared" si="83"/>
        <v>0</v>
      </c>
      <c r="AI14" s="158">
        <f t="shared" ref="AI14:AJ14" si="134">AE14/200</f>
        <v>0</v>
      </c>
      <c r="AJ14" s="158">
        <f t="shared" si="134"/>
        <v>0</v>
      </c>
      <c r="AK14" s="159"/>
      <c r="AL14" s="157"/>
      <c r="AM14" s="158"/>
      <c r="AN14" s="158"/>
      <c r="AO14" s="158">
        <f t="shared" si="21"/>
        <v>0</v>
      </c>
      <c r="AP14" s="158">
        <f t="shared" ref="AP14:AQ14" si="135">AL14/200</f>
        <v>0</v>
      </c>
      <c r="AQ14" s="158">
        <f t="shared" si="135"/>
        <v>0</v>
      </c>
      <c r="AR14" s="160"/>
      <c r="AS14" s="157"/>
      <c r="AT14" s="158"/>
      <c r="AU14" s="158"/>
      <c r="AV14" s="158">
        <f t="shared" si="23"/>
        <v>0</v>
      </c>
      <c r="AW14" s="158">
        <f t="shared" ref="AW14:AX14" si="136">AS14/200</f>
        <v>0</v>
      </c>
      <c r="AX14" s="158">
        <f t="shared" si="136"/>
        <v>0</v>
      </c>
      <c r="AY14" s="159"/>
      <c r="AZ14" s="161">
        <v>0.0</v>
      </c>
      <c r="BA14" s="158">
        <v>0.0</v>
      </c>
      <c r="BB14" s="158">
        <v>0.0</v>
      </c>
      <c r="BC14" s="158">
        <f t="shared" si="25"/>
        <v>0</v>
      </c>
      <c r="BD14" s="158">
        <f t="shared" ref="BD14:BE14" si="137">AZ14/200</f>
        <v>0</v>
      </c>
      <c r="BE14" s="158">
        <f t="shared" si="137"/>
        <v>0</v>
      </c>
      <c r="BF14" s="159"/>
      <c r="BG14" s="162">
        <v>100.0</v>
      </c>
      <c r="BH14" s="163">
        <v>200.0</v>
      </c>
      <c r="BI14" s="158">
        <v>0.0</v>
      </c>
      <c r="BJ14" s="158">
        <f t="shared" si="27"/>
        <v>300</v>
      </c>
      <c r="BK14" s="158">
        <f t="shared" ref="BK14:BL14" si="138">BG14/200</f>
        <v>0.5</v>
      </c>
      <c r="BL14" s="158">
        <f t="shared" si="138"/>
        <v>1</v>
      </c>
      <c r="BM14" s="159"/>
      <c r="BN14" s="157">
        <v>0.0</v>
      </c>
      <c r="BO14" s="158"/>
      <c r="BP14" s="159">
        <f>SUM(BN14)</f>
        <v>0</v>
      </c>
      <c r="BQ14" s="157">
        <v>0.0</v>
      </c>
      <c r="BR14" s="158"/>
      <c r="BS14" s="159">
        <f t="shared" si="29"/>
        <v>0</v>
      </c>
      <c r="BT14" s="157">
        <v>0.0</v>
      </c>
      <c r="BU14" s="159">
        <f t="shared" si="30"/>
        <v>0</v>
      </c>
      <c r="BV14" s="164">
        <f t="shared" si="57"/>
        <v>200</v>
      </c>
      <c r="BW14" s="165">
        <f t="shared" si="31"/>
        <v>100</v>
      </c>
      <c r="BX14" s="166">
        <f t="shared" si="32"/>
        <v>300</v>
      </c>
      <c r="BY14" s="167">
        <f t="shared" ref="BY14:BZ14" si="139">SUM(BK14,BD14,AW14,AP14,AI14,AB14,U14,N14,G14)</f>
        <v>0.5</v>
      </c>
      <c r="BZ14" s="167">
        <f t="shared" si="139"/>
        <v>1</v>
      </c>
      <c r="CA14" s="168">
        <f t="shared" si="34"/>
        <v>0</v>
      </c>
      <c r="CB14" s="48">
        <f t="shared" si="35"/>
        <v>0</v>
      </c>
      <c r="CC14" s="169">
        <f t="shared" si="36"/>
        <v>600</v>
      </c>
    </row>
    <row r="15" ht="29.25" customHeight="1">
      <c r="A15" s="170" t="s">
        <v>15</v>
      </c>
      <c r="B15" s="171"/>
      <c r="C15" s="172"/>
      <c r="D15" s="173"/>
      <c r="E15" s="173"/>
      <c r="F15" s="173">
        <f>SUM(F3:F14)</f>
        <v>2100</v>
      </c>
      <c r="G15" s="174">
        <f>C15/200</f>
        <v>0</v>
      </c>
      <c r="H15" s="173">
        <f>SUM(H3:H14)</f>
        <v>7.5</v>
      </c>
      <c r="I15" s="175">
        <f>SUM(I1:I14)</f>
        <v>1800</v>
      </c>
      <c r="J15" s="172">
        <f t="shared" ref="J15:M15" si="140">SUM(J3:J14)</f>
        <v>800</v>
      </c>
      <c r="K15" s="173">
        <f t="shared" si="140"/>
        <v>2000</v>
      </c>
      <c r="L15" s="173">
        <f t="shared" si="140"/>
        <v>0</v>
      </c>
      <c r="M15" s="173">
        <f t="shared" si="140"/>
        <v>2800</v>
      </c>
      <c r="N15" s="174">
        <f>J15/200</f>
        <v>4</v>
      </c>
      <c r="O15" s="173">
        <f t="shared" ref="O15:T15" si="141">SUM(O3:O14)</f>
        <v>10</v>
      </c>
      <c r="P15" s="175">
        <f t="shared" si="141"/>
        <v>3000</v>
      </c>
      <c r="Q15" s="172">
        <f t="shared" si="141"/>
        <v>700</v>
      </c>
      <c r="R15" s="173">
        <f t="shared" si="141"/>
        <v>1600</v>
      </c>
      <c r="S15" s="173">
        <f t="shared" si="141"/>
        <v>400</v>
      </c>
      <c r="T15" s="173">
        <f t="shared" si="141"/>
        <v>2700</v>
      </c>
      <c r="U15" s="174">
        <f>Q15/200</f>
        <v>3.5</v>
      </c>
      <c r="V15" s="173">
        <f t="shared" ref="V15:Y15" si="142">SUM(V3:V14)</f>
        <v>8</v>
      </c>
      <c r="W15" s="175">
        <f t="shared" si="142"/>
        <v>2800</v>
      </c>
      <c r="X15" s="172">
        <f t="shared" si="142"/>
        <v>900</v>
      </c>
      <c r="Y15" s="173">
        <f t="shared" si="142"/>
        <v>2400</v>
      </c>
      <c r="Z15" s="173">
        <f>sum(Z3:Z14)</f>
        <v>1180</v>
      </c>
      <c r="AA15" s="173">
        <f>SUM(AA3:AA14)</f>
        <v>4480</v>
      </c>
      <c r="AB15" s="174">
        <f>X15/200</f>
        <v>4.5</v>
      </c>
      <c r="AC15" s="173">
        <f>SUM(AC3:AC14)</f>
        <v>12</v>
      </c>
      <c r="AD15" s="175">
        <f>sum(AD3:AD14)</f>
        <v>4480</v>
      </c>
      <c r="AE15" s="172">
        <f t="shared" ref="AE15:AH15" si="143">SUM(AE3:AE14)</f>
        <v>1100</v>
      </c>
      <c r="AF15" s="173">
        <f t="shared" si="143"/>
        <v>3400</v>
      </c>
      <c r="AG15" s="173">
        <f t="shared" si="143"/>
        <v>5328</v>
      </c>
      <c r="AH15" s="173">
        <f t="shared" si="143"/>
        <v>9728</v>
      </c>
      <c r="AI15" s="174">
        <f>AE15/200</f>
        <v>5.5</v>
      </c>
      <c r="AJ15" s="173">
        <f>SUM(AJ3:AJ14)</f>
        <v>17</v>
      </c>
      <c r="AK15" s="175">
        <f>sum(AK3:AK14)</f>
        <v>9828</v>
      </c>
      <c r="AL15" s="172"/>
      <c r="AM15" s="173"/>
      <c r="AN15" s="173"/>
      <c r="AO15" s="173">
        <f>SUM(AO3:AO14)</f>
        <v>6000</v>
      </c>
      <c r="AP15" s="174">
        <f>AL15/200</f>
        <v>0</v>
      </c>
      <c r="AQ15" s="173">
        <f t="shared" ref="AQ15:AR15" si="144">SUM(AQ3:AQ14)</f>
        <v>14</v>
      </c>
      <c r="AR15" s="175">
        <f t="shared" si="144"/>
        <v>6000</v>
      </c>
      <c r="AS15" s="172"/>
      <c r="AT15" s="173"/>
      <c r="AU15" s="173"/>
      <c r="AV15" s="173">
        <f>SUM(AV3:AV14)</f>
        <v>5751.45</v>
      </c>
      <c r="AW15" s="174">
        <f>AS15/200</f>
        <v>0</v>
      </c>
      <c r="AX15" s="173">
        <f t="shared" ref="AX15:BC15" si="145">SUM(AX3:AX14)</f>
        <v>11.5</v>
      </c>
      <c r="AY15" s="175">
        <f t="shared" si="145"/>
        <v>6151.45</v>
      </c>
      <c r="AZ15" s="176">
        <f t="shared" si="145"/>
        <v>500</v>
      </c>
      <c r="BA15" s="173">
        <f t="shared" si="145"/>
        <v>1600</v>
      </c>
      <c r="BB15" s="173">
        <f t="shared" si="145"/>
        <v>1400</v>
      </c>
      <c r="BC15" s="173">
        <f t="shared" si="145"/>
        <v>3500</v>
      </c>
      <c r="BD15" s="174">
        <f>AZ15/200</f>
        <v>2.5</v>
      </c>
      <c r="BE15" s="173">
        <f t="shared" ref="BE15:BQ15" si="146">SUM(BE3:BE14)</f>
        <v>8</v>
      </c>
      <c r="BF15" s="175">
        <f t="shared" si="146"/>
        <v>3300</v>
      </c>
      <c r="BG15" s="172">
        <f t="shared" si="146"/>
        <v>1200</v>
      </c>
      <c r="BH15" s="173">
        <f t="shared" si="146"/>
        <v>2600</v>
      </c>
      <c r="BI15" s="173">
        <f t="shared" si="146"/>
        <v>4456.61</v>
      </c>
      <c r="BJ15" s="173">
        <f t="shared" si="146"/>
        <v>8256.61</v>
      </c>
      <c r="BK15" s="173">
        <f t="shared" si="146"/>
        <v>6</v>
      </c>
      <c r="BL15" s="173">
        <f t="shared" si="146"/>
        <v>13</v>
      </c>
      <c r="BM15" s="173">
        <f t="shared" si="146"/>
        <v>7556.61</v>
      </c>
      <c r="BN15" s="173">
        <f t="shared" si="146"/>
        <v>8070</v>
      </c>
      <c r="BO15" s="173">
        <f t="shared" si="146"/>
        <v>700</v>
      </c>
      <c r="BP15" s="173">
        <f t="shared" si="146"/>
        <v>8770</v>
      </c>
      <c r="BQ15" s="173">
        <f t="shared" si="146"/>
        <v>7197</v>
      </c>
      <c r="BR15" s="173"/>
      <c r="BS15" s="175">
        <f t="shared" ref="BS15:BU15" si="147">SUM(BS3:BS14)</f>
        <v>7197</v>
      </c>
      <c r="BT15" s="172">
        <f t="shared" si="147"/>
        <v>0</v>
      </c>
      <c r="BU15" s="175">
        <f t="shared" si="147"/>
        <v>0</v>
      </c>
      <c r="BV15" s="15">
        <f t="shared" si="57"/>
        <v>13600</v>
      </c>
      <c r="BW15" s="177">
        <f t="shared" si="31"/>
        <v>5200</v>
      </c>
      <c r="BX15" s="178">
        <f t="shared" si="32"/>
        <v>18800</v>
      </c>
      <c r="BY15" s="179">
        <f t="shared" ref="BY15:BZ15" si="148">SUM(BK15,BD15,AW15,AP15,AI15,AB15,U15,N15,G15)</f>
        <v>26</v>
      </c>
      <c r="BZ15" s="179">
        <f t="shared" si="148"/>
        <v>101</v>
      </c>
      <c r="CA15" s="180">
        <f t="shared" si="34"/>
        <v>28031.61</v>
      </c>
      <c r="CB15" s="48">
        <f t="shared" si="35"/>
        <v>44916.06</v>
      </c>
      <c r="CC15" s="19">
        <f t="shared" si="36"/>
        <v>40800</v>
      </c>
    </row>
    <row r="16" ht="14.25" customHeight="1">
      <c r="BV16" s="181"/>
      <c r="BW16" s="181"/>
      <c r="BX16" s="181"/>
      <c r="BY16" s="181"/>
      <c r="BZ16" s="181"/>
      <c r="CA16" s="181"/>
      <c r="CB16" s="181"/>
      <c r="CC16" s="181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AZ1:BE1"/>
    <mergeCell ref="BG1:BL1"/>
    <mergeCell ref="BN1:BP1"/>
    <mergeCell ref="BQ1:BS1"/>
    <mergeCell ref="BT1:BU1"/>
    <mergeCell ref="C1:I1"/>
    <mergeCell ref="J1:P1"/>
    <mergeCell ref="Q1:W1"/>
    <mergeCell ref="X1:AD1"/>
    <mergeCell ref="AE1:AK1"/>
    <mergeCell ref="AL1:AR1"/>
    <mergeCell ref="AS1:AY1"/>
  </mergeCells>
  <conditionalFormatting sqref="CB3">
    <cfRule type="cellIs" dxfId="0" priority="1" operator="greaterThan">
      <formula>SUM(CC3)</formula>
    </cfRule>
  </conditionalFormatting>
  <hyperlinks>
    <hyperlink r:id="rId1" ref="C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3.86"/>
    <col customWidth="1" min="2" max="2" width="26.29"/>
    <col customWidth="1" min="3" max="3" width="12.29"/>
    <col customWidth="1" min="4" max="4" width="13.0"/>
    <col customWidth="1" min="5" max="5" width="11.0"/>
    <col customWidth="1" min="6" max="6" width="12.57"/>
    <col customWidth="1" min="7" max="7" width="7.86"/>
    <col customWidth="1" min="8" max="8" width="7.71"/>
    <col customWidth="1" min="9" max="9" width="13.71"/>
    <col customWidth="1" min="10" max="10" width="10.86"/>
    <col customWidth="1" min="11" max="11" width="5.57"/>
    <col customWidth="1" min="12" max="12" width="13.71"/>
    <col customWidth="1" min="13" max="13" width="11.86"/>
    <col customWidth="1" min="14" max="14" width="10.71"/>
    <col customWidth="1" min="15" max="15" width="12.57"/>
    <col customWidth="1" min="16" max="16" width="9.0"/>
    <col customWidth="1" min="17" max="17" width="7.71"/>
    <col customWidth="1" min="18" max="18" width="13.71"/>
    <col customWidth="1" min="19" max="19" width="10.86"/>
    <col customWidth="1" min="20" max="20" width="5.57"/>
    <col customWidth="1" min="21" max="21" width="13.71"/>
    <col customWidth="1" min="22" max="22" width="9.43"/>
    <col customWidth="1" min="23" max="23" width="9.86"/>
    <col customWidth="1" min="24" max="24" width="12.57"/>
    <col customWidth="1" min="25" max="25" width="7.86"/>
    <col customWidth="1" min="26" max="26" width="7.71"/>
    <col customWidth="1" min="27" max="27" width="13.71"/>
    <col customWidth="1" min="28" max="28" width="10.86"/>
    <col customWidth="1" min="29" max="29" width="5.57"/>
    <col customWidth="1" min="30" max="30" width="13.71"/>
    <col customWidth="1" min="31" max="31" width="9.43"/>
    <col customWidth="1" min="32" max="32" width="9.86"/>
    <col customWidth="1" min="33" max="33" width="12.57"/>
    <col customWidth="1" min="34" max="34" width="7.86"/>
    <col customWidth="1" min="35" max="35" width="7.71"/>
    <col customWidth="1" min="36" max="36" width="13.71"/>
    <col customWidth="1" min="37" max="37" width="10.86"/>
    <col customWidth="1" min="38" max="38" width="5.57"/>
    <col customWidth="1" min="39" max="39" width="13.71"/>
    <col customWidth="1" min="40" max="40" width="10.57"/>
    <col customWidth="1" min="41" max="41" width="9.86"/>
    <col customWidth="1" min="42" max="42" width="12.57"/>
    <col customWidth="1" min="43" max="43" width="8.86"/>
    <col customWidth="1" min="44" max="44" width="7.71"/>
    <col customWidth="1" min="45" max="45" width="13.71"/>
    <col customWidth="1" min="46" max="46" width="10.86"/>
    <col customWidth="1" min="47" max="47" width="5.57"/>
    <col customWidth="1" min="48" max="48" width="13.71"/>
    <col customWidth="1" min="49" max="49" width="9.43"/>
    <col customWidth="1" min="50" max="50" width="9.86"/>
    <col customWidth="1" min="51" max="51" width="12.57"/>
    <col customWidth="1" min="52" max="52" width="7.86"/>
    <col customWidth="1" min="53" max="53" width="7.71"/>
    <col customWidth="1" min="54" max="54" width="13.71"/>
    <col customWidth="1" min="55" max="55" width="10.86"/>
    <col customWidth="1" min="56" max="56" width="5.57"/>
    <col customWidth="1" min="57" max="57" width="13.71"/>
    <col customWidth="1" min="58" max="59" width="12.0"/>
    <col customWidth="1" min="60" max="60" width="12.57"/>
    <col customWidth="1" min="61" max="61" width="7.86"/>
    <col customWidth="1" min="62" max="62" width="7.71"/>
    <col customWidth="1" min="63" max="63" width="13.71"/>
    <col customWidth="1" min="64" max="64" width="10.86"/>
    <col customWidth="1" min="65" max="65" width="5.57"/>
    <col customWidth="1" min="66" max="66" width="13.71"/>
    <col customWidth="1" min="67" max="67" width="12.71"/>
    <col customWidth="1" min="68" max="68" width="11.43"/>
    <col customWidth="1" min="69" max="69" width="12.57"/>
    <col customWidth="1" min="70" max="70" width="7.86"/>
    <col customWidth="1" min="71" max="71" width="6.71"/>
    <col customWidth="1" min="72" max="72" width="13.71"/>
    <col customWidth="1" min="73" max="73" width="10.86"/>
    <col customWidth="1" min="74" max="74" width="5.57"/>
    <col customWidth="1" min="75" max="75" width="13.71"/>
    <col customWidth="1" min="76" max="76" width="11.43"/>
    <col customWidth="1" min="77" max="77" width="11.71"/>
    <col customWidth="1" min="78" max="78" width="12.57"/>
    <col customWidth="1" min="79" max="79" width="7.86"/>
    <col customWidth="1" min="80" max="80" width="6.71"/>
    <col customWidth="1" min="81" max="81" width="13.71"/>
    <col customWidth="1" min="82" max="82" width="10.86"/>
    <col customWidth="1" min="83" max="83" width="5.57"/>
    <col customWidth="1" min="84" max="84" width="13.71"/>
    <col customWidth="1" min="85" max="85" width="12.29"/>
    <col customWidth="1" min="86" max="86" width="11.71"/>
    <col customWidth="1" min="87" max="87" width="5.86"/>
    <col customWidth="1" min="88" max="89" width="7.86"/>
    <col customWidth="1" min="90" max="90" width="6.71"/>
    <col customWidth="1" min="91" max="91" width="13.0"/>
    <col customWidth="1" min="92" max="92" width="10.86"/>
    <col customWidth="1" min="93" max="93" width="5.57"/>
    <col customWidth="1" min="94" max="94" width="13.14"/>
    <col customWidth="1" min="95" max="96" width="11.57"/>
    <col customWidth="1" min="97" max="98" width="7.86"/>
    <col customWidth="1" min="99" max="99" width="7.71"/>
    <col customWidth="1" min="100" max="100" width="13.0"/>
    <col customWidth="1" min="101" max="101" width="10.86"/>
    <col customWidth="1" min="102" max="102" width="3.43"/>
    <col customWidth="1" min="103" max="103" width="13.14"/>
    <col customWidth="1" min="104" max="104" width="11.86"/>
    <col customWidth="1" min="105" max="105" width="12.14"/>
    <col customWidth="1" min="106" max="106" width="11.0"/>
    <col customWidth="1" min="107" max="107" width="7.86"/>
    <col customWidth="1" min="108" max="108" width="7.71"/>
    <col customWidth="1" min="109" max="109" width="13.0"/>
    <col customWidth="1" min="110" max="110" width="10.86"/>
  </cols>
  <sheetData>
    <row r="1" ht="33.0" customHeight="1">
      <c r="A1" s="182"/>
      <c r="B1" s="183" t="s">
        <v>30</v>
      </c>
    </row>
    <row r="2" ht="14.25" customHeight="1">
      <c r="A2" s="184"/>
      <c r="B2" s="185" t="s">
        <v>31</v>
      </c>
      <c r="X2" s="186" t="s">
        <v>32</v>
      </c>
    </row>
    <row r="3" ht="14.25" customHeight="1">
      <c r="A3" s="187"/>
      <c r="B3" s="188">
        <v>1.0</v>
      </c>
      <c r="C3" s="188">
        <v>2.0</v>
      </c>
      <c r="D3" s="188">
        <v>3.0</v>
      </c>
      <c r="E3" s="188">
        <v>4.0</v>
      </c>
      <c r="F3" s="188">
        <v>5.0</v>
      </c>
      <c r="G3" s="188">
        <v>6.0</v>
      </c>
      <c r="H3" s="188"/>
      <c r="I3" s="188">
        <v>7.0</v>
      </c>
      <c r="J3" s="188">
        <v>8.0</v>
      </c>
      <c r="K3" s="188">
        <v>9.0</v>
      </c>
      <c r="L3" s="188">
        <v>10.0</v>
      </c>
      <c r="M3" s="188">
        <v>11.0</v>
      </c>
      <c r="N3" s="188">
        <v>12.0</v>
      </c>
      <c r="O3" s="188">
        <v>13.0</v>
      </c>
      <c r="P3" s="188">
        <v>14.0</v>
      </c>
      <c r="Q3" s="188"/>
      <c r="R3" s="188">
        <v>15.0</v>
      </c>
      <c r="S3" s="188">
        <v>16.0</v>
      </c>
      <c r="T3" s="188">
        <v>17.0</v>
      </c>
      <c r="U3" s="188">
        <v>18.0</v>
      </c>
      <c r="V3" s="188">
        <v>19.0</v>
      </c>
      <c r="W3" s="188">
        <v>20.0</v>
      </c>
      <c r="X3" s="188">
        <v>21.0</v>
      </c>
      <c r="Y3" s="188">
        <v>22.0</v>
      </c>
      <c r="Z3" s="188"/>
      <c r="AA3" s="188">
        <v>23.0</v>
      </c>
      <c r="AB3" s="188">
        <v>24.0</v>
      </c>
      <c r="AC3" s="188">
        <v>25.0</v>
      </c>
      <c r="AD3" s="188">
        <v>26.0</v>
      </c>
      <c r="AE3" s="188">
        <v>27.0</v>
      </c>
      <c r="AF3" s="188">
        <v>28.0</v>
      </c>
      <c r="AG3" s="188">
        <v>29.0</v>
      </c>
      <c r="AH3" s="188">
        <v>30.0</v>
      </c>
      <c r="AI3" s="188"/>
      <c r="AJ3" s="188">
        <v>31.0</v>
      </c>
      <c r="AK3" s="188">
        <v>32.0</v>
      </c>
      <c r="AL3" s="188">
        <v>33.0</v>
      </c>
      <c r="AM3" s="188">
        <v>34.0</v>
      </c>
      <c r="AN3" s="188">
        <v>35.0</v>
      </c>
      <c r="AO3" s="188">
        <v>36.0</v>
      </c>
      <c r="AP3" s="188">
        <v>37.0</v>
      </c>
      <c r="AQ3" s="188">
        <v>38.0</v>
      </c>
      <c r="AR3" s="188"/>
      <c r="AS3" s="188">
        <v>39.0</v>
      </c>
      <c r="AT3" s="188">
        <v>40.0</v>
      </c>
      <c r="AU3" s="188">
        <v>41.0</v>
      </c>
      <c r="AV3" s="188">
        <v>42.0</v>
      </c>
      <c r="AW3" s="188">
        <v>43.0</v>
      </c>
      <c r="AX3" s="188">
        <v>44.0</v>
      </c>
      <c r="AY3" s="188">
        <v>45.0</v>
      </c>
      <c r="AZ3" s="188">
        <v>46.0</v>
      </c>
      <c r="BA3" s="188"/>
      <c r="BB3" s="188">
        <v>47.0</v>
      </c>
      <c r="BC3" s="188">
        <v>48.0</v>
      </c>
      <c r="BD3" s="188">
        <v>49.0</v>
      </c>
      <c r="BE3" s="188">
        <v>50.0</v>
      </c>
      <c r="BF3" s="188">
        <v>51.0</v>
      </c>
      <c r="BG3" s="188">
        <v>52.0</v>
      </c>
      <c r="BH3" s="188">
        <v>53.0</v>
      </c>
      <c r="BI3" s="188">
        <v>54.0</v>
      </c>
      <c r="BJ3" s="188"/>
      <c r="BK3" s="188">
        <v>55.0</v>
      </c>
      <c r="BL3" s="188">
        <v>56.0</v>
      </c>
      <c r="BM3" s="188">
        <v>57.0</v>
      </c>
      <c r="BN3" s="188">
        <v>58.0</v>
      </c>
      <c r="BO3" s="188">
        <v>59.0</v>
      </c>
      <c r="BP3" s="188">
        <v>60.0</v>
      </c>
      <c r="BQ3" s="188">
        <v>61.0</v>
      </c>
      <c r="BR3" s="188">
        <v>62.0</v>
      </c>
      <c r="BT3" s="188">
        <v>63.0</v>
      </c>
      <c r="BU3" s="188">
        <v>64.0</v>
      </c>
      <c r="BV3" s="188">
        <v>65.0</v>
      </c>
      <c r="BW3" s="188"/>
      <c r="BX3" s="188">
        <v>67.0</v>
      </c>
      <c r="BY3" s="188">
        <v>68.0</v>
      </c>
      <c r="BZ3" s="188">
        <v>69.0</v>
      </c>
      <c r="CA3" s="188">
        <v>70.0</v>
      </c>
      <c r="CC3" s="188">
        <v>71.0</v>
      </c>
      <c r="CD3" s="188">
        <v>72.0</v>
      </c>
      <c r="CE3" s="188">
        <v>73.0</v>
      </c>
      <c r="CF3" s="188">
        <v>74.0</v>
      </c>
      <c r="CG3" s="188">
        <v>75.0</v>
      </c>
      <c r="CH3" s="188">
        <v>76.0</v>
      </c>
      <c r="CJ3" s="188">
        <v>77.0</v>
      </c>
      <c r="CK3" s="188">
        <v>78.0</v>
      </c>
      <c r="CM3" s="188">
        <v>79.0</v>
      </c>
      <c r="CN3" s="188">
        <v>80.0</v>
      </c>
      <c r="CO3" s="188">
        <v>81.0</v>
      </c>
      <c r="CP3" s="188">
        <v>82.0</v>
      </c>
      <c r="CQ3" s="188">
        <v>83.0</v>
      </c>
      <c r="CR3" s="188">
        <v>84.0</v>
      </c>
      <c r="CS3" s="188">
        <v>85.0</v>
      </c>
      <c r="CT3" s="188">
        <v>86.0</v>
      </c>
      <c r="CV3" s="188">
        <v>87.0</v>
      </c>
      <c r="CW3" s="188">
        <v>88.0</v>
      </c>
      <c r="CX3" s="188">
        <v>89.0</v>
      </c>
      <c r="CY3" s="188">
        <v>90.0</v>
      </c>
      <c r="CZ3" s="188">
        <v>91.0</v>
      </c>
      <c r="DA3" s="188">
        <v>92.0</v>
      </c>
      <c r="DB3" s="188">
        <v>93.0</v>
      </c>
      <c r="DC3" s="188">
        <v>94.0</v>
      </c>
      <c r="DD3" s="188"/>
      <c r="DE3" s="188">
        <v>95.0</v>
      </c>
    </row>
    <row r="4" ht="14.25" customHeight="1">
      <c r="A4" s="187"/>
      <c r="B4" s="189"/>
      <c r="C4" s="190" t="s">
        <v>33</v>
      </c>
      <c r="D4" s="191"/>
      <c r="E4" s="191"/>
      <c r="F4" s="191"/>
      <c r="G4" s="191"/>
      <c r="H4" s="191"/>
      <c r="I4" s="191"/>
      <c r="J4" s="192"/>
      <c r="K4" s="193"/>
      <c r="L4" s="190" t="s">
        <v>34</v>
      </c>
      <c r="M4" s="191"/>
      <c r="N4" s="191"/>
      <c r="O4" s="191"/>
      <c r="P4" s="191"/>
      <c r="Q4" s="191"/>
      <c r="R4" s="191"/>
      <c r="S4" s="192"/>
      <c r="T4" s="194"/>
      <c r="U4" s="190" t="s">
        <v>32</v>
      </c>
      <c r="V4" s="191"/>
      <c r="W4" s="191"/>
      <c r="X4" s="191"/>
      <c r="Y4" s="191"/>
      <c r="Z4" s="191"/>
      <c r="AA4" s="191"/>
      <c r="AB4" s="192"/>
      <c r="AD4" s="190" t="s">
        <v>35</v>
      </c>
      <c r="AE4" s="191"/>
      <c r="AF4" s="191"/>
      <c r="AG4" s="191"/>
      <c r="AH4" s="191"/>
      <c r="AI4" s="191"/>
      <c r="AJ4" s="191"/>
      <c r="AK4" s="192"/>
      <c r="AM4" s="190" t="s">
        <v>36</v>
      </c>
      <c r="AN4" s="191"/>
      <c r="AO4" s="191"/>
      <c r="AP4" s="191"/>
      <c r="AQ4" s="191"/>
      <c r="AR4" s="191"/>
      <c r="AS4" s="191"/>
      <c r="AT4" s="192"/>
      <c r="AV4" s="190" t="s">
        <v>37</v>
      </c>
      <c r="AW4" s="191"/>
      <c r="AX4" s="191"/>
      <c r="AY4" s="191"/>
      <c r="AZ4" s="191"/>
      <c r="BA4" s="191"/>
      <c r="BB4" s="191"/>
      <c r="BC4" s="192"/>
      <c r="BE4" s="190" t="s">
        <v>38</v>
      </c>
      <c r="BF4" s="191"/>
      <c r="BG4" s="191"/>
      <c r="BH4" s="191"/>
      <c r="BI4" s="191"/>
      <c r="BJ4" s="191"/>
      <c r="BK4" s="191"/>
      <c r="BL4" s="192"/>
      <c r="BN4" s="190" t="s">
        <v>39</v>
      </c>
      <c r="BO4" s="191"/>
      <c r="BP4" s="191"/>
      <c r="BQ4" s="191"/>
      <c r="BR4" s="191"/>
      <c r="BS4" s="191"/>
      <c r="BT4" s="191"/>
      <c r="BU4" s="192"/>
      <c r="BW4" s="190" t="s">
        <v>40</v>
      </c>
      <c r="BX4" s="191"/>
      <c r="BY4" s="191"/>
      <c r="BZ4" s="191"/>
      <c r="CA4" s="191"/>
      <c r="CB4" s="191"/>
      <c r="CC4" s="191"/>
      <c r="CD4" s="192"/>
      <c r="CF4" s="195" t="s">
        <v>41</v>
      </c>
      <c r="CG4" s="4"/>
      <c r="CH4" s="4"/>
      <c r="CI4" s="4"/>
      <c r="CJ4" s="4"/>
      <c r="CK4" s="4"/>
      <c r="CL4" s="4"/>
      <c r="CM4" s="4"/>
      <c r="CN4" s="5"/>
      <c r="CP4" s="190" t="s">
        <v>42</v>
      </c>
      <c r="CQ4" s="191"/>
      <c r="CR4" s="191"/>
      <c r="CS4" s="191"/>
      <c r="CT4" s="191"/>
      <c r="CU4" s="191"/>
      <c r="CV4" s="191"/>
      <c r="CW4" s="192"/>
      <c r="CY4" s="196" t="s">
        <v>43</v>
      </c>
      <c r="CZ4" s="191"/>
      <c r="DA4" s="191"/>
      <c r="DB4" s="191"/>
      <c r="DC4" s="191"/>
      <c r="DD4" s="191"/>
      <c r="DE4" s="191"/>
      <c r="DF4" s="192"/>
    </row>
    <row r="5" ht="14.25" customHeight="1">
      <c r="A5" s="187"/>
      <c r="B5" s="197" t="s">
        <v>44</v>
      </c>
      <c r="C5" s="198" t="s">
        <v>45</v>
      </c>
      <c r="D5" s="199" t="s">
        <v>46</v>
      </c>
      <c r="E5" s="200" t="s">
        <v>47</v>
      </c>
      <c r="F5" s="201" t="s">
        <v>48</v>
      </c>
      <c r="G5" s="200" t="s">
        <v>49</v>
      </c>
      <c r="H5" s="200" t="s">
        <v>50</v>
      </c>
      <c r="I5" s="199" t="s">
        <v>51</v>
      </c>
      <c r="J5" s="202" t="s">
        <v>52</v>
      </c>
      <c r="K5" s="203"/>
      <c r="L5" s="198" t="s">
        <v>45</v>
      </c>
      <c r="M5" s="204" t="s">
        <v>46</v>
      </c>
      <c r="N5" s="205" t="s">
        <v>47</v>
      </c>
      <c r="O5" s="206" t="s">
        <v>48</v>
      </c>
      <c r="P5" s="205" t="s">
        <v>49</v>
      </c>
      <c r="Q5" s="205" t="s">
        <v>50</v>
      </c>
      <c r="R5" s="204" t="s">
        <v>51</v>
      </c>
      <c r="S5" s="207" t="s">
        <v>52</v>
      </c>
      <c r="T5" s="194"/>
      <c r="U5" s="198" t="s">
        <v>45</v>
      </c>
      <c r="V5" s="204" t="s">
        <v>46</v>
      </c>
      <c r="W5" s="205" t="s">
        <v>47</v>
      </c>
      <c r="X5" s="206" t="s">
        <v>48</v>
      </c>
      <c r="Y5" s="205" t="s">
        <v>49</v>
      </c>
      <c r="Z5" s="205" t="s">
        <v>50</v>
      </c>
      <c r="AA5" s="204" t="s">
        <v>51</v>
      </c>
      <c r="AB5" s="207" t="s">
        <v>52</v>
      </c>
      <c r="AD5" s="198" t="s">
        <v>45</v>
      </c>
      <c r="AE5" s="204" t="s">
        <v>46</v>
      </c>
      <c r="AF5" s="205" t="s">
        <v>47</v>
      </c>
      <c r="AG5" s="206" t="s">
        <v>48</v>
      </c>
      <c r="AH5" s="205" t="s">
        <v>49</v>
      </c>
      <c r="AI5" s="205" t="s">
        <v>50</v>
      </c>
      <c r="AJ5" s="204" t="s">
        <v>51</v>
      </c>
      <c r="AK5" s="207" t="s">
        <v>52</v>
      </c>
      <c r="AM5" s="198" t="s">
        <v>45</v>
      </c>
      <c r="AN5" s="204" t="s">
        <v>46</v>
      </c>
      <c r="AO5" s="205" t="s">
        <v>47</v>
      </c>
      <c r="AP5" s="206" t="s">
        <v>48</v>
      </c>
      <c r="AQ5" s="205" t="s">
        <v>49</v>
      </c>
      <c r="AR5" s="205" t="s">
        <v>50</v>
      </c>
      <c r="AS5" s="204" t="s">
        <v>51</v>
      </c>
      <c r="AT5" s="207" t="s">
        <v>52</v>
      </c>
      <c r="AV5" s="198" t="s">
        <v>45</v>
      </c>
      <c r="AW5" s="204" t="s">
        <v>46</v>
      </c>
      <c r="AX5" s="205" t="s">
        <v>47</v>
      </c>
      <c r="AY5" s="206" t="s">
        <v>48</v>
      </c>
      <c r="AZ5" s="205" t="s">
        <v>49</v>
      </c>
      <c r="BA5" s="205" t="s">
        <v>50</v>
      </c>
      <c r="BB5" s="204" t="s">
        <v>51</v>
      </c>
      <c r="BC5" s="207" t="s">
        <v>52</v>
      </c>
      <c r="BE5" s="198" t="s">
        <v>45</v>
      </c>
      <c r="BF5" s="204" t="s">
        <v>46</v>
      </c>
      <c r="BG5" s="205" t="s">
        <v>47</v>
      </c>
      <c r="BH5" s="206" t="s">
        <v>48</v>
      </c>
      <c r="BI5" s="205" t="s">
        <v>49</v>
      </c>
      <c r="BJ5" s="205" t="s">
        <v>50</v>
      </c>
      <c r="BK5" s="204" t="s">
        <v>51</v>
      </c>
      <c r="BL5" s="207" t="s">
        <v>52</v>
      </c>
      <c r="BN5" s="198" t="s">
        <v>45</v>
      </c>
      <c r="BO5" s="204" t="s">
        <v>46</v>
      </c>
      <c r="BP5" s="205" t="s">
        <v>47</v>
      </c>
      <c r="BQ5" s="206" t="s">
        <v>48</v>
      </c>
      <c r="BR5" s="205" t="s">
        <v>49</v>
      </c>
      <c r="BS5" s="205" t="s">
        <v>53</v>
      </c>
      <c r="BT5" s="204" t="s">
        <v>51</v>
      </c>
      <c r="BU5" s="207" t="s">
        <v>52</v>
      </c>
      <c r="BW5" s="198" t="s">
        <v>45</v>
      </c>
      <c r="BX5" s="204" t="s">
        <v>46</v>
      </c>
      <c r="BY5" s="205" t="s">
        <v>47</v>
      </c>
      <c r="BZ5" s="206" t="s">
        <v>48</v>
      </c>
      <c r="CA5" s="205" t="s">
        <v>49</v>
      </c>
      <c r="CB5" s="205" t="s">
        <v>53</v>
      </c>
      <c r="CC5" s="204" t="s">
        <v>51</v>
      </c>
      <c r="CD5" s="207" t="s">
        <v>52</v>
      </c>
      <c r="CF5" s="198" t="s">
        <v>45</v>
      </c>
      <c r="CG5" s="204" t="s">
        <v>46</v>
      </c>
      <c r="CH5" s="205" t="s">
        <v>47</v>
      </c>
      <c r="CI5" s="205" t="s">
        <v>54</v>
      </c>
      <c r="CJ5" s="206" t="s">
        <v>48</v>
      </c>
      <c r="CK5" s="205" t="s">
        <v>49</v>
      </c>
      <c r="CL5" s="205" t="s">
        <v>53</v>
      </c>
      <c r="CM5" s="204" t="s">
        <v>51</v>
      </c>
      <c r="CN5" s="207" t="s">
        <v>52</v>
      </c>
      <c r="CP5" s="198" t="s">
        <v>45</v>
      </c>
      <c r="CQ5" s="204" t="s">
        <v>46</v>
      </c>
      <c r="CR5" s="205" t="s">
        <v>47</v>
      </c>
      <c r="CS5" s="206" t="s">
        <v>48</v>
      </c>
      <c r="CT5" s="205" t="s">
        <v>49</v>
      </c>
      <c r="CU5" s="205" t="s">
        <v>50</v>
      </c>
      <c r="CV5" s="204" t="s">
        <v>51</v>
      </c>
      <c r="CW5" s="207" t="s">
        <v>52</v>
      </c>
      <c r="CY5" s="208" t="s">
        <v>45</v>
      </c>
      <c r="CZ5" s="209" t="s">
        <v>46</v>
      </c>
      <c r="DA5" s="210" t="s">
        <v>47</v>
      </c>
      <c r="DB5" s="211" t="s">
        <v>48</v>
      </c>
      <c r="DC5" s="210" t="s">
        <v>49</v>
      </c>
      <c r="DD5" s="210" t="s">
        <v>50</v>
      </c>
      <c r="DE5" s="209" t="s">
        <v>51</v>
      </c>
      <c r="DF5" s="212" t="s">
        <v>52</v>
      </c>
    </row>
    <row r="6" ht="14.25" customHeight="1">
      <c r="A6" s="213">
        <v>1.0</v>
      </c>
      <c r="B6" s="34" t="s">
        <v>18</v>
      </c>
      <c r="C6" s="214">
        <v>0.0</v>
      </c>
      <c r="D6" s="215" t="str">
        <f>SHARES!E3</f>
        <v/>
      </c>
      <c r="E6" s="216" t="str">
        <f>SHARES!I3</f>
        <v/>
      </c>
      <c r="F6" s="217">
        <f t="shared" ref="F6:F17" si="1">0.05*(C6-D6)</f>
        <v>0</v>
      </c>
      <c r="G6" s="217">
        <f t="shared" ref="G6:G17" si="2">0.1*(E6)</f>
        <v>0</v>
      </c>
      <c r="H6" s="217"/>
      <c r="I6" s="216">
        <f t="shared" ref="I6:I17" si="3">( (C6 -D6) + F6)  +  (E6 + G6 ) + SUM(H6)</f>
        <v>0</v>
      </c>
      <c r="J6" s="218">
        <f>SHARES!CC3</f>
        <v>4800</v>
      </c>
      <c r="K6" s="219"/>
      <c r="L6" s="220">
        <f t="shared" ref="L6:L17" si="4">I6</f>
        <v>0</v>
      </c>
      <c r="M6" s="216" t="str">
        <f>SHARES!L3</f>
        <v/>
      </c>
      <c r="N6" s="216">
        <f>SHARES!P3</f>
        <v>1100</v>
      </c>
      <c r="O6" s="217">
        <f t="shared" ref="O6:O17" si="5">0.05*(L6-M6)</f>
        <v>0</v>
      </c>
      <c r="P6" s="217">
        <f t="shared" ref="P6:P17" si="6">0.1*(N6)</f>
        <v>110</v>
      </c>
      <c r="Q6" s="217"/>
      <c r="R6" s="216">
        <f t="shared" ref="R6:R17" si="7">( (L6 -M6) + O6)  +  (N6 + P6 ) + SUM(Q6)</f>
        <v>1210</v>
      </c>
      <c r="S6" s="218">
        <f>SHARES!CC3</f>
        <v>4800</v>
      </c>
      <c r="T6" s="221"/>
      <c r="U6" s="220">
        <f t="shared" ref="U6:U17" si="8">R6</f>
        <v>1210</v>
      </c>
      <c r="V6" s="215">
        <f>SHARES!S3</f>
        <v>200</v>
      </c>
      <c r="W6" s="216" t="str">
        <f>SHARES!W3</f>
        <v/>
      </c>
      <c r="X6" s="217">
        <f t="shared" ref="X6:X17" si="9">0.05*(U6-V6)</f>
        <v>50.5</v>
      </c>
      <c r="Y6" s="217">
        <f t="shared" ref="Y6:Y17" si="10">0.1*(W6)</f>
        <v>0</v>
      </c>
      <c r="Z6" s="217"/>
      <c r="AA6" s="216">
        <f t="shared" ref="AA6:AA17" si="11">( (U6 -V6) + X6)  +  (W6 + Y6 ) + SUM(Z6)</f>
        <v>1060.5</v>
      </c>
      <c r="AB6" s="218">
        <f>SHARES!CC3</f>
        <v>4800</v>
      </c>
      <c r="AC6" s="219"/>
      <c r="AD6" s="220">
        <f t="shared" ref="AD6:AD17" si="12">AA6</f>
        <v>1060.5</v>
      </c>
      <c r="AE6" s="215">
        <f>SHARES!Z3</f>
        <v>200</v>
      </c>
      <c r="AF6" s="216" t="str">
        <f>SHARES!AD3</f>
        <v/>
      </c>
      <c r="AG6" s="217">
        <f t="shared" ref="AG6:AG17" si="13">0.05*(AD6-AE6)</f>
        <v>43.025</v>
      </c>
      <c r="AH6" s="217">
        <f t="shared" ref="AH6:AH17" si="14">0.1*(AF6)</f>
        <v>0</v>
      </c>
      <c r="AI6" s="217"/>
      <c r="AJ6" s="216">
        <f t="shared" ref="AJ6:AJ17" si="15">( (AD6 -AE6) + AG6)  +  (AF6 + AH6 ) + SUM(AI6)</f>
        <v>903.525</v>
      </c>
      <c r="AK6" s="218">
        <f>SHARES!CC3</f>
        <v>4800</v>
      </c>
      <c r="AL6" s="219"/>
      <c r="AM6" s="220">
        <f t="shared" ref="AM6:AM17" si="16">AJ6</f>
        <v>903.525</v>
      </c>
      <c r="AN6" s="215">
        <f>SHARES!AG3</f>
        <v>200</v>
      </c>
      <c r="AO6" s="216" t="str">
        <f>SHARES!AK3</f>
        <v/>
      </c>
      <c r="AP6" s="217">
        <f t="shared" ref="AP6:AP17" si="17">0.05*(AM6-AN6)</f>
        <v>35.17625</v>
      </c>
      <c r="AQ6" s="217">
        <f t="shared" ref="AQ6:AQ17" si="18">0.1*(AO6)</f>
        <v>0</v>
      </c>
      <c r="AR6" s="217"/>
      <c r="AS6" s="216">
        <f t="shared" ref="AS6:AS17" si="19">( (AM6 -AN6) + AP6)  +  (AO6 + AQ6 ) + SUM(AR6)</f>
        <v>738.70125</v>
      </c>
      <c r="AT6" s="218">
        <f>SHARES!CC3</f>
        <v>4800</v>
      </c>
      <c r="AU6" s="219"/>
      <c r="AV6" s="220">
        <f t="shared" ref="AV6:AV17" si="20">AS6</f>
        <v>738.70125</v>
      </c>
      <c r="AW6" s="215">
        <f>SHARES!AN3</f>
        <v>200</v>
      </c>
      <c r="AX6" s="216" t="str">
        <f>SHARES!AR3</f>
        <v/>
      </c>
      <c r="AY6" s="217">
        <f t="shared" ref="AY6:AY17" si="21">0.05*(AV6-AW6)</f>
        <v>26.9350625</v>
      </c>
      <c r="AZ6" s="217">
        <f t="shared" ref="AZ6:AZ17" si="22">0.1*(AX6)</f>
        <v>0</v>
      </c>
      <c r="BA6" s="217"/>
      <c r="BB6" s="216">
        <f t="shared" ref="BB6:BB17" si="23">( (AV6 -AW6) + AY6)  +  (AX6 + AZ6 ) + SUM(BA6)</f>
        <v>565.6363125</v>
      </c>
      <c r="BC6" s="218">
        <f>SHARES!CC3</f>
        <v>4800</v>
      </c>
      <c r="BD6" s="219"/>
      <c r="BE6" s="220">
        <f t="shared" ref="BE6:BE17" si="24">BB6</f>
        <v>565.6363125</v>
      </c>
      <c r="BF6" s="215" t="str">
        <f>SHARES!AU3</f>
        <v/>
      </c>
      <c r="BG6" s="216" t="str">
        <f>SHARES!AY3</f>
        <v/>
      </c>
      <c r="BH6" s="217">
        <f t="shared" ref="BH6:BH17" si="25">0.05*(BE6-BF6)</f>
        <v>28.28181563</v>
      </c>
      <c r="BI6" s="217">
        <f t="shared" ref="BI6:BI17" si="26">0.1*(BG6)</f>
        <v>0</v>
      </c>
      <c r="BJ6" s="217"/>
      <c r="BK6" s="216">
        <f t="shared" ref="BK6:BK17" si="27">( (BE6 -BF6) + BH6)  +  (BG6 + BI6 ) + SUM(BJ6)</f>
        <v>593.9181281</v>
      </c>
      <c r="BL6" s="218">
        <f>SHARES!CC3</f>
        <v>4800</v>
      </c>
      <c r="BM6" s="219"/>
      <c r="BN6" s="220">
        <f t="shared" ref="BN6:BN17" si="28">BK6</f>
        <v>593.9181281</v>
      </c>
      <c r="BO6" s="215">
        <f>SHARES!BB3</f>
        <v>0</v>
      </c>
      <c r="BP6" s="215" t="str">
        <f>SHARES!BF3</f>
        <v/>
      </c>
      <c r="BQ6" s="217">
        <f t="shared" ref="BQ6:BQ17" si="29">0.05*(BN6-BO6)</f>
        <v>29.69590641</v>
      </c>
      <c r="BR6" s="217">
        <f t="shared" ref="BR6:BR17" si="30">0.1*(BP6)</f>
        <v>0</v>
      </c>
      <c r="BS6" s="217"/>
      <c r="BT6" s="216">
        <f t="shared" ref="BT6:BT17" si="31">( (BN6 -BO6) + BQ6)  +  (BP6 + BR6 ) + SUM(BS6)</f>
        <v>623.6140345</v>
      </c>
      <c r="BU6" s="218">
        <f>SHARES!CC3</f>
        <v>4800</v>
      </c>
      <c r="BV6" s="219"/>
      <c r="BW6" s="220">
        <f t="shared" ref="BW6:BW17" si="32">BT6</f>
        <v>623.6140345</v>
      </c>
      <c r="BX6" s="215">
        <f>SHARES!BI3</f>
        <v>623.61</v>
      </c>
      <c r="BY6" s="215">
        <f>SHARES!BM3</f>
        <v>7556.61</v>
      </c>
      <c r="BZ6" s="217">
        <f t="shared" ref="BZ6:BZ17" si="33">0.05*(BW6-BX6)</f>
        <v>0.0002017265625</v>
      </c>
      <c r="CA6" s="217">
        <f t="shared" ref="CA6:CA17" si="34">0.1*(BY6)</f>
        <v>755.661</v>
      </c>
      <c r="CB6" s="217"/>
      <c r="CC6" s="216">
        <f t="shared" ref="CC6:CC17" si="35">( (BW6 -BX6) + BZ6)  +  (BY6 + CA6 ) + SUM(CB6)</f>
        <v>8312.275236</v>
      </c>
      <c r="CD6" s="218">
        <f>SHARES!CC3</f>
        <v>4800</v>
      </c>
      <c r="CE6" s="219"/>
      <c r="CF6" s="220">
        <f t="shared" ref="CF6:CF17" si="36">CC6</f>
        <v>8312.275236</v>
      </c>
      <c r="CG6" s="215">
        <f>SHARES!BN3</f>
        <v>2000</v>
      </c>
      <c r="CH6" s="222">
        <v>0.0</v>
      </c>
      <c r="CI6" s="223">
        <v>0.0</v>
      </c>
      <c r="CJ6" s="214">
        <v>0.0</v>
      </c>
      <c r="CK6" s="217">
        <f t="shared" ref="CK6:CK17" si="37">0.1*(CH6)</f>
        <v>0</v>
      </c>
      <c r="CL6" s="217"/>
      <c r="CM6" s="216">
        <f t="shared" ref="CM6:CM17" si="38">( (CF6 -CG6) + CJ6)  +  (CH6 + CJ6 + CK6 ) + SUM(CL6)</f>
        <v>6312.275236</v>
      </c>
      <c r="CN6" s="218">
        <f>SHARES!CC3</f>
        <v>4800</v>
      </c>
      <c r="CO6" s="219"/>
      <c r="CP6" s="220">
        <f t="shared" ref="CP6:CP17" si="39">CM6</f>
        <v>6312.275236</v>
      </c>
      <c r="CQ6" s="215">
        <f>SHARES!BQ3</f>
        <v>1000</v>
      </c>
      <c r="CR6" s="215"/>
      <c r="CS6" s="214">
        <v>0.0</v>
      </c>
      <c r="CT6" s="217">
        <f t="shared" ref="CT6:CT17" si="40">0.1*(CR6)</f>
        <v>0</v>
      </c>
      <c r="CU6" s="217"/>
      <c r="CV6" s="216">
        <f t="shared" ref="CV6:CV17" si="41">( (CP6 -CQ6) + CS6)  +  (CR6 + CT6 ) + SUM(CU6)</f>
        <v>5312.275236</v>
      </c>
      <c r="CW6" s="218">
        <f>SHARES!CC3</f>
        <v>4800</v>
      </c>
      <c r="CX6" s="219"/>
      <c r="CY6" s="224">
        <f t="shared" ref="CY6:CY17" si="42">CV6</f>
        <v>5312.275236</v>
      </c>
      <c r="CZ6" s="225">
        <f>SHARES!BT3</f>
        <v>0</v>
      </c>
      <c r="DA6" s="225"/>
      <c r="DB6" s="226">
        <v>0.0</v>
      </c>
      <c r="DC6" s="227">
        <f t="shared" ref="DC6:DC17" si="43">0.1*(DA6)</f>
        <v>0</v>
      </c>
      <c r="DD6" s="227"/>
      <c r="DE6" s="228">
        <f t="shared" ref="DE6:DE17" si="44">( (CY6 -CZ6) + DB6)  +  (DA6 + DC6 ) + SUM(DD6)</f>
        <v>5312.275236</v>
      </c>
      <c r="DF6" s="229">
        <f>SHARES!CC3</f>
        <v>4800</v>
      </c>
    </row>
    <row r="7" ht="14.25" customHeight="1">
      <c r="A7" s="230">
        <v>2.0</v>
      </c>
      <c r="B7" s="231" t="s">
        <v>19</v>
      </c>
      <c r="C7" s="232">
        <v>0.0</v>
      </c>
      <c r="D7" s="233" t="str">
        <f>SHARES!E4</f>
        <v/>
      </c>
      <c r="E7" s="234" t="str">
        <f>SHARES!I4</f>
        <v/>
      </c>
      <c r="F7" s="235">
        <f t="shared" si="1"/>
        <v>0</v>
      </c>
      <c r="G7" s="235">
        <f t="shared" si="2"/>
        <v>0</v>
      </c>
      <c r="H7" s="235"/>
      <c r="I7" s="234">
        <f t="shared" si="3"/>
        <v>0</v>
      </c>
      <c r="J7" s="236">
        <f>SHARES!CC4</f>
        <v>13200</v>
      </c>
      <c r="K7" s="237"/>
      <c r="L7" s="238">
        <f t="shared" si="4"/>
        <v>0</v>
      </c>
      <c r="M7" s="234" t="str">
        <f>SHARES!L4</f>
        <v/>
      </c>
      <c r="N7" s="234" t="str">
        <f>SHARES!P4</f>
        <v/>
      </c>
      <c r="O7" s="235">
        <f t="shared" si="5"/>
        <v>0</v>
      </c>
      <c r="P7" s="235">
        <f t="shared" si="6"/>
        <v>0</v>
      </c>
      <c r="Q7" s="235"/>
      <c r="R7" s="234">
        <f t="shared" si="7"/>
        <v>0</v>
      </c>
      <c r="S7" s="236">
        <f>SHARES!CC4</f>
        <v>13200</v>
      </c>
      <c r="T7" s="239"/>
      <c r="U7" s="238">
        <f t="shared" si="8"/>
        <v>0</v>
      </c>
      <c r="V7" s="233" t="str">
        <f>SHARES!S4</f>
        <v/>
      </c>
      <c r="W7" s="234" t="str">
        <f>SHARES!W4</f>
        <v/>
      </c>
      <c r="X7" s="235">
        <f t="shared" si="9"/>
        <v>0</v>
      </c>
      <c r="Y7" s="235">
        <f t="shared" si="10"/>
        <v>0</v>
      </c>
      <c r="Z7" s="235"/>
      <c r="AA7" s="234">
        <f t="shared" si="11"/>
        <v>0</v>
      </c>
      <c r="AB7" s="236">
        <f>SHARES!CC4</f>
        <v>13200</v>
      </c>
      <c r="AC7" s="237"/>
      <c r="AD7" s="238">
        <f t="shared" si="12"/>
        <v>0</v>
      </c>
      <c r="AE7" s="233">
        <f>SHARES!Z4</f>
        <v>0</v>
      </c>
      <c r="AF7" s="234" t="str">
        <f>SHARES!AD4</f>
        <v/>
      </c>
      <c r="AG7" s="235">
        <f t="shared" si="13"/>
        <v>0</v>
      </c>
      <c r="AH7" s="235">
        <f t="shared" si="14"/>
        <v>0</v>
      </c>
      <c r="AI7" s="235"/>
      <c r="AJ7" s="234">
        <f t="shared" si="15"/>
        <v>0</v>
      </c>
      <c r="AK7" s="236">
        <f>SHARES!CC4</f>
        <v>13200</v>
      </c>
      <c r="AL7" s="237"/>
      <c r="AM7" s="238">
        <f t="shared" si="16"/>
        <v>0</v>
      </c>
      <c r="AN7" s="233" t="str">
        <f>SHARES!AG4</f>
        <v/>
      </c>
      <c r="AO7" s="234" t="str">
        <f>SHARES!AK4</f>
        <v/>
      </c>
      <c r="AP7" s="235">
        <f t="shared" si="17"/>
        <v>0</v>
      </c>
      <c r="AQ7" s="235">
        <f t="shared" si="18"/>
        <v>0</v>
      </c>
      <c r="AR7" s="235"/>
      <c r="AS7" s="234">
        <f t="shared" si="19"/>
        <v>0</v>
      </c>
      <c r="AT7" s="236">
        <f>SHARES!CC4</f>
        <v>13200</v>
      </c>
      <c r="AU7" s="237"/>
      <c r="AV7" s="238">
        <f t="shared" si="20"/>
        <v>0</v>
      </c>
      <c r="AW7" s="233" t="str">
        <f>SHARES!AN4</f>
        <v/>
      </c>
      <c r="AX7" s="234" t="str">
        <f>SHARES!AR4</f>
        <v/>
      </c>
      <c r="AY7" s="235">
        <f t="shared" si="21"/>
        <v>0</v>
      </c>
      <c r="AZ7" s="235">
        <f t="shared" si="22"/>
        <v>0</v>
      </c>
      <c r="BA7" s="235"/>
      <c r="BB7" s="234">
        <f t="shared" si="23"/>
        <v>0</v>
      </c>
      <c r="BC7" s="236">
        <f>SHARES!CC4</f>
        <v>13200</v>
      </c>
      <c r="BD7" s="240" t="s">
        <v>55</v>
      </c>
      <c r="BE7" s="238">
        <f t="shared" si="24"/>
        <v>0</v>
      </c>
      <c r="BF7" s="233" t="str">
        <f>SHARES!AU4</f>
        <v/>
      </c>
      <c r="BG7" s="234" t="str">
        <f>SHARES!AY4</f>
        <v/>
      </c>
      <c r="BH7" s="235">
        <f t="shared" si="25"/>
        <v>0</v>
      </c>
      <c r="BI7" s="235">
        <f t="shared" si="26"/>
        <v>0</v>
      </c>
      <c r="BJ7" s="235"/>
      <c r="BK7" s="234">
        <f t="shared" si="27"/>
        <v>0</v>
      </c>
      <c r="BL7" s="236">
        <f>SHARES!CC4</f>
        <v>13200</v>
      </c>
      <c r="BM7" s="237"/>
      <c r="BN7" s="238">
        <f t="shared" si="28"/>
        <v>0</v>
      </c>
      <c r="BO7" s="233" t="str">
        <f>SHARES!BB4</f>
        <v/>
      </c>
      <c r="BP7" s="233" t="str">
        <f>SHARES!BF4</f>
        <v/>
      </c>
      <c r="BQ7" s="235">
        <f t="shared" si="29"/>
        <v>0</v>
      </c>
      <c r="BR7" s="235">
        <f t="shared" si="30"/>
        <v>0</v>
      </c>
      <c r="BS7" s="235"/>
      <c r="BT7" s="234">
        <f t="shared" si="31"/>
        <v>0</v>
      </c>
      <c r="BU7" s="236">
        <f>SHARES!CC4</f>
        <v>13200</v>
      </c>
      <c r="BV7" s="237"/>
      <c r="BW7" s="238">
        <f t="shared" si="32"/>
        <v>0</v>
      </c>
      <c r="BX7" s="233">
        <f>SHARES!BI4</f>
        <v>0</v>
      </c>
      <c r="BY7" s="233" t="str">
        <f>SHARES!BM4</f>
        <v/>
      </c>
      <c r="BZ7" s="235">
        <f t="shared" si="33"/>
        <v>0</v>
      </c>
      <c r="CA7" s="235">
        <f t="shared" si="34"/>
        <v>0</v>
      </c>
      <c r="CB7" s="235"/>
      <c r="CC7" s="234">
        <f t="shared" si="35"/>
        <v>0</v>
      </c>
      <c r="CD7" s="236">
        <f>SHARES!CC4</f>
        <v>13200</v>
      </c>
      <c r="CE7" s="237"/>
      <c r="CF7" s="238">
        <f t="shared" si="36"/>
        <v>0</v>
      </c>
      <c r="CG7" s="233">
        <f>SHARES!BN4</f>
        <v>0</v>
      </c>
      <c r="CH7" s="241">
        <v>0.0</v>
      </c>
      <c r="CI7" s="242">
        <v>0.0</v>
      </c>
      <c r="CJ7" s="214">
        <v>0.0</v>
      </c>
      <c r="CK7" s="217">
        <f t="shared" si="37"/>
        <v>0</v>
      </c>
      <c r="CL7" s="235"/>
      <c r="CM7" s="216">
        <f t="shared" si="38"/>
        <v>0</v>
      </c>
      <c r="CN7" s="236">
        <f>SHARES!CC4</f>
        <v>13200</v>
      </c>
      <c r="CO7" s="237"/>
      <c r="CP7" s="238">
        <f t="shared" si="39"/>
        <v>0</v>
      </c>
      <c r="CQ7" s="233">
        <f>SHARES!BQ4</f>
        <v>0</v>
      </c>
      <c r="CR7" s="243"/>
      <c r="CS7" s="214">
        <v>0.0</v>
      </c>
      <c r="CT7" s="235">
        <f t="shared" si="40"/>
        <v>0</v>
      </c>
      <c r="CU7" s="235"/>
      <c r="CV7" s="234">
        <f t="shared" si="41"/>
        <v>0</v>
      </c>
      <c r="CW7" s="236">
        <f>SHARES!CC4</f>
        <v>13200</v>
      </c>
      <c r="CX7" s="237"/>
      <c r="CY7" s="224">
        <f t="shared" si="42"/>
        <v>0</v>
      </c>
      <c r="CZ7" s="225">
        <f>SHARES!BT4</f>
        <v>0</v>
      </c>
      <c r="DA7" s="244"/>
      <c r="DB7" s="226">
        <v>0.0</v>
      </c>
      <c r="DC7" s="227">
        <f t="shared" si="43"/>
        <v>0</v>
      </c>
      <c r="DD7" s="227"/>
      <c r="DE7" s="228">
        <f t="shared" si="44"/>
        <v>0</v>
      </c>
      <c r="DF7" s="229">
        <f>SHARES!CC4</f>
        <v>13200</v>
      </c>
    </row>
    <row r="8" ht="14.25" customHeight="1">
      <c r="A8" s="213">
        <v>2.0</v>
      </c>
      <c r="B8" s="245" t="s">
        <v>20</v>
      </c>
      <c r="C8" s="214">
        <v>0.0</v>
      </c>
      <c r="D8" s="215" t="str">
        <f>SHARES!E5</f>
        <v/>
      </c>
      <c r="E8" s="216" t="str">
        <f>SHARES!I5</f>
        <v/>
      </c>
      <c r="F8" s="217">
        <f t="shared" si="1"/>
        <v>0</v>
      </c>
      <c r="G8" s="217">
        <f t="shared" si="2"/>
        <v>0</v>
      </c>
      <c r="H8" s="217"/>
      <c r="I8" s="216">
        <f t="shared" si="3"/>
        <v>0</v>
      </c>
      <c r="J8" s="218">
        <f>SHARES!CC5</f>
        <v>6000</v>
      </c>
      <c r="K8" s="219"/>
      <c r="L8" s="220">
        <f t="shared" si="4"/>
        <v>0</v>
      </c>
      <c r="M8" s="216" t="str">
        <f>SHARES!L5</f>
        <v/>
      </c>
      <c r="N8" s="216" t="str">
        <f>SHARES!P5</f>
        <v/>
      </c>
      <c r="O8" s="217">
        <f t="shared" si="5"/>
        <v>0</v>
      </c>
      <c r="P8" s="217">
        <f t="shared" si="6"/>
        <v>0</v>
      </c>
      <c r="Q8" s="217"/>
      <c r="R8" s="216">
        <f t="shared" si="7"/>
        <v>0</v>
      </c>
      <c r="S8" s="218">
        <f>SHARES!CC5</f>
        <v>6000</v>
      </c>
      <c r="T8" s="221"/>
      <c r="U8" s="220">
        <f t="shared" si="8"/>
        <v>0</v>
      </c>
      <c r="V8" s="215" t="str">
        <f>SHARES!S5</f>
        <v/>
      </c>
      <c r="W8" s="216">
        <f>SHARES!W5</f>
        <v>1000</v>
      </c>
      <c r="X8" s="217">
        <f t="shared" si="9"/>
        <v>0</v>
      </c>
      <c r="Y8" s="217">
        <f t="shared" si="10"/>
        <v>100</v>
      </c>
      <c r="Z8" s="217"/>
      <c r="AA8" s="216">
        <f t="shared" si="11"/>
        <v>1100</v>
      </c>
      <c r="AB8" s="218">
        <f>SHARES!CC5</f>
        <v>6000</v>
      </c>
      <c r="AC8" s="219"/>
      <c r="AD8" s="220">
        <f t="shared" si="12"/>
        <v>1100</v>
      </c>
      <c r="AE8" s="215">
        <f>SHARES!Z5</f>
        <v>200</v>
      </c>
      <c r="AF8" s="216" t="str">
        <f>SHARES!AD5</f>
        <v/>
      </c>
      <c r="AG8" s="217">
        <f t="shared" si="13"/>
        <v>45</v>
      </c>
      <c r="AH8" s="217">
        <f t="shared" si="14"/>
        <v>0</v>
      </c>
      <c r="AI8" s="217"/>
      <c r="AJ8" s="216">
        <f t="shared" si="15"/>
        <v>945</v>
      </c>
      <c r="AK8" s="218">
        <f>SHARES!CC5</f>
        <v>6000</v>
      </c>
      <c r="AL8" s="219"/>
      <c r="AM8" s="220">
        <f t="shared" si="16"/>
        <v>945</v>
      </c>
      <c r="AN8" s="215">
        <f>SHARES!AG5</f>
        <v>200</v>
      </c>
      <c r="AO8" s="216" t="str">
        <f>SHARES!AK5</f>
        <v/>
      </c>
      <c r="AP8" s="217">
        <f t="shared" si="17"/>
        <v>37.25</v>
      </c>
      <c r="AQ8" s="217">
        <f t="shared" si="18"/>
        <v>0</v>
      </c>
      <c r="AR8" s="217"/>
      <c r="AS8" s="216">
        <f t="shared" si="19"/>
        <v>782.25</v>
      </c>
      <c r="AT8" s="218">
        <f>SHARES!CC5</f>
        <v>6000</v>
      </c>
      <c r="AU8" s="219"/>
      <c r="AV8" s="220">
        <f t="shared" si="20"/>
        <v>782.25</v>
      </c>
      <c r="AW8" s="215">
        <f>SHARES!AN5</f>
        <v>200</v>
      </c>
      <c r="AX8" s="216">
        <f>SHARES!AR5</f>
        <v>1500</v>
      </c>
      <c r="AY8" s="217">
        <f t="shared" si="21"/>
        <v>29.1125</v>
      </c>
      <c r="AZ8" s="217">
        <f t="shared" si="22"/>
        <v>150</v>
      </c>
      <c r="BA8" s="217"/>
      <c r="BB8" s="216">
        <f t="shared" si="23"/>
        <v>2261.3625</v>
      </c>
      <c r="BC8" s="218">
        <f>SHARES!CC5</f>
        <v>6000</v>
      </c>
      <c r="BD8" s="219"/>
      <c r="BE8" s="220">
        <f t="shared" si="24"/>
        <v>2261.3625</v>
      </c>
      <c r="BF8" s="215">
        <f>SHARES!AU5</f>
        <v>500</v>
      </c>
      <c r="BG8" s="216" t="str">
        <f>SHARES!AY5</f>
        <v/>
      </c>
      <c r="BH8" s="217">
        <f t="shared" si="25"/>
        <v>88.068125</v>
      </c>
      <c r="BI8" s="217">
        <f t="shared" si="26"/>
        <v>0</v>
      </c>
      <c r="BJ8" s="217"/>
      <c r="BK8" s="216">
        <f t="shared" si="27"/>
        <v>1849.430625</v>
      </c>
      <c r="BL8" s="218">
        <f>SHARES!CC5</f>
        <v>6000</v>
      </c>
      <c r="BM8" s="219"/>
      <c r="BN8" s="220">
        <f t="shared" si="28"/>
        <v>1849.430625</v>
      </c>
      <c r="BO8" s="215">
        <f>SHARES!BB5</f>
        <v>200</v>
      </c>
      <c r="BP8" s="215">
        <f>SHARES!BF5</f>
        <v>500</v>
      </c>
      <c r="BQ8" s="217">
        <f t="shared" si="29"/>
        <v>82.47153125</v>
      </c>
      <c r="BR8" s="217">
        <f t="shared" si="30"/>
        <v>50</v>
      </c>
      <c r="BS8" s="217"/>
      <c r="BT8" s="216">
        <f t="shared" si="31"/>
        <v>2281.902156</v>
      </c>
      <c r="BU8" s="218">
        <f>SHARES!CC5</f>
        <v>6000</v>
      </c>
      <c r="BV8" s="219"/>
      <c r="BW8" s="220">
        <f t="shared" si="32"/>
        <v>2281.902156</v>
      </c>
      <c r="BX8" s="215">
        <f>SHARES!BI5</f>
        <v>200</v>
      </c>
      <c r="BY8" s="215" t="str">
        <f>SHARES!BM5</f>
        <v/>
      </c>
      <c r="BZ8" s="217">
        <f t="shared" si="33"/>
        <v>104.0951078</v>
      </c>
      <c r="CA8" s="217">
        <f t="shared" si="34"/>
        <v>0</v>
      </c>
      <c r="CB8" s="217"/>
      <c r="CC8" s="216">
        <f t="shared" si="35"/>
        <v>2185.997264</v>
      </c>
      <c r="CD8" s="218">
        <f>SHARES!CC5</f>
        <v>6000</v>
      </c>
      <c r="CE8" s="219"/>
      <c r="CF8" s="220">
        <f t="shared" si="36"/>
        <v>2185.997264</v>
      </c>
      <c r="CG8" s="215">
        <f>SHARES!BN5</f>
        <v>500</v>
      </c>
      <c r="CH8" s="246">
        <v>0.0</v>
      </c>
      <c r="CI8" s="223">
        <v>0.0</v>
      </c>
      <c r="CJ8" s="214">
        <v>0.0</v>
      </c>
      <c r="CK8" s="217">
        <f t="shared" si="37"/>
        <v>0</v>
      </c>
      <c r="CL8" s="217"/>
      <c r="CM8" s="216">
        <f t="shared" si="38"/>
        <v>1685.997264</v>
      </c>
      <c r="CN8" s="218">
        <f>SHARES!CC5</f>
        <v>6000</v>
      </c>
      <c r="CO8" s="219"/>
      <c r="CP8" s="220">
        <f t="shared" si="39"/>
        <v>1685.997264</v>
      </c>
      <c r="CQ8" s="222">
        <v>0.0</v>
      </c>
      <c r="CR8" s="247"/>
      <c r="CS8" s="214">
        <v>0.0</v>
      </c>
      <c r="CT8" s="217">
        <f t="shared" si="40"/>
        <v>0</v>
      </c>
      <c r="CU8" s="217"/>
      <c r="CV8" s="216">
        <f t="shared" si="41"/>
        <v>1685.997264</v>
      </c>
      <c r="CW8" s="218">
        <f>SHARES!CC5</f>
        <v>6000</v>
      </c>
      <c r="CX8" s="219"/>
      <c r="CY8" s="224">
        <f t="shared" si="42"/>
        <v>1685.997264</v>
      </c>
      <c r="CZ8" s="225">
        <f>SHARES!BT5</f>
        <v>0</v>
      </c>
      <c r="DA8" s="244"/>
      <c r="DB8" s="226">
        <v>0.0</v>
      </c>
      <c r="DC8" s="227">
        <f t="shared" si="43"/>
        <v>0</v>
      </c>
      <c r="DD8" s="227"/>
      <c r="DE8" s="228">
        <f t="shared" si="44"/>
        <v>1685.997264</v>
      </c>
      <c r="DF8" s="229">
        <f>SHARES!CC5</f>
        <v>6000</v>
      </c>
    </row>
    <row r="9" ht="14.25" customHeight="1">
      <c r="A9" s="248">
        <v>3.0</v>
      </c>
      <c r="B9" s="249" t="s">
        <v>56</v>
      </c>
      <c r="C9" s="250">
        <v>0.0</v>
      </c>
      <c r="D9" s="225" t="str">
        <f>SHARES!E6</f>
        <v/>
      </c>
      <c r="E9" s="228" t="str">
        <f>SHARES!I6</f>
        <v/>
      </c>
      <c r="F9" s="227">
        <f t="shared" si="1"/>
        <v>0</v>
      </c>
      <c r="G9" s="227">
        <f t="shared" si="2"/>
        <v>0</v>
      </c>
      <c r="H9" s="227"/>
      <c r="I9" s="228">
        <f t="shared" si="3"/>
        <v>0</v>
      </c>
      <c r="J9" s="229">
        <f>SHARES!CC6</f>
        <v>7500</v>
      </c>
      <c r="K9" s="251"/>
      <c r="L9" s="224">
        <f t="shared" si="4"/>
        <v>0</v>
      </c>
      <c r="M9" s="228" t="str">
        <f>SHARES!L6</f>
        <v/>
      </c>
      <c r="N9" s="228">
        <f>SHARES!P6</f>
        <v>1000</v>
      </c>
      <c r="O9" s="227">
        <f t="shared" si="5"/>
        <v>0</v>
      </c>
      <c r="P9" s="227">
        <f t="shared" si="6"/>
        <v>100</v>
      </c>
      <c r="Q9" s="227"/>
      <c r="R9" s="228">
        <f t="shared" si="7"/>
        <v>1100</v>
      </c>
      <c r="S9" s="229">
        <f>SHARES!CC6</f>
        <v>7500</v>
      </c>
      <c r="T9" s="252"/>
      <c r="U9" s="224">
        <f t="shared" si="8"/>
        <v>1100</v>
      </c>
      <c r="V9" s="225">
        <f>SHARES!S6</f>
        <v>200</v>
      </c>
      <c r="W9" s="228" t="str">
        <f>SHARES!W6</f>
        <v/>
      </c>
      <c r="X9" s="227">
        <f t="shared" si="9"/>
        <v>45</v>
      </c>
      <c r="Y9" s="227">
        <f t="shared" si="10"/>
        <v>0</v>
      </c>
      <c r="Z9" s="227"/>
      <c r="AA9" s="228">
        <f t="shared" si="11"/>
        <v>945</v>
      </c>
      <c r="AB9" s="229">
        <f>SHARES!CC6</f>
        <v>7500</v>
      </c>
      <c r="AC9" s="251"/>
      <c r="AD9" s="224">
        <f t="shared" si="12"/>
        <v>945</v>
      </c>
      <c r="AE9" s="225">
        <f>SHARES!Z6</f>
        <v>200</v>
      </c>
      <c r="AF9" s="228" t="str">
        <f>SHARES!AD6</f>
        <v/>
      </c>
      <c r="AG9" s="227">
        <f t="shared" si="13"/>
        <v>37.25</v>
      </c>
      <c r="AH9" s="227">
        <f t="shared" si="14"/>
        <v>0</v>
      </c>
      <c r="AI9" s="227"/>
      <c r="AJ9" s="228">
        <f t="shared" si="15"/>
        <v>782.25</v>
      </c>
      <c r="AK9" s="229">
        <f>SHARES!CC6</f>
        <v>7500</v>
      </c>
      <c r="AL9" s="251"/>
      <c r="AM9" s="224">
        <f t="shared" si="16"/>
        <v>782.25</v>
      </c>
      <c r="AN9" s="225">
        <f>SHARES!AG6</f>
        <v>500</v>
      </c>
      <c r="AO9" s="228" t="str">
        <f>SHARES!AK6</f>
        <v/>
      </c>
      <c r="AP9" s="227">
        <f t="shared" si="17"/>
        <v>14.1125</v>
      </c>
      <c r="AQ9" s="227">
        <f t="shared" si="18"/>
        <v>0</v>
      </c>
      <c r="AR9" s="227"/>
      <c r="AS9" s="228">
        <f t="shared" si="19"/>
        <v>296.3625</v>
      </c>
      <c r="AT9" s="229">
        <f>SHARES!CC6</f>
        <v>7500</v>
      </c>
      <c r="AU9" s="251"/>
      <c r="AV9" s="224">
        <f t="shared" si="20"/>
        <v>296.3625</v>
      </c>
      <c r="AW9" s="225">
        <f>SHARES!AN6</f>
        <v>300</v>
      </c>
      <c r="AX9" s="228" t="str">
        <f>SHARES!AR6</f>
        <v/>
      </c>
      <c r="AY9" s="227">
        <f t="shared" si="21"/>
        <v>-0.181875</v>
      </c>
      <c r="AZ9" s="227">
        <f t="shared" si="22"/>
        <v>0</v>
      </c>
      <c r="BA9" s="227"/>
      <c r="BB9" s="228">
        <f t="shared" si="23"/>
        <v>-3.819375</v>
      </c>
      <c r="BC9" s="229">
        <f>SHARES!CC6</f>
        <v>7500</v>
      </c>
      <c r="BD9" s="251"/>
      <c r="BE9" s="224">
        <f t="shared" si="24"/>
        <v>-3.819375</v>
      </c>
      <c r="BF9" s="225" t="str">
        <f>SHARES!AU6</f>
        <v/>
      </c>
      <c r="BG9" s="228" t="str">
        <f>SHARES!AY6</f>
        <v/>
      </c>
      <c r="BH9" s="227">
        <f t="shared" si="25"/>
        <v>-0.19096875</v>
      </c>
      <c r="BI9" s="227">
        <f t="shared" si="26"/>
        <v>0</v>
      </c>
      <c r="BJ9" s="227"/>
      <c r="BK9" s="228">
        <f t="shared" si="27"/>
        <v>-4.01034375</v>
      </c>
      <c r="BL9" s="229">
        <f>SHARES!CC6</f>
        <v>7500</v>
      </c>
      <c r="BM9" s="251"/>
      <c r="BN9" s="224">
        <f t="shared" si="28"/>
        <v>-4.01034375</v>
      </c>
      <c r="BO9" s="225">
        <f>SHARES!BB6</f>
        <v>0</v>
      </c>
      <c r="BP9" s="225" t="str">
        <f>SHARES!BF6</f>
        <v/>
      </c>
      <c r="BQ9" s="227">
        <f t="shared" si="29"/>
        <v>-0.2005171875</v>
      </c>
      <c r="BR9" s="227">
        <f t="shared" si="30"/>
        <v>0</v>
      </c>
      <c r="BS9" s="227"/>
      <c r="BT9" s="228">
        <f t="shared" si="31"/>
        <v>-4.210860937</v>
      </c>
      <c r="BU9" s="229">
        <f>SHARES!CC6</f>
        <v>7500</v>
      </c>
      <c r="BV9" s="251"/>
      <c r="BW9" s="224">
        <f t="shared" si="32"/>
        <v>-4.210860937</v>
      </c>
      <c r="BX9" s="225">
        <f>SHARES!BI6</f>
        <v>0</v>
      </c>
      <c r="BY9" s="225" t="str">
        <f>SHARES!BM6</f>
        <v/>
      </c>
      <c r="BZ9" s="227">
        <f t="shared" si="33"/>
        <v>-0.2105430469</v>
      </c>
      <c r="CA9" s="227">
        <f t="shared" si="34"/>
        <v>0</v>
      </c>
      <c r="CB9" s="227"/>
      <c r="CC9" s="228">
        <f t="shared" si="35"/>
        <v>-4.421403984</v>
      </c>
      <c r="CD9" s="229">
        <f>SHARES!CC6</f>
        <v>7500</v>
      </c>
      <c r="CE9" s="251"/>
      <c r="CF9" s="224">
        <f t="shared" si="36"/>
        <v>-4.421403984</v>
      </c>
      <c r="CG9" s="225">
        <f>SHARES!BN6</f>
        <v>0</v>
      </c>
      <c r="CH9" s="253">
        <v>0.0</v>
      </c>
      <c r="CI9" s="254">
        <v>0.0</v>
      </c>
      <c r="CJ9" s="214">
        <v>0.0</v>
      </c>
      <c r="CK9" s="217">
        <f t="shared" si="37"/>
        <v>0</v>
      </c>
      <c r="CL9" s="227"/>
      <c r="CM9" s="216">
        <f t="shared" si="38"/>
        <v>-4.421403984</v>
      </c>
      <c r="CN9" s="229">
        <f>SHARES!CC6</f>
        <v>7500</v>
      </c>
      <c r="CO9" s="251"/>
      <c r="CP9" s="224">
        <f t="shared" si="39"/>
        <v>-4.421403984</v>
      </c>
      <c r="CQ9" s="255">
        <v>0.0</v>
      </c>
      <c r="CR9" s="244"/>
      <c r="CS9" s="214">
        <v>0.0</v>
      </c>
      <c r="CT9" s="227">
        <f t="shared" si="40"/>
        <v>0</v>
      </c>
      <c r="CU9" s="227"/>
      <c r="CV9" s="228">
        <f t="shared" si="41"/>
        <v>-4.421403984</v>
      </c>
      <c r="CW9" s="229">
        <f>SHARES!CC6</f>
        <v>7500</v>
      </c>
      <c r="CX9" s="251"/>
      <c r="CY9" s="224">
        <f t="shared" si="42"/>
        <v>-4.421403984</v>
      </c>
      <c r="CZ9" s="225">
        <f>SHARES!BT6</f>
        <v>0</v>
      </c>
      <c r="DA9" s="244"/>
      <c r="DB9" s="226">
        <v>0.0</v>
      </c>
      <c r="DC9" s="227">
        <f t="shared" si="43"/>
        <v>0</v>
      </c>
      <c r="DD9" s="227"/>
      <c r="DE9" s="228">
        <f t="shared" si="44"/>
        <v>-4.421403984</v>
      </c>
      <c r="DF9" s="229">
        <f>SHARES!CC6</f>
        <v>7500</v>
      </c>
    </row>
    <row r="10" ht="14.25" customHeight="1">
      <c r="A10" s="213">
        <v>4.0</v>
      </c>
      <c r="B10" s="88" t="s">
        <v>22</v>
      </c>
      <c r="C10" s="256">
        <v>0.0</v>
      </c>
      <c r="D10" s="215" t="str">
        <f>SHARES!E7</f>
        <v/>
      </c>
      <c r="E10" s="216">
        <f>SHARES!I7</f>
        <v>800</v>
      </c>
      <c r="F10" s="217">
        <f t="shared" si="1"/>
        <v>0</v>
      </c>
      <c r="G10" s="217">
        <f t="shared" si="2"/>
        <v>80</v>
      </c>
      <c r="H10" s="217"/>
      <c r="I10" s="216">
        <f t="shared" si="3"/>
        <v>880</v>
      </c>
      <c r="J10" s="218">
        <f>SHARES!CC7</f>
        <v>6000</v>
      </c>
      <c r="K10" s="219"/>
      <c r="L10" s="220">
        <f t="shared" si="4"/>
        <v>880</v>
      </c>
      <c r="M10" s="216" t="str">
        <f>SHARES!L7</f>
        <v/>
      </c>
      <c r="N10" s="216" t="str">
        <f>SHARES!P7</f>
        <v/>
      </c>
      <c r="O10" s="217">
        <f t="shared" si="5"/>
        <v>44</v>
      </c>
      <c r="P10" s="217">
        <f t="shared" si="6"/>
        <v>0</v>
      </c>
      <c r="Q10" s="217"/>
      <c r="R10" s="216">
        <f t="shared" si="7"/>
        <v>924</v>
      </c>
      <c r="S10" s="218">
        <f>SHARES!CC7</f>
        <v>6000</v>
      </c>
      <c r="T10" s="221"/>
      <c r="U10" s="220">
        <f t="shared" si="8"/>
        <v>924</v>
      </c>
      <c r="V10" s="215" t="str">
        <f>SHARES!S7</f>
        <v/>
      </c>
      <c r="W10" s="216" t="str">
        <f>SHARES!W7</f>
        <v/>
      </c>
      <c r="X10" s="217">
        <f t="shared" si="9"/>
        <v>46.2</v>
      </c>
      <c r="Y10" s="217">
        <f t="shared" si="10"/>
        <v>0</v>
      </c>
      <c r="Z10" s="217"/>
      <c r="AA10" s="216">
        <f t="shared" si="11"/>
        <v>970.2</v>
      </c>
      <c r="AB10" s="218">
        <f>SHARES!CC7</f>
        <v>6000</v>
      </c>
      <c r="AC10" s="219"/>
      <c r="AD10" s="220">
        <f t="shared" si="12"/>
        <v>970.2</v>
      </c>
      <c r="AE10" s="215">
        <f>SHARES!Z7</f>
        <v>0</v>
      </c>
      <c r="AF10" s="216" t="str">
        <f>SHARES!AD7</f>
        <v/>
      </c>
      <c r="AG10" s="217">
        <f t="shared" si="13"/>
        <v>48.51</v>
      </c>
      <c r="AH10" s="217">
        <f t="shared" si="14"/>
        <v>0</v>
      </c>
      <c r="AI10" s="217"/>
      <c r="AJ10" s="216">
        <f t="shared" si="15"/>
        <v>1018.71</v>
      </c>
      <c r="AK10" s="218">
        <f>SHARES!CC7</f>
        <v>6000</v>
      </c>
      <c r="AL10" s="219"/>
      <c r="AM10" s="220">
        <f t="shared" si="16"/>
        <v>1018.71</v>
      </c>
      <c r="AN10" s="215" t="str">
        <f>SHARES!AG7</f>
        <v/>
      </c>
      <c r="AO10" s="216">
        <f>SHARES!AK7</f>
        <v>2000</v>
      </c>
      <c r="AP10" s="217">
        <f t="shared" si="17"/>
        <v>50.9355</v>
      </c>
      <c r="AQ10" s="217">
        <f t="shared" si="18"/>
        <v>200</v>
      </c>
      <c r="AR10" s="217"/>
      <c r="AS10" s="216">
        <f t="shared" si="19"/>
        <v>3269.6455</v>
      </c>
      <c r="AT10" s="218">
        <f>SHARES!CC7</f>
        <v>6000</v>
      </c>
      <c r="AU10" s="219"/>
      <c r="AV10" s="220">
        <f t="shared" si="20"/>
        <v>3269.6455</v>
      </c>
      <c r="AW10" s="215">
        <f>SHARES!AN7</f>
        <v>400</v>
      </c>
      <c r="AX10" s="216" t="str">
        <f>SHARES!AR7</f>
        <v/>
      </c>
      <c r="AY10" s="217">
        <f t="shared" si="21"/>
        <v>143.482275</v>
      </c>
      <c r="AZ10" s="217">
        <f t="shared" si="22"/>
        <v>0</v>
      </c>
      <c r="BA10" s="217"/>
      <c r="BB10" s="216">
        <f t="shared" si="23"/>
        <v>3013.127775</v>
      </c>
      <c r="BC10" s="218">
        <f>SHARES!CC7</f>
        <v>6000</v>
      </c>
      <c r="BD10" s="219"/>
      <c r="BE10" s="220">
        <f t="shared" si="24"/>
        <v>3013.127775</v>
      </c>
      <c r="BF10" s="215" t="str">
        <f>SHARES!AU7</f>
        <v/>
      </c>
      <c r="BG10" s="216" t="str">
        <f>SHARES!AY7</f>
        <v/>
      </c>
      <c r="BH10" s="217">
        <f t="shared" si="25"/>
        <v>150.6563888</v>
      </c>
      <c r="BI10" s="217">
        <f t="shared" si="26"/>
        <v>0</v>
      </c>
      <c r="BJ10" s="217"/>
      <c r="BK10" s="216">
        <f t="shared" si="27"/>
        <v>3163.784164</v>
      </c>
      <c r="BL10" s="218">
        <f>SHARES!CC7</f>
        <v>6000</v>
      </c>
      <c r="BM10" s="219"/>
      <c r="BN10" s="220">
        <f t="shared" si="28"/>
        <v>3163.784164</v>
      </c>
      <c r="BO10" s="215">
        <f>SHARES!BB7</f>
        <v>0</v>
      </c>
      <c r="BP10" s="215">
        <f>SHARES!BF7</f>
        <v>2300</v>
      </c>
      <c r="BQ10" s="217">
        <f t="shared" si="29"/>
        <v>158.1892082</v>
      </c>
      <c r="BR10" s="217">
        <f t="shared" si="30"/>
        <v>230</v>
      </c>
      <c r="BS10" s="217"/>
      <c r="BT10" s="216">
        <f t="shared" si="31"/>
        <v>5851.973372</v>
      </c>
      <c r="BU10" s="218">
        <f>SHARES!CC7</f>
        <v>6000</v>
      </c>
      <c r="BV10" s="219"/>
      <c r="BW10" s="220">
        <f t="shared" si="32"/>
        <v>5851.973372</v>
      </c>
      <c r="BX10" s="215">
        <f>SHARES!BI7</f>
        <v>400</v>
      </c>
      <c r="BY10" s="215" t="str">
        <f>SHARES!BM7</f>
        <v/>
      </c>
      <c r="BZ10" s="217">
        <f t="shared" si="33"/>
        <v>272.5986686</v>
      </c>
      <c r="CA10" s="217">
        <f t="shared" si="34"/>
        <v>0</v>
      </c>
      <c r="CB10" s="217"/>
      <c r="CC10" s="216">
        <f t="shared" si="35"/>
        <v>5724.572041</v>
      </c>
      <c r="CD10" s="218">
        <f>SHARES!CC7</f>
        <v>6000</v>
      </c>
      <c r="CE10" s="219"/>
      <c r="CF10" s="220">
        <f t="shared" si="36"/>
        <v>5724.572041</v>
      </c>
      <c r="CG10" s="215">
        <f>SHARES!BN7</f>
        <v>700</v>
      </c>
      <c r="CH10" s="246">
        <v>0.0</v>
      </c>
      <c r="CI10" s="223">
        <v>0.0</v>
      </c>
      <c r="CJ10" s="214">
        <v>0.0</v>
      </c>
      <c r="CK10" s="217">
        <f t="shared" si="37"/>
        <v>0</v>
      </c>
      <c r="CL10" s="217"/>
      <c r="CM10" s="216">
        <f t="shared" si="38"/>
        <v>5024.572041</v>
      </c>
      <c r="CN10" s="218">
        <f>SHARES!CC7</f>
        <v>6000</v>
      </c>
      <c r="CO10" s="219"/>
      <c r="CP10" s="220">
        <f t="shared" si="39"/>
        <v>5024.572041</v>
      </c>
      <c r="CQ10" s="215">
        <f>SHARES!BQ7</f>
        <v>1300</v>
      </c>
      <c r="CR10" s="247"/>
      <c r="CS10" s="214">
        <v>0.0</v>
      </c>
      <c r="CT10" s="217">
        <f t="shared" si="40"/>
        <v>0</v>
      </c>
      <c r="CU10" s="217"/>
      <c r="CV10" s="216">
        <f t="shared" si="41"/>
        <v>3724.572041</v>
      </c>
      <c r="CW10" s="218">
        <f>SHARES!CC7</f>
        <v>6000</v>
      </c>
      <c r="CX10" s="219"/>
      <c r="CY10" s="224">
        <f t="shared" si="42"/>
        <v>3724.572041</v>
      </c>
      <c r="CZ10" s="225" t="str">
        <f>SHARES!BT7</f>
        <v/>
      </c>
      <c r="DA10" s="244"/>
      <c r="DB10" s="226">
        <v>0.0</v>
      </c>
      <c r="DC10" s="227">
        <f t="shared" si="43"/>
        <v>0</v>
      </c>
      <c r="DD10" s="227"/>
      <c r="DE10" s="228">
        <f t="shared" si="44"/>
        <v>3724.572041</v>
      </c>
      <c r="DF10" s="229">
        <f>SHARES!CC7</f>
        <v>6000</v>
      </c>
    </row>
    <row r="11" ht="14.25" customHeight="1">
      <c r="A11" s="257">
        <v>6.0</v>
      </c>
      <c r="B11" s="258" t="s">
        <v>23</v>
      </c>
      <c r="C11" s="259">
        <v>0.0</v>
      </c>
      <c r="D11" s="260" t="str">
        <f>SHARES!E8</f>
        <v/>
      </c>
      <c r="E11" s="261">
        <f>SHARES!I8</f>
        <v>1000</v>
      </c>
      <c r="F11" s="262">
        <f t="shared" si="1"/>
        <v>0</v>
      </c>
      <c r="G11" s="262">
        <f t="shared" si="2"/>
        <v>100</v>
      </c>
      <c r="H11" s="262"/>
      <c r="I11" s="261">
        <f t="shared" si="3"/>
        <v>1100</v>
      </c>
      <c r="J11" s="263">
        <f>SHARES!CC8</f>
        <v>4200</v>
      </c>
      <c r="K11" s="264"/>
      <c r="L11" s="265">
        <f t="shared" si="4"/>
        <v>1100</v>
      </c>
      <c r="M11" s="261" t="str">
        <f>SHARES!L8</f>
        <v/>
      </c>
      <c r="N11" s="261" t="str">
        <f>SHARES!P8</f>
        <v/>
      </c>
      <c r="O11" s="262">
        <f t="shared" si="5"/>
        <v>55</v>
      </c>
      <c r="P11" s="262">
        <f t="shared" si="6"/>
        <v>0</v>
      </c>
      <c r="Q11" s="262"/>
      <c r="R11" s="261">
        <f t="shared" si="7"/>
        <v>1155</v>
      </c>
      <c r="S11" s="263">
        <f>SHARES!CC8</f>
        <v>4200</v>
      </c>
      <c r="T11" s="266"/>
      <c r="U11" s="265">
        <f t="shared" si="8"/>
        <v>1155</v>
      </c>
      <c r="V11" s="260">
        <f>SHARES!S8</f>
        <v>0</v>
      </c>
      <c r="W11" s="261" t="str">
        <f>SHARES!W8</f>
        <v/>
      </c>
      <c r="X11" s="262">
        <f t="shared" si="9"/>
        <v>57.75</v>
      </c>
      <c r="Y11" s="262">
        <f t="shared" si="10"/>
        <v>0</v>
      </c>
      <c r="Z11" s="262"/>
      <c r="AA11" s="261">
        <f t="shared" si="11"/>
        <v>1212.75</v>
      </c>
      <c r="AB11" s="263">
        <f>SHARES!CC8</f>
        <v>4200</v>
      </c>
      <c r="AC11" s="264"/>
      <c r="AD11" s="265">
        <f t="shared" si="12"/>
        <v>1212.75</v>
      </c>
      <c r="AE11" s="260">
        <f>SHARES!Z8</f>
        <v>200</v>
      </c>
      <c r="AF11" s="261" t="str">
        <f>SHARES!AD8</f>
        <v/>
      </c>
      <c r="AG11" s="262">
        <f t="shared" si="13"/>
        <v>50.6375</v>
      </c>
      <c r="AH11" s="262">
        <f t="shared" si="14"/>
        <v>0</v>
      </c>
      <c r="AI11" s="262"/>
      <c r="AJ11" s="261">
        <f t="shared" si="15"/>
        <v>1063.3875</v>
      </c>
      <c r="AK11" s="263">
        <f>SHARES!CC8</f>
        <v>4200</v>
      </c>
      <c r="AL11" s="264"/>
      <c r="AM11" s="265">
        <f t="shared" si="16"/>
        <v>1063.3875</v>
      </c>
      <c r="AN11" s="260">
        <f>SHARES!AG8</f>
        <v>200</v>
      </c>
      <c r="AO11" s="261" t="str">
        <f>SHARES!AK8</f>
        <v/>
      </c>
      <c r="AP11" s="262">
        <f t="shared" si="17"/>
        <v>43.169375</v>
      </c>
      <c r="AQ11" s="262">
        <f t="shared" si="18"/>
        <v>0</v>
      </c>
      <c r="AR11" s="262"/>
      <c r="AS11" s="261">
        <f t="shared" si="19"/>
        <v>906.556875</v>
      </c>
      <c r="AT11" s="263">
        <f>SHARES!CC8</f>
        <v>4200</v>
      </c>
      <c r="AU11" s="264"/>
      <c r="AV11" s="265">
        <f t="shared" si="20"/>
        <v>906.556875</v>
      </c>
      <c r="AW11" s="260">
        <f>SHARES!AN8</f>
        <v>200</v>
      </c>
      <c r="AX11" s="261" t="str">
        <f>SHARES!AR8</f>
        <v/>
      </c>
      <c r="AY11" s="262">
        <f t="shared" si="21"/>
        <v>35.32784375</v>
      </c>
      <c r="AZ11" s="262">
        <f t="shared" si="22"/>
        <v>0</v>
      </c>
      <c r="BA11" s="262"/>
      <c r="BB11" s="261">
        <f t="shared" si="23"/>
        <v>741.8847188</v>
      </c>
      <c r="BC11" s="263">
        <f>SHARES!CC8</f>
        <v>4200</v>
      </c>
      <c r="BD11" s="264"/>
      <c r="BE11" s="265">
        <f t="shared" si="24"/>
        <v>741.8847188</v>
      </c>
      <c r="BF11" s="260" t="str">
        <f>SHARES!AU8</f>
        <v/>
      </c>
      <c r="BG11" s="261">
        <f>SHARES!AY8</f>
        <v>3000</v>
      </c>
      <c r="BH11" s="262">
        <f t="shared" si="25"/>
        <v>37.09423594</v>
      </c>
      <c r="BI11" s="262">
        <f t="shared" si="26"/>
        <v>300</v>
      </c>
      <c r="BJ11" s="262"/>
      <c r="BK11" s="261">
        <f t="shared" si="27"/>
        <v>4078.978955</v>
      </c>
      <c r="BL11" s="263">
        <f>SHARES!CC8</f>
        <v>4200</v>
      </c>
      <c r="BM11" s="264"/>
      <c r="BN11" s="265">
        <f t="shared" si="28"/>
        <v>4078.978955</v>
      </c>
      <c r="BO11" s="260">
        <f>SHARES!BB8</f>
        <v>0</v>
      </c>
      <c r="BP11" s="260" t="str">
        <f>SHARES!BF8</f>
        <v/>
      </c>
      <c r="BQ11" s="262">
        <f t="shared" si="29"/>
        <v>203.9489477</v>
      </c>
      <c r="BR11" s="262">
        <f t="shared" si="30"/>
        <v>0</v>
      </c>
      <c r="BS11" s="262"/>
      <c r="BT11" s="261">
        <f t="shared" si="31"/>
        <v>4282.927902</v>
      </c>
      <c r="BU11" s="263">
        <f>SHARES!CC8</f>
        <v>4200</v>
      </c>
      <c r="BV11" s="264"/>
      <c r="BW11" s="265">
        <f t="shared" si="32"/>
        <v>4282.927902</v>
      </c>
      <c r="BX11" s="260">
        <f>SHARES!BI8</f>
        <v>700</v>
      </c>
      <c r="BY11" s="260" t="str">
        <f>SHARES!BM8</f>
        <v/>
      </c>
      <c r="BZ11" s="262">
        <f t="shared" si="33"/>
        <v>179.1463951</v>
      </c>
      <c r="CA11" s="262">
        <f t="shared" si="34"/>
        <v>0</v>
      </c>
      <c r="CB11" s="262"/>
      <c r="CC11" s="261">
        <f t="shared" si="35"/>
        <v>3762.074298</v>
      </c>
      <c r="CD11" s="263">
        <f>SHARES!CC8</f>
        <v>4200</v>
      </c>
      <c r="CE11" s="264"/>
      <c r="CF11" s="265">
        <f t="shared" si="36"/>
        <v>3762.074298</v>
      </c>
      <c r="CG11" s="260">
        <f>SHARES!BN8</f>
        <v>1000</v>
      </c>
      <c r="CH11" s="267">
        <v>0.0</v>
      </c>
      <c r="CI11" s="268">
        <v>0.0</v>
      </c>
      <c r="CJ11" s="214">
        <v>0.0</v>
      </c>
      <c r="CK11" s="217">
        <f t="shared" si="37"/>
        <v>0</v>
      </c>
      <c r="CL11" s="262"/>
      <c r="CM11" s="216">
        <f t="shared" si="38"/>
        <v>2762.074298</v>
      </c>
      <c r="CN11" s="263">
        <f>SHARES!CC8</f>
        <v>4200</v>
      </c>
      <c r="CO11" s="264"/>
      <c r="CP11" s="265">
        <f t="shared" si="39"/>
        <v>2762.074298</v>
      </c>
      <c r="CQ11" s="260">
        <f>SHARES!BQ8</f>
        <v>0</v>
      </c>
      <c r="CR11" s="269"/>
      <c r="CS11" s="214">
        <v>0.0</v>
      </c>
      <c r="CT11" s="262">
        <f t="shared" si="40"/>
        <v>0</v>
      </c>
      <c r="CU11" s="262"/>
      <c r="CV11" s="261">
        <f t="shared" si="41"/>
        <v>2762.074298</v>
      </c>
      <c r="CW11" s="263">
        <f>SHARES!CC8</f>
        <v>4200</v>
      </c>
      <c r="CX11" s="264"/>
      <c r="CY11" s="224">
        <f t="shared" si="42"/>
        <v>2762.074298</v>
      </c>
      <c r="CZ11" s="225">
        <f>SHARES!BT8</f>
        <v>0</v>
      </c>
      <c r="DA11" s="244"/>
      <c r="DB11" s="226">
        <v>0.0</v>
      </c>
      <c r="DC11" s="227">
        <f t="shared" si="43"/>
        <v>0</v>
      </c>
      <c r="DD11" s="227"/>
      <c r="DE11" s="228">
        <f t="shared" si="44"/>
        <v>2762.074298</v>
      </c>
      <c r="DF11" s="229">
        <f>SHARES!CC8</f>
        <v>4200</v>
      </c>
    </row>
    <row r="12" ht="14.25" customHeight="1">
      <c r="A12" s="213">
        <v>7.0</v>
      </c>
      <c r="B12" s="270" t="s">
        <v>24</v>
      </c>
      <c r="C12" s="256">
        <v>0.0</v>
      </c>
      <c r="D12" s="215" t="str">
        <f>SHARES!E9</f>
        <v/>
      </c>
      <c r="E12" s="216" t="str">
        <f>SHARES!I9</f>
        <v/>
      </c>
      <c r="F12" s="217">
        <f t="shared" si="1"/>
        <v>0</v>
      </c>
      <c r="G12" s="217">
        <f t="shared" si="2"/>
        <v>0</v>
      </c>
      <c r="H12" s="217"/>
      <c r="I12" s="216">
        <f t="shared" si="3"/>
        <v>0</v>
      </c>
      <c r="J12" s="218">
        <f>SHARES!CC9</f>
        <v>4200</v>
      </c>
      <c r="K12" s="219"/>
      <c r="L12" s="220">
        <f t="shared" si="4"/>
        <v>0</v>
      </c>
      <c r="M12" s="216" t="str">
        <f>SHARES!L9</f>
        <v/>
      </c>
      <c r="N12" s="216" t="str">
        <f>SHARES!P9</f>
        <v/>
      </c>
      <c r="O12" s="217">
        <f t="shared" si="5"/>
        <v>0</v>
      </c>
      <c r="P12" s="217">
        <f t="shared" si="6"/>
        <v>0</v>
      </c>
      <c r="Q12" s="217"/>
      <c r="R12" s="216">
        <f t="shared" si="7"/>
        <v>0</v>
      </c>
      <c r="S12" s="218">
        <f>SHARES!CC9</f>
        <v>4200</v>
      </c>
      <c r="T12" s="221"/>
      <c r="U12" s="220">
        <f t="shared" si="8"/>
        <v>0</v>
      </c>
      <c r="V12" s="215" t="str">
        <f>SHARES!S9</f>
        <v/>
      </c>
      <c r="W12" s="216">
        <f>SHARES!W9</f>
        <v>1800</v>
      </c>
      <c r="X12" s="217">
        <f t="shared" si="9"/>
        <v>0</v>
      </c>
      <c r="Y12" s="217">
        <f t="shared" si="10"/>
        <v>180</v>
      </c>
      <c r="Z12" s="217"/>
      <c r="AA12" s="216">
        <f t="shared" si="11"/>
        <v>1980</v>
      </c>
      <c r="AB12" s="218">
        <f>SHARES!CC9</f>
        <v>4200</v>
      </c>
      <c r="AC12" s="219"/>
      <c r="AD12" s="220">
        <f t="shared" si="12"/>
        <v>1980</v>
      </c>
      <c r="AE12" s="215">
        <f>SHARES!Z9</f>
        <v>180</v>
      </c>
      <c r="AF12" s="216" t="str">
        <f>SHARES!AD9</f>
        <v/>
      </c>
      <c r="AG12" s="217">
        <f t="shared" si="13"/>
        <v>90</v>
      </c>
      <c r="AH12" s="217">
        <f t="shared" si="14"/>
        <v>0</v>
      </c>
      <c r="AI12" s="217"/>
      <c r="AJ12" s="216">
        <f t="shared" si="15"/>
        <v>1890</v>
      </c>
      <c r="AK12" s="218">
        <f>SHARES!CC9</f>
        <v>4200</v>
      </c>
      <c r="AL12" s="219"/>
      <c r="AM12" s="220">
        <f t="shared" si="16"/>
        <v>1890</v>
      </c>
      <c r="AN12" s="215">
        <f>SHARES!AG9</f>
        <v>2528</v>
      </c>
      <c r="AO12" s="216">
        <f>SHARES!AK9</f>
        <v>1528</v>
      </c>
      <c r="AP12" s="217">
        <f t="shared" si="17"/>
        <v>-31.9</v>
      </c>
      <c r="AQ12" s="217">
        <f t="shared" si="18"/>
        <v>152.8</v>
      </c>
      <c r="AR12" s="217"/>
      <c r="AS12" s="216">
        <f t="shared" si="19"/>
        <v>1010.9</v>
      </c>
      <c r="AT12" s="218">
        <f>SHARES!CC9</f>
        <v>4200</v>
      </c>
      <c r="AU12" s="219"/>
      <c r="AV12" s="220">
        <f t="shared" si="20"/>
        <v>1010.9</v>
      </c>
      <c r="AW12" s="215">
        <f>SHARES!AN9</f>
        <v>200</v>
      </c>
      <c r="AX12" s="216" t="str">
        <f>SHARES!AR9</f>
        <v/>
      </c>
      <c r="AY12" s="217">
        <f t="shared" si="21"/>
        <v>40.545</v>
      </c>
      <c r="AZ12" s="217">
        <f t="shared" si="22"/>
        <v>0</v>
      </c>
      <c r="BA12" s="217"/>
      <c r="BB12" s="216">
        <f t="shared" si="23"/>
        <v>851.445</v>
      </c>
      <c r="BC12" s="218">
        <f>SHARES!CC9</f>
        <v>4200</v>
      </c>
      <c r="BD12" s="219"/>
      <c r="BE12" s="220">
        <f t="shared" si="24"/>
        <v>851.445</v>
      </c>
      <c r="BF12" s="215">
        <f>SHARES!AU9</f>
        <v>851.45</v>
      </c>
      <c r="BG12" s="216">
        <f>SHARES!AY9</f>
        <v>3151.45</v>
      </c>
      <c r="BH12" s="217">
        <f t="shared" si="25"/>
        <v>-0.00025</v>
      </c>
      <c r="BI12" s="217">
        <f t="shared" si="26"/>
        <v>315.145</v>
      </c>
      <c r="BJ12" s="217"/>
      <c r="BK12" s="216">
        <f t="shared" si="27"/>
        <v>3466.58975</v>
      </c>
      <c r="BL12" s="218">
        <f>SHARES!CC9</f>
        <v>4200</v>
      </c>
      <c r="BM12" s="219"/>
      <c r="BN12" s="220">
        <f t="shared" si="28"/>
        <v>3466.58975</v>
      </c>
      <c r="BO12" s="215">
        <f>SHARES!BB9</f>
        <v>0</v>
      </c>
      <c r="BP12" s="215" t="str">
        <f>SHARES!BF9</f>
        <v/>
      </c>
      <c r="BQ12" s="217">
        <f t="shared" si="29"/>
        <v>173.3294875</v>
      </c>
      <c r="BR12" s="217">
        <f t="shared" si="30"/>
        <v>0</v>
      </c>
      <c r="BS12" s="217"/>
      <c r="BT12" s="216">
        <f t="shared" si="31"/>
        <v>3639.919238</v>
      </c>
      <c r="BU12" s="218">
        <f>SHARES!CC9</f>
        <v>4200</v>
      </c>
      <c r="BV12" s="219"/>
      <c r="BW12" s="220">
        <f t="shared" si="32"/>
        <v>3639.919238</v>
      </c>
      <c r="BX12" s="215">
        <f>SHARES!BI9</f>
        <v>300</v>
      </c>
      <c r="BY12" s="215" t="str">
        <f>SHARES!BM9</f>
        <v/>
      </c>
      <c r="BZ12" s="217">
        <f t="shared" si="33"/>
        <v>166.9959619</v>
      </c>
      <c r="CA12" s="217">
        <f t="shared" si="34"/>
        <v>0</v>
      </c>
      <c r="CB12" s="217"/>
      <c r="CC12" s="216">
        <f t="shared" si="35"/>
        <v>3506.915199</v>
      </c>
      <c r="CD12" s="218">
        <f>SHARES!CC9</f>
        <v>4200</v>
      </c>
      <c r="CE12" s="219"/>
      <c r="CF12" s="220">
        <f t="shared" si="36"/>
        <v>3506.915199</v>
      </c>
      <c r="CG12" s="215">
        <f>SHARES!BN9</f>
        <v>2600</v>
      </c>
      <c r="CH12" s="246">
        <v>0.0</v>
      </c>
      <c r="CI12" s="223">
        <v>0.0</v>
      </c>
      <c r="CJ12" s="214">
        <v>0.0</v>
      </c>
      <c r="CK12" s="217">
        <f t="shared" si="37"/>
        <v>0</v>
      </c>
      <c r="CL12" s="217"/>
      <c r="CM12" s="216">
        <f t="shared" si="38"/>
        <v>906.9151994</v>
      </c>
      <c r="CN12" s="218">
        <f>SHARES!CC9</f>
        <v>4200</v>
      </c>
      <c r="CO12" s="219"/>
      <c r="CP12" s="220">
        <f t="shared" si="39"/>
        <v>906.9151994</v>
      </c>
      <c r="CQ12" s="215">
        <f>SHARES!BQ9</f>
        <v>300</v>
      </c>
      <c r="CR12" s="247"/>
      <c r="CS12" s="214">
        <v>0.0</v>
      </c>
      <c r="CT12" s="217">
        <f t="shared" si="40"/>
        <v>0</v>
      </c>
      <c r="CU12" s="217"/>
      <c r="CV12" s="216">
        <f t="shared" si="41"/>
        <v>606.9151994</v>
      </c>
      <c r="CW12" s="218">
        <f>SHARES!CC9</f>
        <v>4200</v>
      </c>
      <c r="CX12" s="219"/>
      <c r="CY12" s="224">
        <f t="shared" si="42"/>
        <v>606.9151994</v>
      </c>
      <c r="CZ12" s="225">
        <f>SHARES!BT9</f>
        <v>0</v>
      </c>
      <c r="DA12" s="244"/>
      <c r="DB12" s="226">
        <v>0.0</v>
      </c>
      <c r="DC12" s="227">
        <f t="shared" si="43"/>
        <v>0</v>
      </c>
      <c r="DD12" s="227"/>
      <c r="DE12" s="228">
        <f t="shared" si="44"/>
        <v>606.9151994</v>
      </c>
      <c r="DF12" s="229">
        <f>SHARES!CC9</f>
        <v>4200</v>
      </c>
    </row>
    <row r="13" ht="14.25" customHeight="1">
      <c r="A13" s="271">
        <v>8.0</v>
      </c>
      <c r="B13" s="272" t="s">
        <v>25</v>
      </c>
      <c r="C13" s="273">
        <v>0.0</v>
      </c>
      <c r="D13" s="274" t="str">
        <f>SHARES!E10</f>
        <v/>
      </c>
      <c r="E13" s="275" t="str">
        <f>SHARES!I10</f>
        <v/>
      </c>
      <c r="F13" s="276">
        <f t="shared" si="1"/>
        <v>0</v>
      </c>
      <c r="G13" s="276">
        <f t="shared" si="2"/>
        <v>0</v>
      </c>
      <c r="H13" s="276"/>
      <c r="I13" s="275">
        <f t="shared" si="3"/>
        <v>0</v>
      </c>
      <c r="J13" s="277">
        <f>SHARES!CC10</f>
        <v>5400</v>
      </c>
      <c r="K13" s="278"/>
      <c r="L13" s="279">
        <f t="shared" si="4"/>
        <v>0</v>
      </c>
      <c r="M13" s="275" t="str">
        <f>SHARES!L10</f>
        <v/>
      </c>
      <c r="N13" s="275" t="str">
        <f>SHARES!P10</f>
        <v/>
      </c>
      <c r="O13" s="276">
        <f t="shared" si="5"/>
        <v>0</v>
      </c>
      <c r="P13" s="276">
        <f t="shared" si="6"/>
        <v>0</v>
      </c>
      <c r="Q13" s="276"/>
      <c r="R13" s="275">
        <f t="shared" si="7"/>
        <v>0</v>
      </c>
      <c r="S13" s="277">
        <f>SHARES!CC10</f>
        <v>5400</v>
      </c>
      <c r="T13" s="280"/>
      <c r="U13" s="279">
        <f t="shared" si="8"/>
        <v>0</v>
      </c>
      <c r="V13" s="274" t="str">
        <f>SHARES!S10</f>
        <v/>
      </c>
      <c r="W13" s="275" t="str">
        <f>SHARES!W10</f>
        <v/>
      </c>
      <c r="X13" s="276">
        <f t="shared" si="9"/>
        <v>0</v>
      </c>
      <c r="Y13" s="276">
        <f t="shared" si="10"/>
        <v>0</v>
      </c>
      <c r="Z13" s="276"/>
      <c r="AA13" s="275">
        <f t="shared" si="11"/>
        <v>0</v>
      </c>
      <c r="AB13" s="277">
        <f>SHARES!CC10</f>
        <v>5400</v>
      </c>
      <c r="AC13" s="278"/>
      <c r="AD13" s="279">
        <f t="shared" si="12"/>
        <v>0</v>
      </c>
      <c r="AE13" s="274">
        <f>SHARES!Z10</f>
        <v>0</v>
      </c>
      <c r="AF13" s="275">
        <f>SHARES!AD10</f>
        <v>3900</v>
      </c>
      <c r="AG13" s="276">
        <f t="shared" si="13"/>
        <v>0</v>
      </c>
      <c r="AH13" s="276">
        <f t="shared" si="14"/>
        <v>390</v>
      </c>
      <c r="AI13" s="276"/>
      <c r="AJ13" s="275">
        <f t="shared" si="15"/>
        <v>4290</v>
      </c>
      <c r="AK13" s="277">
        <f>SHARES!CC10</f>
        <v>5400</v>
      </c>
      <c r="AL13" s="278"/>
      <c r="AM13" s="279">
        <f t="shared" si="16"/>
        <v>4290</v>
      </c>
      <c r="AN13" s="274">
        <f>SHARES!AG10</f>
        <v>1500</v>
      </c>
      <c r="AO13" s="275">
        <f>SHARES!AK10</f>
        <v>1300</v>
      </c>
      <c r="AP13" s="276">
        <f t="shared" si="17"/>
        <v>139.5</v>
      </c>
      <c r="AQ13" s="276">
        <f t="shared" si="18"/>
        <v>130</v>
      </c>
      <c r="AR13" s="276"/>
      <c r="AS13" s="275">
        <f t="shared" si="19"/>
        <v>4359.5</v>
      </c>
      <c r="AT13" s="277">
        <f>SHARES!CC10</f>
        <v>5400</v>
      </c>
      <c r="AU13" s="278"/>
      <c r="AV13" s="279">
        <f t="shared" si="20"/>
        <v>4359.5</v>
      </c>
      <c r="AW13" s="274">
        <f>SHARES!AN10</f>
        <v>200</v>
      </c>
      <c r="AX13" s="275" t="str">
        <f>SHARES!AR10</f>
        <v/>
      </c>
      <c r="AY13" s="276">
        <f t="shared" si="21"/>
        <v>207.975</v>
      </c>
      <c r="AZ13" s="276">
        <f t="shared" si="22"/>
        <v>0</v>
      </c>
      <c r="BA13" s="276"/>
      <c r="BB13" s="275">
        <f t="shared" si="23"/>
        <v>4367.475</v>
      </c>
      <c r="BC13" s="277">
        <f>SHARES!CC10</f>
        <v>5400</v>
      </c>
      <c r="BD13" s="278"/>
      <c r="BE13" s="279">
        <f t="shared" si="24"/>
        <v>4367.475</v>
      </c>
      <c r="BF13" s="274">
        <f>SHARES!AU10</f>
        <v>300</v>
      </c>
      <c r="BG13" s="275" t="str">
        <f>SHARES!AY10</f>
        <v/>
      </c>
      <c r="BH13" s="276">
        <f t="shared" si="25"/>
        <v>203.37375</v>
      </c>
      <c r="BI13" s="276">
        <f t="shared" si="26"/>
        <v>0</v>
      </c>
      <c r="BJ13" s="276"/>
      <c r="BK13" s="275">
        <f t="shared" si="27"/>
        <v>4270.84875</v>
      </c>
      <c r="BL13" s="277">
        <f>SHARES!CC10</f>
        <v>5400</v>
      </c>
      <c r="BM13" s="278"/>
      <c r="BN13" s="279">
        <f t="shared" si="28"/>
        <v>4270.84875</v>
      </c>
      <c r="BO13" s="274">
        <f>SHARES!BB10</f>
        <v>0</v>
      </c>
      <c r="BP13" s="274" t="str">
        <f>SHARES!BF10</f>
        <v/>
      </c>
      <c r="BQ13" s="276">
        <f t="shared" si="29"/>
        <v>213.5424375</v>
      </c>
      <c r="BR13" s="276">
        <f t="shared" si="30"/>
        <v>0</v>
      </c>
      <c r="BS13" s="276"/>
      <c r="BT13" s="275">
        <f t="shared" si="31"/>
        <v>4484.391188</v>
      </c>
      <c r="BU13" s="277">
        <f>SHARES!CC10</f>
        <v>5400</v>
      </c>
      <c r="BV13" s="278"/>
      <c r="BW13" s="279">
        <f t="shared" si="32"/>
        <v>4484.391188</v>
      </c>
      <c r="BX13" s="274">
        <f>SHARES!BI10</f>
        <v>1000</v>
      </c>
      <c r="BY13" s="274" t="str">
        <f>SHARES!BM10</f>
        <v/>
      </c>
      <c r="BZ13" s="276">
        <f t="shared" si="33"/>
        <v>174.2195594</v>
      </c>
      <c r="CA13" s="276">
        <f t="shared" si="34"/>
        <v>0</v>
      </c>
      <c r="CB13" s="276"/>
      <c r="CC13" s="275">
        <f t="shared" si="35"/>
        <v>3658.610747</v>
      </c>
      <c r="CD13" s="277">
        <f>SHARES!CC10</f>
        <v>5400</v>
      </c>
      <c r="CE13" s="278"/>
      <c r="CF13" s="279">
        <f t="shared" si="36"/>
        <v>3658.610747</v>
      </c>
      <c r="CG13" s="274">
        <f>SHARES!BN10</f>
        <v>0</v>
      </c>
      <c r="CH13" s="281">
        <v>0.0</v>
      </c>
      <c r="CI13" s="282">
        <v>0.0</v>
      </c>
      <c r="CJ13" s="214">
        <v>0.0</v>
      </c>
      <c r="CK13" s="217">
        <f t="shared" si="37"/>
        <v>0</v>
      </c>
      <c r="CL13" s="276"/>
      <c r="CM13" s="216">
        <f t="shared" si="38"/>
        <v>3658.610747</v>
      </c>
      <c r="CN13" s="277">
        <f>SHARES!CC10</f>
        <v>5400</v>
      </c>
      <c r="CO13" s="278"/>
      <c r="CP13" s="279">
        <f t="shared" si="39"/>
        <v>3658.610747</v>
      </c>
      <c r="CQ13" s="274">
        <f>SHARES!BQ10</f>
        <v>647</v>
      </c>
      <c r="CR13" s="283"/>
      <c r="CS13" s="214">
        <v>0.0</v>
      </c>
      <c r="CT13" s="276">
        <f t="shared" si="40"/>
        <v>0</v>
      </c>
      <c r="CU13" s="276"/>
      <c r="CV13" s="275">
        <f t="shared" si="41"/>
        <v>3011.610747</v>
      </c>
      <c r="CW13" s="277">
        <f>SHARES!CC10</f>
        <v>5400</v>
      </c>
      <c r="CX13" s="278"/>
      <c r="CY13" s="224">
        <f t="shared" si="42"/>
        <v>3011.610747</v>
      </c>
      <c r="CZ13" s="225">
        <f>SHARES!BT10</f>
        <v>0</v>
      </c>
      <c r="DA13" s="244"/>
      <c r="DB13" s="226">
        <v>0.0</v>
      </c>
      <c r="DC13" s="227">
        <f t="shared" si="43"/>
        <v>0</v>
      </c>
      <c r="DD13" s="227"/>
      <c r="DE13" s="228">
        <f t="shared" si="44"/>
        <v>3011.610747</v>
      </c>
      <c r="DF13" s="229">
        <f>SHARES!CC10</f>
        <v>5400</v>
      </c>
    </row>
    <row r="14" ht="14.25" customHeight="1">
      <c r="A14" s="213">
        <v>9.0</v>
      </c>
      <c r="B14" s="284" t="s">
        <v>26</v>
      </c>
      <c r="C14" s="256">
        <v>0.0</v>
      </c>
      <c r="D14" s="215" t="str">
        <f>SHARES!E11</f>
        <v/>
      </c>
      <c r="E14" s="216" t="str">
        <f>SHARES!I11</f>
        <v/>
      </c>
      <c r="F14" s="217">
        <f t="shared" si="1"/>
        <v>0</v>
      </c>
      <c r="G14" s="217">
        <f t="shared" si="2"/>
        <v>0</v>
      </c>
      <c r="H14" s="217"/>
      <c r="I14" s="216">
        <f t="shared" si="3"/>
        <v>0</v>
      </c>
      <c r="J14" s="218">
        <f>SHARES!CC11</f>
        <v>4200</v>
      </c>
      <c r="K14" s="219"/>
      <c r="L14" s="220">
        <f t="shared" si="4"/>
        <v>0</v>
      </c>
      <c r="M14" s="216" t="str">
        <f>SHARES!L11</f>
        <v/>
      </c>
      <c r="N14" s="216">
        <f>SHARES!P11</f>
        <v>900</v>
      </c>
      <c r="O14" s="217">
        <f t="shared" si="5"/>
        <v>0</v>
      </c>
      <c r="P14" s="217">
        <f t="shared" si="6"/>
        <v>90</v>
      </c>
      <c r="Q14" s="217"/>
      <c r="R14" s="216">
        <f t="shared" si="7"/>
        <v>990</v>
      </c>
      <c r="S14" s="218">
        <f>SHARES!CC11</f>
        <v>4200</v>
      </c>
      <c r="T14" s="221"/>
      <c r="U14" s="220">
        <f t="shared" si="8"/>
        <v>990</v>
      </c>
      <c r="V14" s="215">
        <f>SHARES!S11</f>
        <v>0</v>
      </c>
      <c r="W14" s="216" t="str">
        <f>SHARES!W11</f>
        <v/>
      </c>
      <c r="X14" s="217">
        <f t="shared" si="9"/>
        <v>49.5</v>
      </c>
      <c r="Y14" s="217">
        <f t="shared" si="10"/>
        <v>0</v>
      </c>
      <c r="Z14" s="217"/>
      <c r="AA14" s="216">
        <f t="shared" si="11"/>
        <v>1039.5</v>
      </c>
      <c r="AB14" s="218">
        <f>SHARES!CC11</f>
        <v>4200</v>
      </c>
      <c r="AC14" s="219"/>
      <c r="AD14" s="220">
        <f t="shared" si="12"/>
        <v>1039.5</v>
      </c>
      <c r="AE14" s="215">
        <f>SHARES!Z11</f>
        <v>200</v>
      </c>
      <c r="AF14" s="216">
        <f>SHARES!AD11</f>
        <v>580</v>
      </c>
      <c r="AG14" s="217">
        <f t="shared" si="13"/>
        <v>41.975</v>
      </c>
      <c r="AH14" s="217">
        <f t="shared" si="14"/>
        <v>58</v>
      </c>
      <c r="AI14" s="217"/>
      <c r="AJ14" s="216">
        <f t="shared" si="15"/>
        <v>1519.475</v>
      </c>
      <c r="AK14" s="218">
        <f>SHARES!CC11</f>
        <v>4200</v>
      </c>
      <c r="AL14" s="219"/>
      <c r="AM14" s="220">
        <f t="shared" si="16"/>
        <v>1519.475</v>
      </c>
      <c r="AN14" s="215">
        <f>SHARES!AG11</f>
        <v>200</v>
      </c>
      <c r="AO14" s="216" t="str">
        <f>SHARES!AK11</f>
        <v/>
      </c>
      <c r="AP14" s="217">
        <f t="shared" si="17"/>
        <v>65.97375</v>
      </c>
      <c r="AQ14" s="217">
        <f t="shared" si="18"/>
        <v>0</v>
      </c>
      <c r="AR14" s="217"/>
      <c r="AS14" s="216">
        <f t="shared" si="19"/>
        <v>1385.44875</v>
      </c>
      <c r="AT14" s="218">
        <f>SHARES!CC11</f>
        <v>4200</v>
      </c>
      <c r="AU14" s="219"/>
      <c r="AV14" s="220">
        <f t="shared" si="20"/>
        <v>1385.44875</v>
      </c>
      <c r="AW14" s="215">
        <f>SHARES!AN11</f>
        <v>200</v>
      </c>
      <c r="AX14" s="216">
        <f>SHARES!AR11</f>
        <v>3000</v>
      </c>
      <c r="AY14" s="217">
        <f t="shared" si="21"/>
        <v>59.2724375</v>
      </c>
      <c r="AZ14" s="217">
        <f t="shared" si="22"/>
        <v>300</v>
      </c>
      <c r="BA14" s="217"/>
      <c r="BB14" s="216">
        <f t="shared" si="23"/>
        <v>4544.721188</v>
      </c>
      <c r="BC14" s="218">
        <f>SHARES!CC11</f>
        <v>4200</v>
      </c>
      <c r="BD14" s="219"/>
      <c r="BE14" s="220">
        <f t="shared" si="24"/>
        <v>4544.721188</v>
      </c>
      <c r="BF14" s="215">
        <f>SHARES!AU11</f>
        <v>500</v>
      </c>
      <c r="BG14" s="216" t="str">
        <f>SHARES!AY11</f>
        <v/>
      </c>
      <c r="BH14" s="217">
        <f t="shared" si="25"/>
        <v>202.2360594</v>
      </c>
      <c r="BI14" s="217">
        <f t="shared" si="26"/>
        <v>0</v>
      </c>
      <c r="BJ14" s="217"/>
      <c r="BK14" s="216">
        <f t="shared" si="27"/>
        <v>4246.957247</v>
      </c>
      <c r="BL14" s="218">
        <f>SHARES!CC11</f>
        <v>4200</v>
      </c>
      <c r="BM14" s="219"/>
      <c r="BN14" s="220">
        <f t="shared" si="28"/>
        <v>4246.957247</v>
      </c>
      <c r="BO14" s="215">
        <f>SHARES!BB11</f>
        <v>200</v>
      </c>
      <c r="BP14" s="215">
        <f>SHARES!BF11</f>
        <v>500</v>
      </c>
      <c r="BQ14" s="217">
        <f t="shared" si="29"/>
        <v>202.3478623</v>
      </c>
      <c r="BR14" s="217">
        <f t="shared" si="30"/>
        <v>50</v>
      </c>
      <c r="BS14" s="217"/>
      <c r="BT14" s="216">
        <f t="shared" si="31"/>
        <v>4799.305109</v>
      </c>
      <c r="BU14" s="218">
        <f>SHARES!CC11</f>
        <v>4200</v>
      </c>
      <c r="BV14" s="219"/>
      <c r="BW14" s="220">
        <f t="shared" si="32"/>
        <v>4799.305109</v>
      </c>
      <c r="BX14" s="215">
        <f>SHARES!BI11</f>
        <v>200</v>
      </c>
      <c r="BY14" s="215" t="str">
        <f>SHARES!BM11</f>
        <v/>
      </c>
      <c r="BZ14" s="217">
        <f t="shared" si="33"/>
        <v>229.9652555</v>
      </c>
      <c r="CA14" s="217">
        <f t="shared" si="34"/>
        <v>0</v>
      </c>
      <c r="CB14" s="217"/>
      <c r="CC14" s="216">
        <f t="shared" si="35"/>
        <v>4829.270365</v>
      </c>
      <c r="CD14" s="218">
        <f>SHARES!CC11</f>
        <v>4200</v>
      </c>
      <c r="CE14" s="219"/>
      <c r="CF14" s="220">
        <f t="shared" si="36"/>
        <v>4829.270365</v>
      </c>
      <c r="CG14" s="215">
        <f>SHARES!BN11</f>
        <v>500</v>
      </c>
      <c r="CH14" s="246">
        <v>0.0</v>
      </c>
      <c r="CI14" s="223">
        <v>0.0</v>
      </c>
      <c r="CJ14" s="214">
        <v>0.0</v>
      </c>
      <c r="CK14" s="217">
        <f t="shared" si="37"/>
        <v>0</v>
      </c>
      <c r="CL14" s="217"/>
      <c r="CM14" s="216">
        <f t="shared" si="38"/>
        <v>4329.270365</v>
      </c>
      <c r="CN14" s="218">
        <f>SHARES!CC11</f>
        <v>4200</v>
      </c>
      <c r="CO14" s="219"/>
      <c r="CP14" s="220">
        <f t="shared" si="39"/>
        <v>4329.270365</v>
      </c>
      <c r="CQ14" s="215">
        <f>SHARES!BQ11</f>
        <v>1000</v>
      </c>
      <c r="CR14" s="247"/>
      <c r="CS14" s="214">
        <v>0.0</v>
      </c>
      <c r="CT14" s="217">
        <f t="shared" si="40"/>
        <v>0</v>
      </c>
      <c r="CU14" s="217"/>
      <c r="CV14" s="216">
        <f t="shared" si="41"/>
        <v>3329.270365</v>
      </c>
      <c r="CW14" s="218">
        <f>SHARES!CC11</f>
        <v>4200</v>
      </c>
      <c r="CX14" s="219"/>
      <c r="CY14" s="224">
        <f t="shared" si="42"/>
        <v>3329.270365</v>
      </c>
      <c r="CZ14" s="225">
        <f>SHARES!BT11</f>
        <v>0</v>
      </c>
      <c r="DA14" s="244"/>
      <c r="DB14" s="226">
        <v>0.0</v>
      </c>
      <c r="DC14" s="227">
        <f t="shared" si="43"/>
        <v>0</v>
      </c>
      <c r="DD14" s="227"/>
      <c r="DE14" s="228">
        <f t="shared" si="44"/>
        <v>3329.270365</v>
      </c>
      <c r="DF14" s="229">
        <f>SHARES!CC11</f>
        <v>4200</v>
      </c>
    </row>
    <row r="15" ht="14.25" customHeight="1">
      <c r="A15" s="248">
        <v>10.0</v>
      </c>
      <c r="B15" s="285" t="s">
        <v>27</v>
      </c>
      <c r="C15" s="250">
        <v>0.0</v>
      </c>
      <c r="D15" s="225" t="str">
        <f>SHARES!E12</f>
        <v/>
      </c>
      <c r="E15" s="228" t="str">
        <f>SHARES!I12</f>
        <v/>
      </c>
      <c r="F15" s="227">
        <f t="shared" si="1"/>
        <v>0</v>
      </c>
      <c r="G15" s="227">
        <f t="shared" si="2"/>
        <v>0</v>
      </c>
      <c r="H15" s="227"/>
      <c r="I15" s="228">
        <f t="shared" si="3"/>
        <v>0</v>
      </c>
      <c r="J15" s="229">
        <f>SHARES!CC12</f>
        <v>3600</v>
      </c>
      <c r="K15" s="251"/>
      <c r="L15" s="224">
        <f t="shared" si="4"/>
        <v>0</v>
      </c>
      <c r="M15" s="228" t="str">
        <f>SHARES!L12</f>
        <v/>
      </c>
      <c r="N15" s="228" t="str">
        <f>SHARES!P12</f>
        <v/>
      </c>
      <c r="O15" s="227">
        <f t="shared" si="5"/>
        <v>0</v>
      </c>
      <c r="P15" s="227">
        <f t="shared" si="6"/>
        <v>0</v>
      </c>
      <c r="Q15" s="227"/>
      <c r="R15" s="228">
        <f t="shared" si="7"/>
        <v>0</v>
      </c>
      <c r="S15" s="229">
        <f>SHARES!CC12</f>
        <v>3600</v>
      </c>
      <c r="T15" s="252"/>
      <c r="U15" s="224">
        <f t="shared" si="8"/>
        <v>0</v>
      </c>
      <c r="V15" s="225" t="str">
        <f>SHARES!S12</f>
        <v/>
      </c>
      <c r="W15" s="228" t="str">
        <f>SHARES!W12</f>
        <v/>
      </c>
      <c r="X15" s="227">
        <f t="shared" si="9"/>
        <v>0</v>
      </c>
      <c r="Y15" s="227">
        <f t="shared" si="10"/>
        <v>0</v>
      </c>
      <c r="Z15" s="227"/>
      <c r="AA15" s="228">
        <f t="shared" si="11"/>
        <v>0</v>
      </c>
      <c r="AB15" s="229">
        <f>SHARES!CC12</f>
        <v>3600</v>
      </c>
      <c r="AC15" s="251"/>
      <c r="AD15" s="224">
        <f t="shared" si="12"/>
        <v>0</v>
      </c>
      <c r="AE15" s="225" t="str">
        <f>SHARES!Z12</f>
        <v/>
      </c>
      <c r="AF15" s="228" t="str">
        <f>SHARES!AD12</f>
        <v/>
      </c>
      <c r="AG15" s="227">
        <f t="shared" si="13"/>
        <v>0</v>
      </c>
      <c r="AH15" s="227">
        <f t="shared" si="14"/>
        <v>0</v>
      </c>
      <c r="AI15" s="227"/>
      <c r="AJ15" s="228">
        <f t="shared" si="15"/>
        <v>0</v>
      </c>
      <c r="AK15" s="229">
        <f>SHARES!CC12</f>
        <v>3600</v>
      </c>
      <c r="AL15" s="251"/>
      <c r="AM15" s="224">
        <f t="shared" si="16"/>
        <v>0</v>
      </c>
      <c r="AN15" s="225" t="str">
        <f>SHARES!AG12</f>
        <v/>
      </c>
      <c r="AO15" s="228">
        <f>SHARES!AK12</f>
        <v>5000</v>
      </c>
      <c r="AP15" s="227">
        <f t="shared" si="17"/>
        <v>0</v>
      </c>
      <c r="AQ15" s="227">
        <f t="shared" si="18"/>
        <v>500</v>
      </c>
      <c r="AR15" s="227"/>
      <c r="AS15" s="228">
        <f t="shared" si="19"/>
        <v>5500</v>
      </c>
      <c r="AT15" s="229">
        <f>SHARES!CC12</f>
        <v>3600</v>
      </c>
      <c r="AU15" s="251"/>
      <c r="AV15" s="224">
        <f t="shared" si="20"/>
        <v>5500</v>
      </c>
      <c r="AW15" s="225">
        <f>SHARES!AN12</f>
        <v>200</v>
      </c>
      <c r="AX15" s="228" t="str">
        <f>SHARES!AR12</f>
        <v/>
      </c>
      <c r="AY15" s="227">
        <f t="shared" si="21"/>
        <v>265</v>
      </c>
      <c r="AZ15" s="227">
        <f t="shared" si="22"/>
        <v>0</v>
      </c>
      <c r="BA15" s="227"/>
      <c r="BB15" s="228">
        <f t="shared" si="23"/>
        <v>5565</v>
      </c>
      <c r="BC15" s="229">
        <f>SHARES!CC12</f>
        <v>3600</v>
      </c>
      <c r="BD15" s="251"/>
      <c r="BE15" s="224">
        <f t="shared" si="24"/>
        <v>5565</v>
      </c>
      <c r="BF15" s="225" t="str">
        <f>SHARES!AU12</f>
        <v/>
      </c>
      <c r="BG15" s="228" t="str">
        <f>SHARES!AY12</f>
        <v/>
      </c>
      <c r="BH15" s="227">
        <f t="shared" si="25"/>
        <v>278.25</v>
      </c>
      <c r="BI15" s="227">
        <f t="shared" si="26"/>
        <v>0</v>
      </c>
      <c r="BJ15" s="227"/>
      <c r="BK15" s="228">
        <f t="shared" si="27"/>
        <v>5843.25</v>
      </c>
      <c r="BL15" s="229">
        <f>SHARES!CC12</f>
        <v>3600</v>
      </c>
      <c r="BM15" s="251"/>
      <c r="BN15" s="224">
        <f t="shared" si="28"/>
        <v>5843.25</v>
      </c>
      <c r="BO15" s="225">
        <f>SHARES!BB12</f>
        <v>1000</v>
      </c>
      <c r="BP15" s="225" t="str">
        <f>SHARES!BF12</f>
        <v/>
      </c>
      <c r="BQ15" s="227">
        <f t="shared" si="29"/>
        <v>242.1625</v>
      </c>
      <c r="BR15" s="227">
        <f t="shared" si="30"/>
        <v>0</v>
      </c>
      <c r="BS15" s="227"/>
      <c r="BT15" s="228">
        <f t="shared" si="31"/>
        <v>5085.4125</v>
      </c>
      <c r="BU15" s="229">
        <f>SHARES!CC12</f>
        <v>3600</v>
      </c>
      <c r="BV15" s="251"/>
      <c r="BW15" s="224">
        <f t="shared" si="32"/>
        <v>5085.4125</v>
      </c>
      <c r="BX15" s="225">
        <f>SHARES!BI12</f>
        <v>400</v>
      </c>
      <c r="BY15" s="225" t="str">
        <f>SHARES!BM12</f>
        <v/>
      </c>
      <c r="BZ15" s="227">
        <f t="shared" si="33"/>
        <v>234.270625</v>
      </c>
      <c r="CA15" s="227">
        <f t="shared" si="34"/>
        <v>0</v>
      </c>
      <c r="CB15" s="227"/>
      <c r="CC15" s="228">
        <f t="shared" si="35"/>
        <v>4919.683125</v>
      </c>
      <c r="CD15" s="229">
        <f>SHARES!CC12</f>
        <v>3600</v>
      </c>
      <c r="CE15" s="251"/>
      <c r="CF15" s="224">
        <f t="shared" si="36"/>
        <v>4919.683125</v>
      </c>
      <c r="CG15" s="225">
        <f>SHARES!BN12</f>
        <v>0</v>
      </c>
      <c r="CH15" s="253">
        <v>0.0</v>
      </c>
      <c r="CI15" s="254">
        <v>0.0</v>
      </c>
      <c r="CJ15" s="214">
        <v>0.0</v>
      </c>
      <c r="CK15" s="217">
        <f t="shared" si="37"/>
        <v>0</v>
      </c>
      <c r="CL15" s="227"/>
      <c r="CM15" s="216">
        <f t="shared" si="38"/>
        <v>4919.683125</v>
      </c>
      <c r="CN15" s="229">
        <f>SHARES!CC12</f>
        <v>3600</v>
      </c>
      <c r="CO15" s="251"/>
      <c r="CP15" s="224">
        <f t="shared" si="39"/>
        <v>4919.683125</v>
      </c>
      <c r="CQ15" s="225">
        <f>SHARES!BQ12</f>
        <v>2950</v>
      </c>
      <c r="CR15" s="244"/>
      <c r="CS15" s="214">
        <v>0.0</v>
      </c>
      <c r="CT15" s="227">
        <f t="shared" si="40"/>
        <v>0</v>
      </c>
      <c r="CU15" s="227"/>
      <c r="CV15" s="228">
        <f t="shared" si="41"/>
        <v>1969.683125</v>
      </c>
      <c r="CW15" s="229">
        <f>SHARES!CC12</f>
        <v>3600</v>
      </c>
      <c r="CX15" s="251"/>
      <c r="CY15" s="224">
        <f t="shared" si="42"/>
        <v>1969.683125</v>
      </c>
      <c r="CZ15" s="225">
        <f>SHARES!BT12</f>
        <v>0</v>
      </c>
      <c r="DA15" s="244"/>
      <c r="DB15" s="226">
        <v>0.0</v>
      </c>
      <c r="DC15" s="227">
        <f t="shared" si="43"/>
        <v>0</v>
      </c>
      <c r="DD15" s="227"/>
      <c r="DE15" s="228">
        <f t="shared" si="44"/>
        <v>1969.683125</v>
      </c>
      <c r="DF15" s="229">
        <f>SHARES!CC12</f>
        <v>3600</v>
      </c>
    </row>
    <row r="16" ht="14.25" customHeight="1">
      <c r="A16" s="286">
        <v>11.0</v>
      </c>
      <c r="B16" s="142" t="s">
        <v>28</v>
      </c>
      <c r="C16" s="287">
        <v>0.0</v>
      </c>
      <c r="D16" s="288" t="str">
        <f>SHARES!E13</f>
        <v/>
      </c>
      <c r="E16" s="289" t="str">
        <f>SHARES!I13</f>
        <v/>
      </c>
      <c r="F16" s="290">
        <f t="shared" si="1"/>
        <v>0</v>
      </c>
      <c r="G16" s="290">
        <f t="shared" si="2"/>
        <v>0</v>
      </c>
      <c r="H16" s="290"/>
      <c r="I16" s="289">
        <f t="shared" si="3"/>
        <v>0</v>
      </c>
      <c r="J16" s="291">
        <f>SHARES!CC13</f>
        <v>2400</v>
      </c>
      <c r="K16" s="292"/>
      <c r="L16" s="293">
        <f t="shared" si="4"/>
        <v>0</v>
      </c>
      <c r="M16" s="289" t="str">
        <f>SHARES!L13</f>
        <v/>
      </c>
      <c r="N16" s="289" t="str">
        <f>SHARES!P13</f>
        <v/>
      </c>
      <c r="O16" s="290">
        <f t="shared" si="5"/>
        <v>0</v>
      </c>
      <c r="P16" s="290">
        <f t="shared" si="6"/>
        <v>0</v>
      </c>
      <c r="Q16" s="290"/>
      <c r="R16" s="289">
        <f t="shared" si="7"/>
        <v>0</v>
      </c>
      <c r="S16" s="291">
        <f>SHARES!CC13</f>
        <v>2400</v>
      </c>
      <c r="T16" s="294"/>
      <c r="U16" s="293">
        <f t="shared" si="8"/>
        <v>0</v>
      </c>
      <c r="V16" s="288" t="str">
        <f>SHARES!S13</f>
        <v/>
      </c>
      <c r="W16" s="289" t="str">
        <f>SHARES!W13</f>
        <v/>
      </c>
      <c r="X16" s="290">
        <f t="shared" si="9"/>
        <v>0</v>
      </c>
      <c r="Y16" s="290">
        <f t="shared" si="10"/>
        <v>0</v>
      </c>
      <c r="Z16" s="290"/>
      <c r="AA16" s="289">
        <f t="shared" si="11"/>
        <v>0</v>
      </c>
      <c r="AB16" s="291">
        <f>SHARES!CC13</f>
        <v>2400</v>
      </c>
      <c r="AC16" s="292"/>
      <c r="AD16" s="293">
        <f t="shared" si="12"/>
        <v>0</v>
      </c>
      <c r="AE16" s="288" t="str">
        <f>SHARES!Z13</f>
        <v/>
      </c>
      <c r="AF16" s="289" t="str">
        <f>SHARES!AD13</f>
        <v/>
      </c>
      <c r="AG16" s="290">
        <f t="shared" si="13"/>
        <v>0</v>
      </c>
      <c r="AH16" s="290">
        <f t="shared" si="14"/>
        <v>0</v>
      </c>
      <c r="AI16" s="290"/>
      <c r="AJ16" s="289">
        <f t="shared" si="15"/>
        <v>0</v>
      </c>
      <c r="AK16" s="291">
        <f>SHARES!CC13</f>
        <v>2400</v>
      </c>
      <c r="AL16" s="292"/>
      <c r="AM16" s="293">
        <f t="shared" si="16"/>
        <v>0</v>
      </c>
      <c r="AN16" s="288" t="str">
        <f>SHARES!AG13</f>
        <v/>
      </c>
      <c r="AO16" s="289" t="str">
        <f>SHARES!AK13</f>
        <v/>
      </c>
      <c r="AP16" s="290">
        <f t="shared" si="17"/>
        <v>0</v>
      </c>
      <c r="AQ16" s="290">
        <f t="shared" si="18"/>
        <v>0</v>
      </c>
      <c r="AR16" s="290"/>
      <c r="AS16" s="289">
        <f t="shared" si="19"/>
        <v>0</v>
      </c>
      <c r="AT16" s="291">
        <f>SHARES!CC13</f>
        <v>2400</v>
      </c>
      <c r="AU16" s="292"/>
      <c r="AV16" s="293">
        <f t="shared" si="20"/>
        <v>0</v>
      </c>
      <c r="AW16" s="288" t="str">
        <f>SHARES!AN13</f>
        <v/>
      </c>
      <c r="AX16" s="289">
        <f>SHARES!AR13</f>
        <v>1500</v>
      </c>
      <c r="AY16" s="290">
        <f t="shared" si="21"/>
        <v>0</v>
      </c>
      <c r="AZ16" s="290">
        <f t="shared" si="22"/>
        <v>150</v>
      </c>
      <c r="BA16" s="290"/>
      <c r="BB16" s="289">
        <f t="shared" si="23"/>
        <v>1650</v>
      </c>
      <c r="BC16" s="291">
        <f>SHARES!CC13</f>
        <v>2400</v>
      </c>
      <c r="BD16" s="292"/>
      <c r="BE16" s="293">
        <f t="shared" si="24"/>
        <v>1650</v>
      </c>
      <c r="BF16" s="288">
        <f>SHARES!AU13</f>
        <v>500</v>
      </c>
      <c r="BG16" s="289" t="str">
        <f>SHARES!AY13</f>
        <v/>
      </c>
      <c r="BH16" s="290">
        <f t="shared" si="25"/>
        <v>57.5</v>
      </c>
      <c r="BI16" s="290">
        <f t="shared" si="26"/>
        <v>0</v>
      </c>
      <c r="BJ16" s="290"/>
      <c r="BK16" s="289">
        <f t="shared" si="27"/>
        <v>1207.5</v>
      </c>
      <c r="BL16" s="291">
        <f>SHARES!CC13</f>
        <v>2400</v>
      </c>
      <c r="BM16" s="292"/>
      <c r="BN16" s="293">
        <f t="shared" si="28"/>
        <v>1207.5</v>
      </c>
      <c r="BO16" s="288">
        <f>SHARES!BB13</f>
        <v>0</v>
      </c>
      <c r="BP16" s="288" t="str">
        <f>SHARES!BF13</f>
        <v/>
      </c>
      <c r="BQ16" s="290">
        <f t="shared" si="29"/>
        <v>60.375</v>
      </c>
      <c r="BR16" s="290">
        <f t="shared" si="30"/>
        <v>0</v>
      </c>
      <c r="BS16" s="290"/>
      <c r="BT16" s="289">
        <f t="shared" si="31"/>
        <v>1267.875</v>
      </c>
      <c r="BU16" s="291">
        <f>SHARES!CC13</f>
        <v>2400</v>
      </c>
      <c r="BV16" s="292"/>
      <c r="BW16" s="293">
        <f t="shared" si="32"/>
        <v>1267.875</v>
      </c>
      <c r="BX16" s="288">
        <f>SHARES!BI13</f>
        <v>633</v>
      </c>
      <c r="BY16" s="288" t="str">
        <f>SHARES!BM13</f>
        <v/>
      </c>
      <c r="BZ16" s="290">
        <f t="shared" si="33"/>
        <v>31.74375</v>
      </c>
      <c r="CA16" s="290">
        <f t="shared" si="34"/>
        <v>0</v>
      </c>
      <c r="CB16" s="290"/>
      <c r="CC16" s="289">
        <f t="shared" si="35"/>
        <v>666.61875</v>
      </c>
      <c r="CD16" s="291">
        <f>SHARES!CC13</f>
        <v>2400</v>
      </c>
      <c r="CE16" s="292"/>
      <c r="CF16" s="293">
        <f t="shared" si="36"/>
        <v>666.61875</v>
      </c>
      <c r="CG16" s="288">
        <f>SHARES!BN13</f>
        <v>770</v>
      </c>
      <c r="CH16" s="295">
        <v>0.0</v>
      </c>
      <c r="CI16" s="296">
        <v>0.0</v>
      </c>
      <c r="CJ16" s="214">
        <v>0.0</v>
      </c>
      <c r="CK16" s="217">
        <f t="shared" si="37"/>
        <v>0</v>
      </c>
      <c r="CL16" s="290"/>
      <c r="CM16" s="216">
        <f t="shared" si="38"/>
        <v>-103.38125</v>
      </c>
      <c r="CN16" s="291">
        <f>SHARES!CC13</f>
        <v>2400</v>
      </c>
      <c r="CO16" s="292"/>
      <c r="CP16" s="293">
        <f t="shared" si="39"/>
        <v>-103.38125</v>
      </c>
      <c r="CQ16" s="288">
        <f>SHARES!BQ13</f>
        <v>0</v>
      </c>
      <c r="CR16" s="297"/>
      <c r="CS16" s="214">
        <v>0.0</v>
      </c>
      <c r="CT16" s="290">
        <f t="shared" si="40"/>
        <v>0</v>
      </c>
      <c r="CU16" s="290"/>
      <c r="CV16" s="289">
        <f t="shared" si="41"/>
        <v>-103.38125</v>
      </c>
      <c r="CW16" s="291">
        <f>SHARES!CC13</f>
        <v>2400</v>
      </c>
      <c r="CX16" s="292"/>
      <c r="CY16" s="298">
        <f t="shared" si="42"/>
        <v>-103.38125</v>
      </c>
      <c r="CZ16" s="225">
        <f>SHARES!BT13</f>
        <v>0</v>
      </c>
      <c r="DA16" s="299"/>
      <c r="DB16" s="226">
        <v>0.0</v>
      </c>
      <c r="DC16" s="300">
        <f t="shared" si="43"/>
        <v>0</v>
      </c>
      <c r="DD16" s="300"/>
      <c r="DE16" s="301">
        <f t="shared" si="44"/>
        <v>-103.38125</v>
      </c>
      <c r="DF16" s="302">
        <f>SHARES!CC13</f>
        <v>2400</v>
      </c>
    </row>
    <row r="17" ht="14.25" customHeight="1">
      <c r="A17" s="213">
        <v>12.0</v>
      </c>
      <c r="B17" s="303"/>
      <c r="C17" s="304"/>
      <c r="D17" s="215" t="str">
        <f>SHARES!E14</f>
        <v/>
      </c>
      <c r="E17" s="216" t="str">
        <f>SHARES!I14</f>
        <v/>
      </c>
      <c r="F17" s="217">
        <f t="shared" si="1"/>
        <v>0</v>
      </c>
      <c r="G17" s="217">
        <f t="shared" si="2"/>
        <v>0</v>
      </c>
      <c r="H17" s="217"/>
      <c r="I17" s="216">
        <f t="shared" si="3"/>
        <v>0</v>
      </c>
      <c r="J17" s="218">
        <f>SHARES!CC14</f>
        <v>600</v>
      </c>
      <c r="K17" s="219"/>
      <c r="L17" s="220">
        <f t="shared" si="4"/>
        <v>0</v>
      </c>
      <c r="M17" s="216" t="str">
        <f>SHARES!L14</f>
        <v/>
      </c>
      <c r="N17" s="216" t="str">
        <f>SHARES!P14</f>
        <v/>
      </c>
      <c r="O17" s="217">
        <f t="shared" si="5"/>
        <v>0</v>
      </c>
      <c r="P17" s="217">
        <f t="shared" si="6"/>
        <v>0</v>
      </c>
      <c r="Q17" s="217"/>
      <c r="R17" s="216">
        <f t="shared" si="7"/>
        <v>0</v>
      </c>
      <c r="S17" s="218">
        <f>SHARES!CC14</f>
        <v>600</v>
      </c>
      <c r="T17" s="221"/>
      <c r="U17" s="220">
        <f t="shared" si="8"/>
        <v>0</v>
      </c>
      <c r="V17" s="215" t="str">
        <f>SHARES!S14</f>
        <v/>
      </c>
      <c r="W17" s="216" t="str">
        <f>SHARES!W14</f>
        <v/>
      </c>
      <c r="X17" s="217">
        <f t="shared" si="9"/>
        <v>0</v>
      </c>
      <c r="Y17" s="217">
        <f t="shared" si="10"/>
        <v>0</v>
      </c>
      <c r="Z17" s="217"/>
      <c r="AA17" s="216">
        <f t="shared" si="11"/>
        <v>0</v>
      </c>
      <c r="AB17" s="218">
        <f>SHARES!CC14</f>
        <v>600</v>
      </c>
      <c r="AC17" s="219"/>
      <c r="AD17" s="220">
        <f t="shared" si="12"/>
        <v>0</v>
      </c>
      <c r="AE17" s="215" t="str">
        <f>SHARES!Z14</f>
        <v/>
      </c>
      <c r="AF17" s="216" t="str">
        <f>SHARES!AD14</f>
        <v/>
      </c>
      <c r="AG17" s="217">
        <f t="shared" si="13"/>
        <v>0</v>
      </c>
      <c r="AH17" s="217">
        <f t="shared" si="14"/>
        <v>0</v>
      </c>
      <c r="AI17" s="217"/>
      <c r="AJ17" s="216">
        <f t="shared" si="15"/>
        <v>0</v>
      </c>
      <c r="AK17" s="218">
        <f>SHARES!CC14</f>
        <v>600</v>
      </c>
      <c r="AL17" s="219"/>
      <c r="AM17" s="220">
        <f t="shared" si="16"/>
        <v>0</v>
      </c>
      <c r="AN17" s="215" t="str">
        <f>SHARES!AG14</f>
        <v/>
      </c>
      <c r="AO17" s="216" t="str">
        <f>SHARES!AK14</f>
        <v/>
      </c>
      <c r="AP17" s="217">
        <f t="shared" si="17"/>
        <v>0</v>
      </c>
      <c r="AQ17" s="217">
        <f t="shared" si="18"/>
        <v>0</v>
      </c>
      <c r="AR17" s="217"/>
      <c r="AS17" s="216">
        <f t="shared" si="19"/>
        <v>0</v>
      </c>
      <c r="AT17" s="218">
        <f>SHARES!CC14</f>
        <v>600</v>
      </c>
      <c r="AU17" s="219"/>
      <c r="AV17" s="220">
        <f t="shared" si="20"/>
        <v>0</v>
      </c>
      <c r="AW17" s="215" t="str">
        <f>SHARES!AN14</f>
        <v/>
      </c>
      <c r="AX17" s="216" t="str">
        <f>SHARES!AR14</f>
        <v/>
      </c>
      <c r="AY17" s="217">
        <f t="shared" si="21"/>
        <v>0</v>
      </c>
      <c r="AZ17" s="217">
        <f t="shared" si="22"/>
        <v>0</v>
      </c>
      <c r="BA17" s="217"/>
      <c r="BB17" s="216">
        <f t="shared" si="23"/>
        <v>0</v>
      </c>
      <c r="BC17" s="218">
        <f>SHARES!CC14</f>
        <v>600</v>
      </c>
      <c r="BD17" s="219"/>
      <c r="BE17" s="220">
        <f t="shared" si="24"/>
        <v>0</v>
      </c>
      <c r="BF17" s="215" t="str">
        <f>SHARES!AU14</f>
        <v/>
      </c>
      <c r="BG17" s="216" t="str">
        <f>SHARES!AY14</f>
        <v/>
      </c>
      <c r="BH17" s="217">
        <f t="shared" si="25"/>
        <v>0</v>
      </c>
      <c r="BI17" s="217">
        <f t="shared" si="26"/>
        <v>0</v>
      </c>
      <c r="BJ17" s="217"/>
      <c r="BK17" s="216">
        <f t="shared" si="27"/>
        <v>0</v>
      </c>
      <c r="BL17" s="218">
        <f>SHARES!CC14</f>
        <v>600</v>
      </c>
      <c r="BM17" s="219"/>
      <c r="BN17" s="220">
        <f t="shared" si="28"/>
        <v>0</v>
      </c>
      <c r="BO17" s="215">
        <f>SHARES!BB14</f>
        <v>0</v>
      </c>
      <c r="BP17" s="215" t="str">
        <f>SHARES!BF14</f>
        <v/>
      </c>
      <c r="BQ17" s="217">
        <f t="shared" si="29"/>
        <v>0</v>
      </c>
      <c r="BR17" s="217">
        <f t="shared" si="30"/>
        <v>0</v>
      </c>
      <c r="BS17" s="217"/>
      <c r="BT17" s="216">
        <f t="shared" si="31"/>
        <v>0</v>
      </c>
      <c r="BU17" s="218">
        <f>SHARES!CC14</f>
        <v>600</v>
      </c>
      <c r="BV17" s="219"/>
      <c r="BW17" s="220">
        <f t="shared" si="32"/>
        <v>0</v>
      </c>
      <c r="BX17" s="215">
        <f>SHARES!BI14</f>
        <v>0</v>
      </c>
      <c r="BY17" s="215" t="str">
        <f>SHARES!BM14</f>
        <v/>
      </c>
      <c r="BZ17" s="217">
        <f t="shared" si="33"/>
        <v>0</v>
      </c>
      <c r="CA17" s="217">
        <f t="shared" si="34"/>
        <v>0</v>
      </c>
      <c r="CB17" s="217"/>
      <c r="CC17" s="216">
        <f t="shared" si="35"/>
        <v>0</v>
      </c>
      <c r="CD17" s="218">
        <f>SHARES!CC14</f>
        <v>600</v>
      </c>
      <c r="CE17" s="219"/>
      <c r="CF17" s="220">
        <f t="shared" si="36"/>
        <v>0</v>
      </c>
      <c r="CG17" s="215">
        <f>SHARES!BN14</f>
        <v>0</v>
      </c>
      <c r="CH17" s="246">
        <v>0.0</v>
      </c>
      <c r="CI17" s="223">
        <v>0.0</v>
      </c>
      <c r="CJ17" s="214">
        <v>0.0</v>
      </c>
      <c r="CK17" s="217">
        <f t="shared" si="37"/>
        <v>0</v>
      </c>
      <c r="CL17" s="217"/>
      <c r="CM17" s="216">
        <f t="shared" si="38"/>
        <v>0</v>
      </c>
      <c r="CN17" s="218">
        <f>SHARES!CC14</f>
        <v>600</v>
      </c>
      <c r="CO17" s="219"/>
      <c r="CP17" s="220">
        <f t="shared" si="39"/>
        <v>0</v>
      </c>
      <c r="CQ17" s="215">
        <f>SHARES!BQ14</f>
        <v>0</v>
      </c>
      <c r="CR17" s="247"/>
      <c r="CS17" s="214">
        <v>0.0</v>
      </c>
      <c r="CT17" s="217">
        <f t="shared" si="40"/>
        <v>0</v>
      </c>
      <c r="CU17" s="217"/>
      <c r="CV17" s="216">
        <f t="shared" si="41"/>
        <v>0</v>
      </c>
      <c r="CW17" s="218">
        <f>SHARES!CC14</f>
        <v>600</v>
      </c>
      <c r="CX17" s="219"/>
      <c r="CY17" s="224">
        <f t="shared" si="42"/>
        <v>0</v>
      </c>
      <c r="CZ17" s="225">
        <f>SHARES!BT14</f>
        <v>0</v>
      </c>
      <c r="DA17" s="244"/>
      <c r="DB17" s="226">
        <v>0.0</v>
      </c>
      <c r="DC17" s="227">
        <f t="shared" si="43"/>
        <v>0</v>
      </c>
      <c r="DD17" s="227"/>
      <c r="DE17" s="228">
        <f t="shared" si="44"/>
        <v>0</v>
      </c>
      <c r="DF17" s="229">
        <f>SHARES!CC14</f>
        <v>600</v>
      </c>
    </row>
    <row r="18" ht="14.25" customHeight="1">
      <c r="A18" s="181"/>
      <c r="B18" s="189"/>
      <c r="C18" s="305">
        <v>0.0</v>
      </c>
      <c r="D18" s="305"/>
      <c r="E18" s="305">
        <f t="shared" ref="E18:G18" si="45">SUM(E6:E17)</f>
        <v>1800</v>
      </c>
      <c r="F18" s="305">
        <f t="shared" si="45"/>
        <v>0</v>
      </c>
      <c r="G18" s="305">
        <f t="shared" si="45"/>
        <v>180</v>
      </c>
      <c r="H18" s="305"/>
      <c r="I18" s="305">
        <f t="shared" ref="I18:P18" si="46">SUM(I6:I17)</f>
        <v>1980</v>
      </c>
      <c r="J18" s="305">
        <f t="shared" si="46"/>
        <v>62100</v>
      </c>
      <c r="K18" s="305">
        <f t="shared" si="46"/>
        <v>0</v>
      </c>
      <c r="L18" s="305">
        <f t="shared" si="46"/>
        <v>1980</v>
      </c>
      <c r="M18" s="305">
        <f t="shared" si="46"/>
        <v>0</v>
      </c>
      <c r="N18" s="305">
        <f t="shared" si="46"/>
        <v>3000</v>
      </c>
      <c r="O18" s="305">
        <f t="shared" si="46"/>
        <v>99</v>
      </c>
      <c r="P18" s="305">
        <f t="shared" si="46"/>
        <v>300</v>
      </c>
      <c r="Q18" s="305"/>
      <c r="R18" s="305">
        <f t="shared" ref="R18:Y18" si="47">SUM(R6:R17)</f>
        <v>5379</v>
      </c>
      <c r="S18" s="305">
        <f t="shared" si="47"/>
        <v>62100</v>
      </c>
      <c r="T18" s="305">
        <f t="shared" si="47"/>
        <v>0</v>
      </c>
      <c r="U18" s="305">
        <f t="shared" si="47"/>
        <v>5379</v>
      </c>
      <c r="V18" s="305">
        <f t="shared" si="47"/>
        <v>400</v>
      </c>
      <c r="W18" s="305">
        <f t="shared" si="47"/>
        <v>2800</v>
      </c>
      <c r="X18" s="305">
        <f t="shared" si="47"/>
        <v>248.95</v>
      </c>
      <c r="Y18" s="305">
        <f t="shared" si="47"/>
        <v>280</v>
      </c>
      <c r="Z18" s="305"/>
      <c r="AA18" s="305">
        <f t="shared" ref="AA18:AH18" si="48">SUM(AA6:AA17)</f>
        <v>8307.95</v>
      </c>
      <c r="AB18" s="305">
        <f t="shared" si="48"/>
        <v>62100</v>
      </c>
      <c r="AC18" s="305">
        <f t="shared" si="48"/>
        <v>0</v>
      </c>
      <c r="AD18" s="305">
        <f t="shared" si="48"/>
        <v>8307.95</v>
      </c>
      <c r="AE18" s="305">
        <f t="shared" si="48"/>
        <v>1180</v>
      </c>
      <c r="AF18" s="305">
        <f t="shared" si="48"/>
        <v>4480</v>
      </c>
      <c r="AG18" s="305">
        <f t="shared" si="48"/>
        <v>356.3975</v>
      </c>
      <c r="AH18" s="305">
        <f t="shared" si="48"/>
        <v>448</v>
      </c>
      <c r="AI18" s="305"/>
      <c r="AJ18" s="305">
        <f t="shared" ref="AJ18:AQ18" si="49">SUM(AJ6:AJ17)</f>
        <v>12412.3475</v>
      </c>
      <c r="AK18" s="305">
        <f t="shared" si="49"/>
        <v>62100</v>
      </c>
      <c r="AL18" s="305">
        <f t="shared" si="49"/>
        <v>0</v>
      </c>
      <c r="AM18" s="305">
        <f t="shared" si="49"/>
        <v>12412.3475</v>
      </c>
      <c r="AN18" s="305">
        <f t="shared" si="49"/>
        <v>5328</v>
      </c>
      <c r="AO18" s="305">
        <f t="shared" si="49"/>
        <v>9828</v>
      </c>
      <c r="AP18" s="305">
        <f t="shared" si="49"/>
        <v>354.217375</v>
      </c>
      <c r="AQ18" s="305">
        <f t="shared" si="49"/>
        <v>982.8</v>
      </c>
      <c r="AR18" s="305"/>
      <c r="AS18" s="305">
        <f t="shared" ref="AS18:AZ18" si="50">SUM(AS6:AS17)</f>
        <v>18249.36488</v>
      </c>
      <c r="AT18" s="305">
        <f t="shared" si="50"/>
        <v>62100</v>
      </c>
      <c r="AU18" s="305">
        <f t="shared" si="50"/>
        <v>0</v>
      </c>
      <c r="AV18" s="305">
        <f t="shared" si="50"/>
        <v>18249.36488</v>
      </c>
      <c r="AW18" s="305">
        <f t="shared" si="50"/>
        <v>2100</v>
      </c>
      <c r="AX18" s="305">
        <f t="shared" si="50"/>
        <v>6000</v>
      </c>
      <c r="AY18" s="305">
        <f t="shared" si="50"/>
        <v>807.4682438</v>
      </c>
      <c r="AZ18" s="305">
        <f t="shared" si="50"/>
        <v>600</v>
      </c>
      <c r="BA18" s="305"/>
      <c r="BB18" s="305">
        <f t="shared" ref="BB18:BI18" si="51">SUM(BB6:BB17)</f>
        <v>23556.83312</v>
      </c>
      <c r="BC18" s="305">
        <f t="shared" si="51"/>
        <v>62100</v>
      </c>
      <c r="BD18" s="305">
        <f t="shared" si="51"/>
        <v>0</v>
      </c>
      <c r="BE18" s="305">
        <f t="shared" si="51"/>
        <v>23556.83312</v>
      </c>
      <c r="BF18" s="305">
        <f t="shared" si="51"/>
        <v>2651.45</v>
      </c>
      <c r="BG18" s="305">
        <f t="shared" si="51"/>
        <v>6151.45</v>
      </c>
      <c r="BH18" s="305">
        <f t="shared" si="51"/>
        <v>1045.269156</v>
      </c>
      <c r="BI18" s="305">
        <f t="shared" si="51"/>
        <v>615.145</v>
      </c>
      <c r="BJ18" s="305"/>
      <c r="BK18" s="305">
        <f t="shared" ref="BK18:CI18" si="52">SUM(BK6:BK17)</f>
        <v>28717.24727</v>
      </c>
      <c r="BL18" s="305">
        <f t="shared" si="52"/>
        <v>62100</v>
      </c>
      <c r="BM18" s="305">
        <f t="shared" si="52"/>
        <v>0</v>
      </c>
      <c r="BN18" s="305">
        <f t="shared" si="52"/>
        <v>28717.24727</v>
      </c>
      <c r="BO18" s="305">
        <f t="shared" si="52"/>
        <v>1400</v>
      </c>
      <c r="BP18" s="305">
        <f t="shared" si="52"/>
        <v>3300</v>
      </c>
      <c r="BQ18" s="305">
        <f t="shared" si="52"/>
        <v>1365.862364</v>
      </c>
      <c r="BR18" s="305">
        <f t="shared" si="52"/>
        <v>330</v>
      </c>
      <c r="BS18" s="305">
        <f t="shared" si="52"/>
        <v>0</v>
      </c>
      <c r="BT18" s="305">
        <f t="shared" si="52"/>
        <v>32313.10964</v>
      </c>
      <c r="BU18" s="305">
        <f t="shared" si="52"/>
        <v>62100</v>
      </c>
      <c r="BV18" s="305">
        <f t="shared" si="52"/>
        <v>0</v>
      </c>
      <c r="BW18" s="305">
        <f t="shared" si="52"/>
        <v>32313.10964</v>
      </c>
      <c r="BX18" s="305">
        <f t="shared" si="52"/>
        <v>4456.61</v>
      </c>
      <c r="BY18" s="305">
        <f t="shared" si="52"/>
        <v>7556.61</v>
      </c>
      <c r="BZ18" s="305">
        <f t="shared" si="52"/>
        <v>1392.824982</v>
      </c>
      <c r="CA18" s="305">
        <f t="shared" si="52"/>
        <v>755.661</v>
      </c>
      <c r="CB18" s="305">
        <f t="shared" si="52"/>
        <v>0</v>
      </c>
      <c r="CC18" s="305">
        <f t="shared" si="52"/>
        <v>37561.59562</v>
      </c>
      <c r="CD18" s="305">
        <f t="shared" si="52"/>
        <v>62100</v>
      </c>
      <c r="CE18" s="305">
        <f t="shared" si="52"/>
        <v>0</v>
      </c>
      <c r="CF18" s="305">
        <f t="shared" si="52"/>
        <v>37561.59562</v>
      </c>
      <c r="CG18" s="305">
        <f t="shared" si="52"/>
        <v>8070</v>
      </c>
      <c r="CH18" s="305">
        <f t="shared" si="52"/>
        <v>0</v>
      </c>
      <c r="CI18" s="305">
        <f t="shared" si="52"/>
        <v>0</v>
      </c>
      <c r="CJ18" s="214">
        <v>0.0</v>
      </c>
      <c r="CK18" s="305">
        <f t="shared" ref="CK18:CW18" si="53">SUM(CK6:CK17)</f>
        <v>0</v>
      </c>
      <c r="CL18" s="305">
        <f t="shared" si="53"/>
        <v>0</v>
      </c>
      <c r="CM18" s="305">
        <f t="shared" si="53"/>
        <v>29491.59562</v>
      </c>
      <c r="CN18" s="305">
        <f t="shared" si="53"/>
        <v>62100</v>
      </c>
      <c r="CO18" s="305">
        <f t="shared" si="53"/>
        <v>0</v>
      </c>
      <c r="CP18" s="305">
        <f t="shared" si="53"/>
        <v>29491.59562</v>
      </c>
      <c r="CQ18" s="305">
        <f t="shared" si="53"/>
        <v>7197</v>
      </c>
      <c r="CR18" s="305">
        <f t="shared" si="53"/>
        <v>0</v>
      </c>
      <c r="CS18" s="305">
        <f t="shared" si="53"/>
        <v>0</v>
      </c>
      <c r="CT18" s="305">
        <f t="shared" si="53"/>
        <v>0</v>
      </c>
      <c r="CU18" s="305">
        <f t="shared" si="53"/>
        <v>0</v>
      </c>
      <c r="CV18" s="305">
        <f t="shared" si="53"/>
        <v>22294.59562</v>
      </c>
      <c r="CW18" s="305">
        <f t="shared" si="53"/>
        <v>62100</v>
      </c>
      <c r="CX18" s="305" t="str">
        <f>CZ20</f>
        <v/>
      </c>
      <c r="CY18" s="306">
        <f t="shared" ref="CY18:DC18" si="54">SUM(CY6:CY17)</f>
        <v>22294.59562</v>
      </c>
      <c r="CZ18" s="306">
        <f t="shared" si="54"/>
        <v>0</v>
      </c>
      <c r="DA18" s="306">
        <f t="shared" si="54"/>
        <v>0</v>
      </c>
      <c r="DB18" s="306">
        <f t="shared" si="54"/>
        <v>0</v>
      </c>
      <c r="DC18" s="306">
        <f t="shared" si="54"/>
        <v>0</v>
      </c>
      <c r="DD18" s="306"/>
      <c r="DE18" s="306">
        <f t="shared" ref="DE18:DF18" si="55">SUM(DE6:DE17)</f>
        <v>22294.59562</v>
      </c>
      <c r="DF18" s="306">
        <f t="shared" si="55"/>
        <v>62100</v>
      </c>
    </row>
    <row r="19" ht="14.25" customHeight="1">
      <c r="C19" s="307"/>
      <c r="D19" s="308"/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  <c r="AA19" s="307"/>
      <c r="AB19" s="307"/>
      <c r="AC19" s="307"/>
      <c r="AD19" s="307"/>
      <c r="AE19" s="307"/>
      <c r="AF19" s="307"/>
      <c r="AG19" s="307"/>
      <c r="AH19" s="307"/>
      <c r="AI19" s="307"/>
      <c r="AJ19" s="307"/>
      <c r="AK19" s="307"/>
      <c r="AL19" s="307"/>
      <c r="AM19" s="307"/>
      <c r="AN19" s="307"/>
      <c r="AO19" s="307"/>
      <c r="AP19" s="307"/>
      <c r="AQ19" s="307"/>
      <c r="AR19" s="307"/>
      <c r="AS19" s="307"/>
      <c r="AT19" s="307"/>
      <c r="AU19" s="307"/>
      <c r="AV19" s="307"/>
      <c r="AW19" s="307"/>
      <c r="AX19" s="307"/>
      <c r="AY19" s="307"/>
      <c r="AZ19" s="307"/>
      <c r="BA19" s="307"/>
      <c r="BB19" s="307"/>
      <c r="BC19" s="307"/>
      <c r="BD19" s="307"/>
      <c r="BE19" s="307"/>
      <c r="BF19" s="307"/>
      <c r="BG19" s="307"/>
      <c r="BH19" s="307"/>
      <c r="BI19" s="307"/>
      <c r="BJ19" s="307"/>
      <c r="BK19" s="307"/>
      <c r="BL19" s="307"/>
      <c r="BM19" s="307"/>
      <c r="BN19" s="307"/>
      <c r="BO19" s="307"/>
      <c r="BP19" s="307"/>
      <c r="BQ19" s="307"/>
      <c r="BR19" s="307"/>
      <c r="BS19" s="307"/>
      <c r="BT19" s="307"/>
      <c r="BU19" s="307"/>
      <c r="BV19" s="307"/>
      <c r="BW19" s="307"/>
      <c r="BX19" s="307"/>
      <c r="BY19" s="307"/>
      <c r="BZ19" s="307"/>
      <c r="CA19" s="307"/>
      <c r="CB19" s="307"/>
      <c r="CC19" s="307"/>
      <c r="CD19" s="307"/>
      <c r="CE19" s="307"/>
      <c r="CF19" s="307"/>
      <c r="CG19" s="307"/>
      <c r="CH19" s="307"/>
      <c r="CI19" s="307"/>
      <c r="CJ19" s="307"/>
      <c r="CK19" s="307"/>
      <c r="CL19" s="307"/>
      <c r="CM19" s="307"/>
      <c r="CN19" s="307"/>
      <c r="CO19" s="307"/>
      <c r="CP19" s="307"/>
      <c r="CQ19" s="307"/>
      <c r="CR19" s="307"/>
      <c r="CS19" s="307"/>
      <c r="CT19" s="307"/>
      <c r="CU19" s="307"/>
      <c r="CV19" s="307"/>
      <c r="CW19" s="307"/>
      <c r="CX19" s="307"/>
      <c r="CY19" s="309"/>
      <c r="CZ19" s="309"/>
      <c r="DA19" s="309"/>
      <c r="DB19" s="309"/>
      <c r="DC19" s="309"/>
      <c r="DD19" s="309"/>
      <c r="DE19" s="309"/>
      <c r="DF19" s="309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BN4:BU4"/>
    <mergeCell ref="BW4:CD4"/>
    <mergeCell ref="CF4:CN4"/>
    <mergeCell ref="CP4:CW4"/>
    <mergeCell ref="CY4:DF4"/>
    <mergeCell ref="C4:J4"/>
    <mergeCell ref="L4:S4"/>
    <mergeCell ref="U4:AB4"/>
    <mergeCell ref="AD4:AK4"/>
    <mergeCell ref="AM4:AT4"/>
    <mergeCell ref="AV4:BC4"/>
    <mergeCell ref="BE4:BL4"/>
  </mergeCells>
  <conditionalFormatting sqref="X3:X5">
    <cfRule type="cellIs" dxfId="0" priority="1" operator="lessThan">
      <formula>1</formula>
    </cfRule>
  </conditionalFormatting>
  <conditionalFormatting sqref="X3:X5">
    <cfRule type="cellIs" dxfId="1" priority="2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71"/>
    <col customWidth="1" min="3" max="3" width="8.71"/>
    <col customWidth="1" min="4" max="4" width="8.86"/>
    <col customWidth="1" min="5" max="5" width="11.29"/>
    <col customWidth="1" min="6" max="6" width="10.0"/>
    <col customWidth="1" min="7" max="7" width="7.29"/>
    <col customWidth="1" min="8" max="8" width="8.86"/>
    <col customWidth="1" min="9" max="9" width="8.71"/>
    <col customWidth="1" min="10" max="10" width="10.0"/>
    <col customWidth="1" min="11" max="11" width="7.29"/>
    <col customWidth="1" min="12" max="12" width="9.0"/>
    <col customWidth="1" min="13" max="13" width="8.71"/>
    <col customWidth="1" min="14" max="14" width="10.0"/>
    <col customWidth="1" min="15" max="15" width="7.29"/>
    <col customWidth="1" min="16" max="16" width="8.71"/>
    <col customWidth="1" min="17" max="17" width="10.43"/>
    <col customWidth="1" min="18" max="18" width="10.0"/>
    <col customWidth="1" min="19" max="19" width="7.29"/>
    <col customWidth="1" min="20" max="20" width="8.71"/>
    <col customWidth="1" min="21" max="21" width="9.14"/>
    <col customWidth="1" min="22" max="22" width="10.57"/>
    <col customWidth="1" min="23" max="23" width="7.29"/>
    <col customWidth="1" min="24" max="24" width="8.71"/>
    <col customWidth="1" min="25" max="25" width="9.0"/>
    <col customWidth="1" min="26" max="26" width="10.57"/>
    <col customWidth="1" min="27" max="27" width="7.29"/>
    <col customWidth="1" min="28" max="28" width="8.71"/>
    <col customWidth="1" min="29" max="29" width="9.14"/>
    <col customWidth="1" min="30" max="30" width="10.57"/>
    <col customWidth="1" min="31" max="31" width="7.29"/>
    <col customWidth="1" min="32" max="32" width="8.71"/>
    <col customWidth="1" min="33" max="33" width="11.57"/>
    <col customWidth="1" min="34" max="34" width="10.57"/>
    <col customWidth="1" min="35" max="35" width="7.29"/>
    <col customWidth="1" min="36" max="37" width="8.71"/>
    <col customWidth="1" min="38" max="38" width="10.57"/>
    <col customWidth="1" min="39" max="39" width="7.29"/>
    <col customWidth="1" min="40" max="40" width="8.71"/>
    <col customWidth="1" min="41" max="41" width="14.14"/>
    <col customWidth="1" min="42" max="42" width="10.57"/>
    <col customWidth="1" min="43" max="43" width="7.29"/>
    <col customWidth="1" min="44" max="44" width="8.71"/>
    <col customWidth="1" min="45" max="45" width="12.71"/>
    <col customWidth="1" min="46" max="46" width="10.0"/>
    <col customWidth="1" min="47" max="47" width="7.29"/>
    <col customWidth="1" min="48" max="48" width="8.71"/>
    <col customWidth="1" min="49" max="49" width="11.0"/>
    <col customWidth="1" min="50" max="50" width="8.43"/>
    <col customWidth="1" min="51" max="51" width="7.29"/>
    <col customWidth="1" min="52" max="115" width="8.71"/>
  </cols>
  <sheetData>
    <row r="1" ht="14.25" customHeight="1">
      <c r="E1" s="310" t="s">
        <v>57</v>
      </c>
      <c r="F1" s="181"/>
      <c r="G1" s="181"/>
      <c r="H1" s="311"/>
      <c r="I1" s="310" t="s">
        <v>58</v>
      </c>
      <c r="J1" s="181"/>
      <c r="K1" s="181"/>
      <c r="L1" s="311"/>
      <c r="M1" s="310" t="s">
        <v>59</v>
      </c>
      <c r="N1" s="181"/>
      <c r="O1" s="181"/>
      <c r="P1" s="181"/>
      <c r="Q1" s="310" t="s">
        <v>60</v>
      </c>
      <c r="R1" s="181"/>
      <c r="S1" s="181"/>
      <c r="T1" s="181"/>
      <c r="U1" s="310" t="s">
        <v>61</v>
      </c>
      <c r="V1" s="181"/>
      <c r="W1" s="181"/>
      <c r="X1" s="181"/>
      <c r="Y1" s="310" t="s">
        <v>62</v>
      </c>
      <c r="Z1" s="181"/>
      <c r="AA1" s="181"/>
      <c r="AB1" s="181"/>
      <c r="AC1" s="310" t="s">
        <v>63</v>
      </c>
      <c r="AD1" s="181"/>
      <c r="AE1" s="181"/>
      <c r="AF1" s="181"/>
      <c r="AG1" s="310" t="s">
        <v>64</v>
      </c>
      <c r="AH1" s="181"/>
      <c r="AI1" s="181"/>
      <c r="AJ1" s="181"/>
      <c r="AK1" s="310" t="s">
        <v>65</v>
      </c>
      <c r="AL1" s="181"/>
      <c r="AM1" s="181"/>
      <c r="AN1" s="181"/>
      <c r="AO1" s="310" t="s">
        <v>66</v>
      </c>
      <c r="AP1" s="181"/>
      <c r="AQ1" s="181"/>
      <c r="AR1" s="181"/>
      <c r="AS1" s="310" t="s">
        <v>67</v>
      </c>
      <c r="AT1" s="181"/>
      <c r="AU1" s="181"/>
      <c r="AV1" s="181"/>
      <c r="AW1" s="310" t="s">
        <v>68</v>
      </c>
      <c r="AX1" s="181"/>
      <c r="AY1" s="181"/>
      <c r="AZ1" s="181"/>
    </row>
    <row r="2" ht="14.25" customHeight="1">
      <c r="E2" s="312"/>
      <c r="F2" s="313" t="s">
        <v>69</v>
      </c>
      <c r="G2" s="314" t="s">
        <v>70</v>
      </c>
      <c r="H2" s="315"/>
      <c r="I2" s="316"/>
      <c r="J2" s="313" t="s">
        <v>69</v>
      </c>
      <c r="K2" s="317" t="s">
        <v>70</v>
      </c>
      <c r="L2" s="315"/>
      <c r="M2" s="316"/>
      <c r="N2" s="313" t="s">
        <v>69</v>
      </c>
      <c r="O2" s="314" t="s">
        <v>70</v>
      </c>
      <c r="P2" s="181"/>
      <c r="Q2" s="312"/>
      <c r="R2" s="313" t="s">
        <v>69</v>
      </c>
      <c r="S2" s="314" t="s">
        <v>70</v>
      </c>
      <c r="T2" s="181"/>
      <c r="U2" s="312"/>
      <c r="V2" s="313" t="s">
        <v>69</v>
      </c>
      <c r="W2" s="314" t="s">
        <v>70</v>
      </c>
      <c r="X2" s="181"/>
      <c r="Y2" s="312"/>
      <c r="Z2" s="313" t="s">
        <v>69</v>
      </c>
      <c r="AA2" s="314" t="s">
        <v>70</v>
      </c>
      <c r="AB2" s="181"/>
      <c r="AC2" s="312"/>
      <c r="AD2" s="313" t="s">
        <v>69</v>
      </c>
      <c r="AE2" s="314" t="s">
        <v>70</v>
      </c>
      <c r="AF2" s="181"/>
      <c r="AG2" s="312"/>
      <c r="AH2" s="313" t="s">
        <v>69</v>
      </c>
      <c r="AI2" s="314" t="s">
        <v>70</v>
      </c>
      <c r="AJ2" s="181"/>
      <c r="AK2" s="312"/>
      <c r="AL2" s="313" t="s">
        <v>69</v>
      </c>
      <c r="AM2" s="314" t="s">
        <v>70</v>
      </c>
      <c r="AN2" s="181"/>
      <c r="AO2" s="312"/>
      <c r="AP2" s="313" t="s">
        <v>69</v>
      </c>
      <c r="AQ2" s="314" t="s">
        <v>70</v>
      </c>
      <c r="AR2" s="181"/>
      <c r="AS2" s="312"/>
      <c r="AT2" s="313" t="s">
        <v>69</v>
      </c>
      <c r="AU2" s="314" t="s">
        <v>70</v>
      </c>
      <c r="AV2" s="181"/>
      <c r="AW2" s="312"/>
      <c r="AX2" s="313" t="s">
        <v>69</v>
      </c>
      <c r="AY2" s="314" t="s">
        <v>70</v>
      </c>
      <c r="AZ2" s="181"/>
    </row>
    <row r="3" ht="14.25" customHeight="1">
      <c r="E3" s="312"/>
      <c r="F3" s="314"/>
      <c r="G3" s="314"/>
      <c r="H3" s="315"/>
      <c r="I3" s="316"/>
      <c r="J3" s="314"/>
      <c r="K3" s="317"/>
      <c r="L3" s="315"/>
      <c r="M3" s="316"/>
      <c r="N3" s="314"/>
      <c r="O3" s="314"/>
      <c r="Q3" s="312"/>
      <c r="R3" s="314"/>
      <c r="S3" s="314"/>
      <c r="U3" s="312"/>
      <c r="V3" s="314"/>
      <c r="W3" s="314"/>
      <c r="Y3" s="312"/>
      <c r="Z3" s="314"/>
      <c r="AA3" s="314"/>
      <c r="AC3" s="312"/>
      <c r="AD3" s="314"/>
      <c r="AE3" s="314"/>
      <c r="AG3" s="312"/>
      <c r="AH3" s="314"/>
      <c r="AI3" s="314"/>
      <c r="AK3" s="312"/>
      <c r="AL3" s="314"/>
      <c r="AM3" s="314"/>
      <c r="AO3" s="312"/>
      <c r="AP3" s="314"/>
      <c r="AQ3" s="314"/>
      <c r="AS3" s="312"/>
      <c r="AT3" s="314"/>
      <c r="AU3" s="314"/>
      <c r="AW3" s="312"/>
      <c r="AX3" s="314"/>
      <c r="AY3" s="314"/>
    </row>
    <row r="4" ht="14.25" customHeight="1">
      <c r="E4" s="318" t="s">
        <v>33</v>
      </c>
      <c r="F4" s="319">
        <f>SHARES!D3</f>
        <v>200</v>
      </c>
      <c r="G4" s="319"/>
      <c r="H4" s="320"/>
      <c r="I4" s="318" t="s">
        <v>33</v>
      </c>
      <c r="J4" s="319">
        <f>SHARES!D4</f>
        <v>500</v>
      </c>
      <c r="K4" s="321"/>
      <c r="L4" s="320"/>
      <c r="M4" s="318" t="s">
        <v>33</v>
      </c>
      <c r="N4" s="319">
        <f>SHARES!D5</f>
        <v>200</v>
      </c>
      <c r="O4" s="319"/>
      <c r="Q4" s="318" t="s">
        <v>33</v>
      </c>
      <c r="R4" s="319">
        <f>SHARES!D6</f>
        <v>0</v>
      </c>
      <c r="S4" s="319"/>
      <c r="U4" s="318" t="s">
        <v>33</v>
      </c>
      <c r="V4" s="319">
        <f>SHARES!D7</f>
        <v>200</v>
      </c>
      <c r="W4" s="319"/>
      <c r="Y4" s="318" t="s">
        <v>33</v>
      </c>
      <c r="Z4" s="319">
        <f>SHARES!D8</f>
        <v>200</v>
      </c>
      <c r="AA4" s="319"/>
      <c r="AC4" s="318" t="s">
        <v>33</v>
      </c>
      <c r="AD4" s="319">
        <f>SHARES!D9</f>
        <v>200</v>
      </c>
      <c r="AE4" s="319"/>
      <c r="AG4" s="322" t="s">
        <v>34</v>
      </c>
      <c r="AH4" s="319">
        <f>SHARES!D10</f>
        <v>0</v>
      </c>
      <c r="AI4" s="319"/>
      <c r="AK4" s="322" t="s">
        <v>34</v>
      </c>
      <c r="AL4" s="319">
        <f>SHARES!D11</f>
        <v>0</v>
      </c>
      <c r="AM4" s="319"/>
      <c r="AO4" s="322" t="s">
        <v>34</v>
      </c>
      <c r="AP4" s="319">
        <f>SHARES!D12</f>
        <v>0</v>
      </c>
      <c r="AQ4" s="319"/>
      <c r="AS4" s="322" t="s">
        <v>34</v>
      </c>
      <c r="AT4" s="319">
        <f>SHARES!D13</f>
        <v>0</v>
      </c>
      <c r="AU4" s="319"/>
      <c r="AW4" s="322" t="s">
        <v>34</v>
      </c>
      <c r="AX4" s="319" t="str">
        <f>SHARES!D14</f>
        <v/>
      </c>
      <c r="AY4" s="319"/>
    </row>
    <row r="5" ht="14.25" customHeight="1">
      <c r="E5" s="322" t="s">
        <v>34</v>
      </c>
      <c r="F5" s="319">
        <f>F4*1.1</f>
        <v>220</v>
      </c>
      <c r="G5" s="319">
        <f>F4*0.1</f>
        <v>20</v>
      </c>
      <c r="H5" s="320"/>
      <c r="I5" s="322" t="s">
        <v>34</v>
      </c>
      <c r="J5" s="319">
        <f>J4*1.1</f>
        <v>550</v>
      </c>
      <c r="K5" s="321">
        <f>J4*0.1</f>
        <v>50</v>
      </c>
      <c r="L5" s="320"/>
      <c r="M5" s="322" t="s">
        <v>34</v>
      </c>
      <c r="N5" s="319">
        <f>N4*1.1</f>
        <v>220</v>
      </c>
      <c r="O5" s="319">
        <f>N4*0.1</f>
        <v>20</v>
      </c>
      <c r="Q5" s="322" t="s">
        <v>34</v>
      </c>
      <c r="R5" s="319">
        <f>R4*1.1</f>
        <v>0</v>
      </c>
      <c r="S5" s="319">
        <f>R4*0.1</f>
        <v>0</v>
      </c>
      <c r="U5" s="322" t="s">
        <v>34</v>
      </c>
      <c r="V5" s="319">
        <f>V4*1.1</f>
        <v>220</v>
      </c>
      <c r="W5" s="319">
        <f>V4*0.1</f>
        <v>20</v>
      </c>
      <c r="Y5" s="322" t="s">
        <v>34</v>
      </c>
      <c r="Z5" s="319">
        <f>Z4*1.1</f>
        <v>220</v>
      </c>
      <c r="AA5" s="319">
        <f>Z4*0.1</f>
        <v>20</v>
      </c>
      <c r="AC5" s="322" t="s">
        <v>34</v>
      </c>
      <c r="AD5" s="319">
        <f>AD4*1.1</f>
        <v>220</v>
      </c>
      <c r="AE5" s="319">
        <f>AD4*0.1</f>
        <v>20</v>
      </c>
      <c r="AG5" s="322" t="s">
        <v>32</v>
      </c>
      <c r="AH5" s="319">
        <f>AH4*1.1</f>
        <v>0</v>
      </c>
      <c r="AI5" s="319">
        <f>AH4*0.1</f>
        <v>0</v>
      </c>
      <c r="AK5" s="322" t="s">
        <v>32</v>
      </c>
      <c r="AL5" s="319">
        <f>AL4*1.1</f>
        <v>0</v>
      </c>
      <c r="AM5" s="319">
        <f>AL4*0.1</f>
        <v>0</v>
      </c>
      <c r="AO5" s="322" t="s">
        <v>32</v>
      </c>
      <c r="AP5" s="319">
        <f>AP4*1.1</f>
        <v>0</v>
      </c>
      <c r="AQ5" s="319">
        <f>AP4*0.1</f>
        <v>0</v>
      </c>
      <c r="AS5" s="322" t="s">
        <v>32</v>
      </c>
      <c r="AT5" s="319">
        <f>AT4*1.1</f>
        <v>0</v>
      </c>
      <c r="AU5" s="319">
        <f>AT4*0.1</f>
        <v>0</v>
      </c>
      <c r="AW5" s="322" t="s">
        <v>32</v>
      </c>
      <c r="AX5" s="319">
        <f>AX4*1.1</f>
        <v>0</v>
      </c>
      <c r="AY5" s="319">
        <f>AX4*0.1</f>
        <v>0</v>
      </c>
    </row>
    <row r="6" ht="14.25" customHeight="1">
      <c r="E6" s="322" t="s">
        <v>32</v>
      </c>
      <c r="F6" s="319">
        <f t="shared" ref="F6:F14" si="1">F5*1.05</f>
        <v>231</v>
      </c>
      <c r="G6" s="319">
        <f t="shared" ref="G6:G14" si="2">F5*0.05</f>
        <v>11</v>
      </c>
      <c r="H6" s="320"/>
      <c r="I6" s="322" t="s">
        <v>32</v>
      </c>
      <c r="J6" s="319">
        <f t="shared" ref="J6:J14" si="3">J5*1.05</f>
        <v>577.5</v>
      </c>
      <c r="K6" s="321">
        <f t="shared" ref="K6:K14" si="4">J5*0.05</f>
        <v>27.5</v>
      </c>
      <c r="L6" s="320"/>
      <c r="M6" s="322" t="s">
        <v>32</v>
      </c>
      <c r="N6" s="319">
        <f t="shared" ref="N6:N14" si="5">N5*1.05</f>
        <v>231</v>
      </c>
      <c r="O6" s="319">
        <f t="shared" ref="O6:O14" si="6">N5*0.05</f>
        <v>11</v>
      </c>
      <c r="Q6" s="322" t="s">
        <v>32</v>
      </c>
      <c r="R6" s="319">
        <f t="shared" ref="R6:R14" si="7">R5*1.05</f>
        <v>0</v>
      </c>
      <c r="S6" s="319">
        <f t="shared" ref="S6:S14" si="8">R5*0.05</f>
        <v>0</v>
      </c>
      <c r="U6" s="322" t="s">
        <v>32</v>
      </c>
      <c r="V6" s="319">
        <f t="shared" ref="V6:V14" si="9">V5*1.05</f>
        <v>231</v>
      </c>
      <c r="W6" s="319">
        <f t="shared" ref="W6:W14" si="10">V5*0.05</f>
        <v>11</v>
      </c>
      <c r="Y6" s="322" t="s">
        <v>32</v>
      </c>
      <c r="Z6" s="319">
        <f t="shared" ref="Z6:Z14" si="11">Z5*1.05</f>
        <v>231</v>
      </c>
      <c r="AA6" s="319">
        <f t="shared" ref="AA6:AA14" si="12">Z5*0.05</f>
        <v>11</v>
      </c>
      <c r="AC6" s="322" t="s">
        <v>32</v>
      </c>
      <c r="AD6" s="319">
        <f t="shared" ref="AD6:AD14" si="13">AD5*1.05</f>
        <v>231</v>
      </c>
      <c r="AE6" s="319">
        <f t="shared" ref="AE6:AE14" si="14">AD5*0.05</f>
        <v>11</v>
      </c>
      <c r="AG6" s="322" t="s">
        <v>35</v>
      </c>
      <c r="AH6" s="319">
        <f t="shared" ref="AH6:AH14" si="15">AH5*1.05</f>
        <v>0</v>
      </c>
      <c r="AI6" s="319">
        <f t="shared" ref="AI6:AI14" si="16">AH5*0.05</f>
        <v>0</v>
      </c>
      <c r="AK6" s="322" t="s">
        <v>35</v>
      </c>
      <c r="AL6" s="319">
        <f t="shared" ref="AL6:AL14" si="17">AL5*1.05</f>
        <v>0</v>
      </c>
      <c r="AM6" s="319">
        <f t="shared" ref="AM6:AM14" si="18">AL5*0.05</f>
        <v>0</v>
      </c>
      <c r="AO6" s="322" t="s">
        <v>35</v>
      </c>
      <c r="AP6" s="319">
        <f t="shared" ref="AP6:AP14" si="19">AP5*1.05</f>
        <v>0</v>
      </c>
      <c r="AQ6" s="319">
        <f t="shared" ref="AQ6:AQ14" si="20">AP5*0.05</f>
        <v>0</v>
      </c>
      <c r="AS6" s="322" t="s">
        <v>35</v>
      </c>
      <c r="AT6" s="319">
        <f t="shared" ref="AT6:AT14" si="21">AT5*1.05</f>
        <v>0</v>
      </c>
      <c r="AU6" s="319">
        <f t="shared" ref="AU6:AU14" si="22">AT5*0.05</f>
        <v>0</v>
      </c>
      <c r="AW6" s="322" t="s">
        <v>35</v>
      </c>
      <c r="AX6" s="319">
        <f t="shared" ref="AX6:AX14" si="23">AX5*1.05</f>
        <v>0</v>
      </c>
      <c r="AY6" s="319">
        <f t="shared" ref="AY6:AY14" si="24">AX5*0.05</f>
        <v>0</v>
      </c>
    </row>
    <row r="7" ht="14.25" customHeight="1">
      <c r="E7" s="322" t="s">
        <v>35</v>
      </c>
      <c r="F7" s="319">
        <f t="shared" si="1"/>
        <v>242.55</v>
      </c>
      <c r="G7" s="319">
        <f t="shared" si="2"/>
        <v>11.55</v>
      </c>
      <c r="H7" s="320"/>
      <c r="I7" s="322" t="s">
        <v>35</v>
      </c>
      <c r="J7" s="319">
        <f t="shared" si="3"/>
        <v>606.375</v>
      </c>
      <c r="K7" s="321">
        <f t="shared" si="4"/>
        <v>28.875</v>
      </c>
      <c r="L7" s="320"/>
      <c r="M7" s="322" t="s">
        <v>35</v>
      </c>
      <c r="N7" s="319">
        <f t="shared" si="5"/>
        <v>242.55</v>
      </c>
      <c r="O7" s="319">
        <f t="shared" si="6"/>
        <v>11.55</v>
      </c>
      <c r="Q7" s="322" t="s">
        <v>35</v>
      </c>
      <c r="R7" s="319">
        <f t="shared" si="7"/>
        <v>0</v>
      </c>
      <c r="S7" s="319">
        <f t="shared" si="8"/>
        <v>0</v>
      </c>
      <c r="U7" s="322" t="s">
        <v>35</v>
      </c>
      <c r="V7" s="319">
        <f t="shared" si="9"/>
        <v>242.55</v>
      </c>
      <c r="W7" s="319">
        <f t="shared" si="10"/>
        <v>11.55</v>
      </c>
      <c r="Y7" s="322" t="s">
        <v>35</v>
      </c>
      <c r="Z7" s="319">
        <f t="shared" si="11"/>
        <v>242.55</v>
      </c>
      <c r="AA7" s="319">
        <f t="shared" si="12"/>
        <v>11.55</v>
      </c>
      <c r="AC7" s="322" t="s">
        <v>35</v>
      </c>
      <c r="AD7" s="319">
        <f t="shared" si="13"/>
        <v>242.55</v>
      </c>
      <c r="AE7" s="319">
        <f t="shared" si="14"/>
        <v>11.55</v>
      </c>
      <c r="AG7" s="322" t="s">
        <v>36</v>
      </c>
      <c r="AH7" s="319">
        <f t="shared" si="15"/>
        <v>0</v>
      </c>
      <c r="AI7" s="319">
        <f t="shared" si="16"/>
        <v>0</v>
      </c>
      <c r="AK7" s="322" t="s">
        <v>36</v>
      </c>
      <c r="AL7" s="319">
        <f t="shared" si="17"/>
        <v>0</v>
      </c>
      <c r="AM7" s="319">
        <f t="shared" si="18"/>
        <v>0</v>
      </c>
      <c r="AO7" s="322" t="s">
        <v>36</v>
      </c>
      <c r="AP7" s="319">
        <f t="shared" si="19"/>
        <v>0</v>
      </c>
      <c r="AQ7" s="319">
        <f t="shared" si="20"/>
        <v>0</v>
      </c>
      <c r="AS7" s="322" t="s">
        <v>36</v>
      </c>
      <c r="AT7" s="319">
        <f t="shared" si="21"/>
        <v>0</v>
      </c>
      <c r="AU7" s="319">
        <f t="shared" si="22"/>
        <v>0</v>
      </c>
      <c r="AW7" s="322" t="s">
        <v>36</v>
      </c>
      <c r="AX7" s="319">
        <f t="shared" si="23"/>
        <v>0</v>
      </c>
      <c r="AY7" s="319">
        <f t="shared" si="24"/>
        <v>0</v>
      </c>
    </row>
    <row r="8" ht="14.25" customHeight="1">
      <c r="E8" s="322" t="s">
        <v>36</v>
      </c>
      <c r="F8" s="319">
        <f t="shared" si="1"/>
        <v>254.6775</v>
      </c>
      <c r="G8" s="319">
        <f t="shared" si="2"/>
        <v>12.1275</v>
      </c>
      <c r="H8" s="320"/>
      <c r="I8" s="322" t="s">
        <v>36</v>
      </c>
      <c r="J8" s="319">
        <f t="shared" si="3"/>
        <v>636.69375</v>
      </c>
      <c r="K8" s="321">
        <f t="shared" si="4"/>
        <v>30.31875</v>
      </c>
      <c r="L8" s="320"/>
      <c r="M8" s="322" t="s">
        <v>36</v>
      </c>
      <c r="N8" s="319">
        <f t="shared" si="5"/>
        <v>254.6775</v>
      </c>
      <c r="O8" s="319">
        <f t="shared" si="6"/>
        <v>12.1275</v>
      </c>
      <c r="Q8" s="322" t="s">
        <v>36</v>
      </c>
      <c r="R8" s="319">
        <f t="shared" si="7"/>
        <v>0</v>
      </c>
      <c r="S8" s="319">
        <f t="shared" si="8"/>
        <v>0</v>
      </c>
      <c r="U8" s="322" t="s">
        <v>36</v>
      </c>
      <c r="V8" s="319">
        <f t="shared" si="9"/>
        <v>254.6775</v>
      </c>
      <c r="W8" s="319">
        <f t="shared" si="10"/>
        <v>12.1275</v>
      </c>
      <c r="Y8" s="322" t="s">
        <v>36</v>
      </c>
      <c r="Z8" s="319">
        <f t="shared" si="11"/>
        <v>254.6775</v>
      </c>
      <c r="AA8" s="319">
        <f t="shared" si="12"/>
        <v>12.1275</v>
      </c>
      <c r="AC8" s="322" t="s">
        <v>36</v>
      </c>
      <c r="AD8" s="319">
        <f t="shared" si="13"/>
        <v>254.6775</v>
      </c>
      <c r="AE8" s="319">
        <f t="shared" si="14"/>
        <v>12.1275</v>
      </c>
      <c r="AG8" s="322" t="s">
        <v>37</v>
      </c>
      <c r="AH8" s="319">
        <f t="shared" si="15"/>
        <v>0</v>
      </c>
      <c r="AI8" s="319">
        <f t="shared" si="16"/>
        <v>0</v>
      </c>
      <c r="AK8" s="322" t="s">
        <v>37</v>
      </c>
      <c r="AL8" s="319">
        <f t="shared" si="17"/>
        <v>0</v>
      </c>
      <c r="AM8" s="319">
        <f t="shared" si="18"/>
        <v>0</v>
      </c>
      <c r="AO8" s="322" t="s">
        <v>37</v>
      </c>
      <c r="AP8" s="319">
        <f t="shared" si="19"/>
        <v>0</v>
      </c>
      <c r="AQ8" s="319">
        <f t="shared" si="20"/>
        <v>0</v>
      </c>
      <c r="AS8" s="322" t="s">
        <v>37</v>
      </c>
      <c r="AT8" s="319">
        <f t="shared" si="21"/>
        <v>0</v>
      </c>
      <c r="AU8" s="319">
        <f t="shared" si="22"/>
        <v>0</v>
      </c>
      <c r="AW8" s="322" t="s">
        <v>37</v>
      </c>
      <c r="AX8" s="319">
        <f t="shared" si="23"/>
        <v>0</v>
      </c>
      <c r="AY8" s="319">
        <f t="shared" si="24"/>
        <v>0</v>
      </c>
    </row>
    <row r="9" ht="14.25" customHeight="1">
      <c r="E9" s="322" t="s">
        <v>37</v>
      </c>
      <c r="F9" s="319">
        <f t="shared" si="1"/>
        <v>267.411375</v>
      </c>
      <c r="G9" s="319">
        <f t="shared" si="2"/>
        <v>12.733875</v>
      </c>
      <c r="H9" s="320"/>
      <c r="I9" s="322" t="s">
        <v>37</v>
      </c>
      <c r="J9" s="319">
        <f t="shared" si="3"/>
        <v>668.5284375</v>
      </c>
      <c r="K9" s="321">
        <f t="shared" si="4"/>
        <v>31.8346875</v>
      </c>
      <c r="L9" s="320"/>
      <c r="M9" s="322" t="s">
        <v>37</v>
      </c>
      <c r="N9" s="319">
        <f t="shared" si="5"/>
        <v>267.411375</v>
      </c>
      <c r="O9" s="319">
        <f t="shared" si="6"/>
        <v>12.733875</v>
      </c>
      <c r="Q9" s="322" t="s">
        <v>37</v>
      </c>
      <c r="R9" s="319">
        <f t="shared" si="7"/>
        <v>0</v>
      </c>
      <c r="S9" s="319">
        <f t="shared" si="8"/>
        <v>0</v>
      </c>
      <c r="U9" s="322" t="s">
        <v>37</v>
      </c>
      <c r="V9" s="319">
        <f t="shared" si="9"/>
        <v>267.411375</v>
      </c>
      <c r="W9" s="319">
        <f t="shared" si="10"/>
        <v>12.733875</v>
      </c>
      <c r="Y9" s="322" t="s">
        <v>37</v>
      </c>
      <c r="Z9" s="319">
        <f t="shared" si="11"/>
        <v>267.411375</v>
      </c>
      <c r="AA9" s="319">
        <f t="shared" si="12"/>
        <v>12.733875</v>
      </c>
      <c r="AC9" s="322" t="s">
        <v>37</v>
      </c>
      <c r="AD9" s="319">
        <f t="shared" si="13"/>
        <v>267.411375</v>
      </c>
      <c r="AE9" s="319">
        <f t="shared" si="14"/>
        <v>12.733875</v>
      </c>
      <c r="AG9" s="322" t="s">
        <v>38</v>
      </c>
      <c r="AH9" s="319">
        <f t="shared" si="15"/>
        <v>0</v>
      </c>
      <c r="AI9" s="319">
        <f t="shared" si="16"/>
        <v>0</v>
      </c>
      <c r="AK9" s="322" t="s">
        <v>38</v>
      </c>
      <c r="AL9" s="319">
        <f t="shared" si="17"/>
        <v>0</v>
      </c>
      <c r="AM9" s="319">
        <f t="shared" si="18"/>
        <v>0</v>
      </c>
      <c r="AO9" s="322" t="s">
        <v>38</v>
      </c>
      <c r="AP9" s="319">
        <f t="shared" si="19"/>
        <v>0</v>
      </c>
      <c r="AQ9" s="319">
        <f t="shared" si="20"/>
        <v>0</v>
      </c>
      <c r="AS9" s="322" t="s">
        <v>38</v>
      </c>
      <c r="AT9" s="319">
        <f t="shared" si="21"/>
        <v>0</v>
      </c>
      <c r="AU9" s="319">
        <f t="shared" si="22"/>
        <v>0</v>
      </c>
      <c r="AW9" s="322" t="s">
        <v>38</v>
      </c>
      <c r="AX9" s="319">
        <f t="shared" si="23"/>
        <v>0</v>
      </c>
      <c r="AY9" s="319">
        <f t="shared" si="24"/>
        <v>0</v>
      </c>
    </row>
    <row r="10" ht="14.25" customHeight="1">
      <c r="E10" s="322" t="s">
        <v>38</v>
      </c>
      <c r="F10" s="319">
        <f t="shared" si="1"/>
        <v>280.7819438</v>
      </c>
      <c r="G10" s="319">
        <f t="shared" si="2"/>
        <v>13.37056875</v>
      </c>
      <c r="H10" s="320"/>
      <c r="I10" s="322" t="s">
        <v>38</v>
      </c>
      <c r="J10" s="319">
        <f t="shared" si="3"/>
        <v>701.9548594</v>
      </c>
      <c r="K10" s="321">
        <f t="shared" si="4"/>
        <v>33.42642188</v>
      </c>
      <c r="L10" s="320"/>
      <c r="M10" s="322" t="s">
        <v>38</v>
      </c>
      <c r="N10" s="319">
        <f t="shared" si="5"/>
        <v>280.7819438</v>
      </c>
      <c r="O10" s="319">
        <f t="shared" si="6"/>
        <v>13.37056875</v>
      </c>
      <c r="Q10" s="322" t="s">
        <v>38</v>
      </c>
      <c r="R10" s="319">
        <f t="shared" si="7"/>
        <v>0</v>
      </c>
      <c r="S10" s="319">
        <f t="shared" si="8"/>
        <v>0</v>
      </c>
      <c r="U10" s="322" t="s">
        <v>38</v>
      </c>
      <c r="V10" s="319">
        <f t="shared" si="9"/>
        <v>280.7819438</v>
      </c>
      <c r="W10" s="319">
        <f t="shared" si="10"/>
        <v>13.37056875</v>
      </c>
      <c r="Y10" s="322" t="s">
        <v>38</v>
      </c>
      <c r="Z10" s="319">
        <f t="shared" si="11"/>
        <v>280.7819438</v>
      </c>
      <c r="AA10" s="319">
        <f t="shared" si="12"/>
        <v>13.37056875</v>
      </c>
      <c r="AC10" s="322" t="s">
        <v>38</v>
      </c>
      <c r="AD10" s="319">
        <f t="shared" si="13"/>
        <v>280.7819438</v>
      </c>
      <c r="AE10" s="319">
        <f t="shared" si="14"/>
        <v>13.37056875</v>
      </c>
      <c r="AG10" s="322" t="s">
        <v>39</v>
      </c>
      <c r="AH10" s="319">
        <f t="shared" si="15"/>
        <v>0</v>
      </c>
      <c r="AI10" s="319">
        <f t="shared" si="16"/>
        <v>0</v>
      </c>
      <c r="AK10" s="322" t="s">
        <v>39</v>
      </c>
      <c r="AL10" s="319">
        <f t="shared" si="17"/>
        <v>0</v>
      </c>
      <c r="AM10" s="319">
        <f t="shared" si="18"/>
        <v>0</v>
      </c>
      <c r="AO10" s="322" t="s">
        <v>39</v>
      </c>
      <c r="AP10" s="319">
        <f t="shared" si="19"/>
        <v>0</v>
      </c>
      <c r="AQ10" s="319">
        <f t="shared" si="20"/>
        <v>0</v>
      </c>
      <c r="AS10" s="322" t="s">
        <v>39</v>
      </c>
      <c r="AT10" s="319">
        <f t="shared" si="21"/>
        <v>0</v>
      </c>
      <c r="AU10" s="319">
        <f t="shared" si="22"/>
        <v>0</v>
      </c>
      <c r="AW10" s="322" t="s">
        <v>39</v>
      </c>
      <c r="AX10" s="319">
        <f t="shared" si="23"/>
        <v>0</v>
      </c>
      <c r="AY10" s="319">
        <f t="shared" si="24"/>
        <v>0</v>
      </c>
    </row>
    <row r="11" ht="14.25" customHeight="1">
      <c r="E11" s="322" t="s">
        <v>39</v>
      </c>
      <c r="F11" s="319">
        <f t="shared" si="1"/>
        <v>294.8210409</v>
      </c>
      <c r="G11" s="319">
        <f t="shared" si="2"/>
        <v>14.03909719</v>
      </c>
      <c r="H11" s="320"/>
      <c r="I11" s="322" t="s">
        <v>39</v>
      </c>
      <c r="J11" s="319">
        <f t="shared" si="3"/>
        <v>737.0526023</v>
      </c>
      <c r="K11" s="321">
        <f t="shared" si="4"/>
        <v>35.09774297</v>
      </c>
      <c r="L11" s="320"/>
      <c r="M11" s="322" t="s">
        <v>39</v>
      </c>
      <c r="N11" s="319">
        <f t="shared" si="5"/>
        <v>294.8210409</v>
      </c>
      <c r="O11" s="319">
        <f t="shared" si="6"/>
        <v>14.03909719</v>
      </c>
      <c r="Q11" s="322" t="s">
        <v>39</v>
      </c>
      <c r="R11" s="319">
        <f t="shared" si="7"/>
        <v>0</v>
      </c>
      <c r="S11" s="319">
        <f t="shared" si="8"/>
        <v>0</v>
      </c>
      <c r="U11" s="322" t="s">
        <v>39</v>
      </c>
      <c r="V11" s="319">
        <f t="shared" si="9"/>
        <v>294.8210409</v>
      </c>
      <c r="W11" s="319">
        <f t="shared" si="10"/>
        <v>14.03909719</v>
      </c>
      <c r="Y11" s="322" t="s">
        <v>39</v>
      </c>
      <c r="Z11" s="319">
        <f t="shared" si="11"/>
        <v>294.8210409</v>
      </c>
      <c r="AA11" s="319">
        <f t="shared" si="12"/>
        <v>14.03909719</v>
      </c>
      <c r="AC11" s="322" t="s">
        <v>39</v>
      </c>
      <c r="AD11" s="319">
        <f t="shared" si="13"/>
        <v>294.8210409</v>
      </c>
      <c r="AE11" s="319">
        <f t="shared" si="14"/>
        <v>14.03909719</v>
      </c>
      <c r="AG11" s="322" t="s">
        <v>40</v>
      </c>
      <c r="AH11" s="319">
        <f t="shared" si="15"/>
        <v>0</v>
      </c>
      <c r="AI11" s="319">
        <f t="shared" si="16"/>
        <v>0</v>
      </c>
      <c r="AK11" s="322" t="s">
        <v>40</v>
      </c>
      <c r="AL11" s="319">
        <f t="shared" si="17"/>
        <v>0</v>
      </c>
      <c r="AM11" s="319">
        <f t="shared" si="18"/>
        <v>0</v>
      </c>
      <c r="AO11" s="322" t="s">
        <v>40</v>
      </c>
      <c r="AP11" s="319">
        <f t="shared" si="19"/>
        <v>0</v>
      </c>
      <c r="AQ11" s="319">
        <f t="shared" si="20"/>
        <v>0</v>
      </c>
      <c r="AS11" s="322" t="s">
        <v>40</v>
      </c>
      <c r="AT11" s="319">
        <f t="shared" si="21"/>
        <v>0</v>
      </c>
      <c r="AU11" s="319">
        <f t="shared" si="22"/>
        <v>0</v>
      </c>
      <c r="AW11" s="322" t="s">
        <v>40</v>
      </c>
      <c r="AX11" s="319">
        <f t="shared" si="23"/>
        <v>0</v>
      </c>
      <c r="AY11" s="319">
        <f t="shared" si="24"/>
        <v>0</v>
      </c>
    </row>
    <row r="12" ht="14.25" customHeight="1">
      <c r="E12" s="322" t="s">
        <v>40</v>
      </c>
      <c r="F12" s="319">
        <f t="shared" si="1"/>
        <v>309.562093</v>
      </c>
      <c r="G12" s="319">
        <f t="shared" si="2"/>
        <v>14.74105205</v>
      </c>
      <c r="H12" s="320"/>
      <c r="I12" s="322" t="s">
        <v>40</v>
      </c>
      <c r="J12" s="319">
        <f t="shared" si="3"/>
        <v>773.9052325</v>
      </c>
      <c r="K12" s="321">
        <f t="shared" si="4"/>
        <v>36.85263012</v>
      </c>
      <c r="L12" s="320"/>
      <c r="M12" s="322" t="s">
        <v>40</v>
      </c>
      <c r="N12" s="319">
        <f t="shared" si="5"/>
        <v>309.562093</v>
      </c>
      <c r="O12" s="319">
        <f t="shared" si="6"/>
        <v>14.74105205</v>
      </c>
      <c r="Q12" s="322" t="s">
        <v>40</v>
      </c>
      <c r="R12" s="319">
        <f t="shared" si="7"/>
        <v>0</v>
      </c>
      <c r="S12" s="319">
        <f t="shared" si="8"/>
        <v>0</v>
      </c>
      <c r="U12" s="322" t="s">
        <v>40</v>
      </c>
      <c r="V12" s="319">
        <f t="shared" si="9"/>
        <v>309.562093</v>
      </c>
      <c r="W12" s="319">
        <f t="shared" si="10"/>
        <v>14.74105205</v>
      </c>
      <c r="Y12" s="322" t="s">
        <v>40</v>
      </c>
      <c r="Z12" s="319">
        <f t="shared" si="11"/>
        <v>309.562093</v>
      </c>
      <c r="AA12" s="319">
        <f t="shared" si="12"/>
        <v>14.74105205</v>
      </c>
      <c r="AC12" s="322" t="s">
        <v>40</v>
      </c>
      <c r="AD12" s="319">
        <f t="shared" si="13"/>
        <v>309.562093</v>
      </c>
      <c r="AE12" s="319">
        <f t="shared" si="14"/>
        <v>14.74105205</v>
      </c>
      <c r="AG12" s="322" t="s">
        <v>41</v>
      </c>
      <c r="AH12" s="319">
        <f t="shared" si="15"/>
        <v>0</v>
      </c>
      <c r="AI12" s="319">
        <f t="shared" si="16"/>
        <v>0</v>
      </c>
      <c r="AK12" s="322" t="s">
        <v>41</v>
      </c>
      <c r="AL12" s="319">
        <f t="shared" si="17"/>
        <v>0</v>
      </c>
      <c r="AM12" s="319">
        <f t="shared" si="18"/>
        <v>0</v>
      </c>
      <c r="AO12" s="322" t="s">
        <v>41</v>
      </c>
      <c r="AP12" s="319">
        <f t="shared" si="19"/>
        <v>0</v>
      </c>
      <c r="AQ12" s="319">
        <f t="shared" si="20"/>
        <v>0</v>
      </c>
      <c r="AS12" s="322" t="s">
        <v>41</v>
      </c>
      <c r="AT12" s="319">
        <f t="shared" si="21"/>
        <v>0</v>
      </c>
      <c r="AU12" s="319">
        <f t="shared" si="22"/>
        <v>0</v>
      </c>
      <c r="AW12" s="322" t="s">
        <v>41</v>
      </c>
      <c r="AX12" s="319">
        <f t="shared" si="23"/>
        <v>0</v>
      </c>
      <c r="AY12" s="319">
        <f t="shared" si="24"/>
        <v>0</v>
      </c>
    </row>
    <row r="13" ht="14.25" customHeight="1">
      <c r="E13" s="322" t="s">
        <v>41</v>
      </c>
      <c r="F13" s="319">
        <f t="shared" si="1"/>
        <v>325.0401976</v>
      </c>
      <c r="G13" s="319">
        <f t="shared" si="2"/>
        <v>15.47810465</v>
      </c>
      <c r="H13" s="320"/>
      <c r="I13" s="322" t="s">
        <v>41</v>
      </c>
      <c r="J13" s="319">
        <f t="shared" si="3"/>
        <v>812.6004941</v>
      </c>
      <c r="K13" s="321">
        <f t="shared" si="4"/>
        <v>38.69526162</v>
      </c>
      <c r="L13" s="320"/>
      <c r="M13" s="322" t="s">
        <v>41</v>
      </c>
      <c r="N13" s="319">
        <f t="shared" si="5"/>
        <v>325.0401976</v>
      </c>
      <c r="O13" s="319">
        <f t="shared" si="6"/>
        <v>15.47810465</v>
      </c>
      <c r="Q13" s="322" t="s">
        <v>41</v>
      </c>
      <c r="R13" s="319">
        <f t="shared" si="7"/>
        <v>0</v>
      </c>
      <c r="S13" s="319">
        <f t="shared" si="8"/>
        <v>0</v>
      </c>
      <c r="U13" s="322" t="s">
        <v>41</v>
      </c>
      <c r="V13" s="319">
        <f t="shared" si="9"/>
        <v>325.0401976</v>
      </c>
      <c r="W13" s="319">
        <f t="shared" si="10"/>
        <v>15.47810465</v>
      </c>
      <c r="Y13" s="322" t="s">
        <v>41</v>
      </c>
      <c r="Z13" s="319">
        <f t="shared" si="11"/>
        <v>325.0401976</v>
      </c>
      <c r="AA13" s="319">
        <f t="shared" si="12"/>
        <v>15.47810465</v>
      </c>
      <c r="AC13" s="322" t="s">
        <v>41</v>
      </c>
      <c r="AD13" s="319">
        <f t="shared" si="13"/>
        <v>325.0401976</v>
      </c>
      <c r="AE13" s="319">
        <f t="shared" si="14"/>
        <v>15.47810465</v>
      </c>
      <c r="AG13" s="322" t="s">
        <v>42</v>
      </c>
      <c r="AH13" s="319">
        <f t="shared" si="15"/>
        <v>0</v>
      </c>
      <c r="AI13" s="319">
        <f t="shared" si="16"/>
        <v>0</v>
      </c>
      <c r="AK13" s="322" t="s">
        <v>42</v>
      </c>
      <c r="AL13" s="319">
        <f t="shared" si="17"/>
        <v>0</v>
      </c>
      <c r="AM13" s="319">
        <f t="shared" si="18"/>
        <v>0</v>
      </c>
      <c r="AO13" s="322" t="s">
        <v>42</v>
      </c>
      <c r="AP13" s="319">
        <f t="shared" si="19"/>
        <v>0</v>
      </c>
      <c r="AQ13" s="319">
        <f t="shared" si="20"/>
        <v>0</v>
      </c>
      <c r="AS13" s="322" t="s">
        <v>42</v>
      </c>
      <c r="AT13" s="319">
        <f t="shared" si="21"/>
        <v>0</v>
      </c>
      <c r="AU13" s="319">
        <f t="shared" si="22"/>
        <v>0</v>
      </c>
      <c r="AW13" s="322" t="s">
        <v>42</v>
      </c>
      <c r="AX13" s="319">
        <f t="shared" si="23"/>
        <v>0</v>
      </c>
      <c r="AY13" s="319">
        <f t="shared" si="24"/>
        <v>0</v>
      </c>
    </row>
    <row r="14" ht="14.25" customHeight="1">
      <c r="E14" s="322" t="s">
        <v>42</v>
      </c>
      <c r="F14" s="319">
        <f t="shared" si="1"/>
        <v>341.2922075</v>
      </c>
      <c r="G14" s="319">
        <f t="shared" si="2"/>
        <v>16.25200988</v>
      </c>
      <c r="H14" s="320"/>
      <c r="I14" s="322" t="s">
        <v>42</v>
      </c>
      <c r="J14" s="319">
        <f t="shared" si="3"/>
        <v>853.2305188</v>
      </c>
      <c r="K14" s="321">
        <f t="shared" si="4"/>
        <v>40.6300247</v>
      </c>
      <c r="L14" s="320"/>
      <c r="M14" s="322" t="s">
        <v>42</v>
      </c>
      <c r="N14" s="319">
        <f t="shared" si="5"/>
        <v>341.2922075</v>
      </c>
      <c r="O14" s="319">
        <f t="shared" si="6"/>
        <v>16.25200988</v>
      </c>
      <c r="Q14" s="322" t="s">
        <v>42</v>
      </c>
      <c r="R14" s="319">
        <f t="shared" si="7"/>
        <v>0</v>
      </c>
      <c r="S14" s="319">
        <f t="shared" si="8"/>
        <v>0</v>
      </c>
      <c r="U14" s="322" t="s">
        <v>42</v>
      </c>
      <c r="V14" s="319">
        <f t="shared" si="9"/>
        <v>341.2922075</v>
      </c>
      <c r="W14" s="319">
        <f t="shared" si="10"/>
        <v>16.25200988</v>
      </c>
      <c r="Y14" s="322" t="s">
        <v>42</v>
      </c>
      <c r="Z14" s="319">
        <f t="shared" si="11"/>
        <v>341.2922075</v>
      </c>
      <c r="AA14" s="319">
        <f t="shared" si="12"/>
        <v>16.25200988</v>
      </c>
      <c r="AC14" s="322" t="s">
        <v>42</v>
      </c>
      <c r="AD14" s="319">
        <f t="shared" si="13"/>
        <v>341.2922075</v>
      </c>
      <c r="AE14" s="319">
        <f t="shared" si="14"/>
        <v>16.25200988</v>
      </c>
      <c r="AG14" s="322" t="s">
        <v>43</v>
      </c>
      <c r="AH14" s="319">
        <f t="shared" si="15"/>
        <v>0</v>
      </c>
      <c r="AI14" s="319">
        <f t="shared" si="16"/>
        <v>0</v>
      </c>
      <c r="AK14" s="322" t="s">
        <v>43</v>
      </c>
      <c r="AL14" s="319">
        <f t="shared" si="17"/>
        <v>0</v>
      </c>
      <c r="AM14" s="319">
        <f t="shared" si="18"/>
        <v>0</v>
      </c>
      <c r="AO14" s="322" t="s">
        <v>43</v>
      </c>
      <c r="AP14" s="319">
        <f t="shared" si="19"/>
        <v>0</v>
      </c>
      <c r="AQ14" s="319">
        <f t="shared" si="20"/>
        <v>0</v>
      </c>
      <c r="AS14" s="322" t="s">
        <v>43</v>
      </c>
      <c r="AT14" s="319">
        <f t="shared" si="21"/>
        <v>0</v>
      </c>
      <c r="AU14" s="319">
        <f t="shared" si="22"/>
        <v>0</v>
      </c>
      <c r="AW14" s="322" t="s">
        <v>43</v>
      </c>
      <c r="AX14" s="319">
        <f t="shared" si="23"/>
        <v>0</v>
      </c>
      <c r="AY14" s="319">
        <f t="shared" si="24"/>
        <v>0</v>
      </c>
    </row>
    <row r="15" ht="14.25" customHeight="1">
      <c r="E15" s="312"/>
      <c r="F15" s="314"/>
      <c r="G15" s="317"/>
      <c r="H15" s="315"/>
      <c r="I15" s="316"/>
      <c r="J15" s="314"/>
      <c r="K15" s="317"/>
      <c r="L15" s="315"/>
      <c r="M15" s="316"/>
      <c r="N15" s="314"/>
      <c r="O15" s="314"/>
      <c r="Q15" s="312"/>
      <c r="R15" s="314"/>
      <c r="S15" s="314"/>
      <c r="U15" s="312"/>
      <c r="V15" s="314"/>
      <c r="W15" s="314"/>
      <c r="Y15" s="312"/>
      <c r="Z15" s="314"/>
      <c r="AA15" s="314"/>
      <c r="AC15" s="312"/>
      <c r="AD15" s="314"/>
      <c r="AE15" s="314"/>
      <c r="AG15" s="312"/>
      <c r="AH15" s="314"/>
      <c r="AI15" s="314"/>
      <c r="AK15" s="312"/>
      <c r="AL15" s="314"/>
      <c r="AM15" s="314"/>
      <c r="AO15" s="312"/>
      <c r="AP15" s="314"/>
      <c r="AQ15" s="314"/>
      <c r="AS15" s="312"/>
      <c r="AT15" s="314"/>
      <c r="AU15" s="314"/>
      <c r="AW15" s="312"/>
      <c r="AX15" s="314"/>
      <c r="AY15" s="314"/>
    </row>
    <row r="16" ht="14.25" customHeight="1">
      <c r="E16" s="322" t="s">
        <v>34</v>
      </c>
      <c r="F16" s="319">
        <f>SHARES!K3</f>
        <v>400</v>
      </c>
      <c r="G16" s="321"/>
      <c r="H16" s="320"/>
      <c r="I16" s="323" t="s">
        <v>32</v>
      </c>
      <c r="J16" s="319">
        <f>SHARES!K4</f>
        <v>400</v>
      </c>
      <c r="K16" s="321"/>
      <c r="L16" s="320"/>
      <c r="M16" s="323" t="s">
        <v>32</v>
      </c>
      <c r="N16" s="319">
        <f>SHARES!K5</f>
        <v>200</v>
      </c>
      <c r="O16" s="319"/>
      <c r="Q16" s="322" t="s">
        <v>32</v>
      </c>
      <c r="R16" s="324">
        <f>SHARES!K6</f>
        <v>200</v>
      </c>
      <c r="S16" s="319"/>
      <c r="U16" s="322" t="s">
        <v>32</v>
      </c>
      <c r="V16" s="319">
        <f>SHARES!K7</f>
        <v>200</v>
      </c>
      <c r="W16" s="319"/>
      <c r="Y16" s="322" t="s">
        <v>32</v>
      </c>
      <c r="Z16" s="319">
        <f>SHARES!K8</f>
        <v>200</v>
      </c>
      <c r="AA16" s="319"/>
      <c r="AC16" s="322" t="s">
        <v>32</v>
      </c>
      <c r="AD16" s="319">
        <f>SHARES!K9</f>
        <v>200</v>
      </c>
      <c r="AE16" s="319"/>
      <c r="AG16" s="322" t="s">
        <v>32</v>
      </c>
      <c r="AH16" s="319">
        <f>SHARES!K10</f>
        <v>0</v>
      </c>
      <c r="AI16" s="319"/>
      <c r="AK16" s="322" t="s">
        <v>32</v>
      </c>
      <c r="AL16" s="319">
        <f>SHARES!K11</f>
        <v>200</v>
      </c>
      <c r="AM16" s="319"/>
      <c r="AO16" s="322" t="s">
        <v>32</v>
      </c>
      <c r="AP16" s="319">
        <f>SHARES!K12</f>
        <v>0</v>
      </c>
      <c r="AQ16" s="319"/>
      <c r="AS16" s="322" t="s">
        <v>32</v>
      </c>
      <c r="AT16" s="319">
        <f>SHARES!K13</f>
        <v>0</v>
      </c>
      <c r="AU16" s="319"/>
      <c r="AW16" s="322" t="s">
        <v>32</v>
      </c>
      <c r="AX16" s="319" t="str">
        <f>SHARES!K14</f>
        <v/>
      </c>
      <c r="AY16" s="319"/>
    </row>
    <row r="17" ht="14.25" customHeight="1">
      <c r="E17" s="322" t="s">
        <v>32</v>
      </c>
      <c r="F17" s="319">
        <f>F16*1.1</f>
        <v>440</v>
      </c>
      <c r="G17" s="321">
        <f>F16*0.1</f>
        <v>40</v>
      </c>
      <c r="H17" s="320"/>
      <c r="I17" s="323" t="s">
        <v>35</v>
      </c>
      <c r="J17" s="319">
        <f>J16*1.1</f>
        <v>440</v>
      </c>
      <c r="K17" s="321">
        <f>J16*0.1</f>
        <v>40</v>
      </c>
      <c r="L17" s="320"/>
      <c r="M17" s="323" t="s">
        <v>35</v>
      </c>
      <c r="N17" s="319">
        <f>N16*1.1</f>
        <v>220</v>
      </c>
      <c r="O17" s="319">
        <f>N16*0.1</f>
        <v>20</v>
      </c>
      <c r="Q17" s="322" t="s">
        <v>35</v>
      </c>
      <c r="R17" s="319">
        <f>R16*1.1</f>
        <v>220</v>
      </c>
      <c r="S17" s="319">
        <f>R16*0.1</f>
        <v>20</v>
      </c>
      <c r="U17" s="322" t="s">
        <v>35</v>
      </c>
      <c r="V17" s="319">
        <f>V16*1.1</f>
        <v>220</v>
      </c>
      <c r="W17" s="319">
        <f>V16*0.1</f>
        <v>20</v>
      </c>
      <c r="Y17" s="322" t="s">
        <v>35</v>
      </c>
      <c r="Z17" s="319">
        <f>Z16*1.1</f>
        <v>220</v>
      </c>
      <c r="AA17" s="319">
        <f>Z16*0.1</f>
        <v>20</v>
      </c>
      <c r="AC17" s="322" t="s">
        <v>35</v>
      </c>
      <c r="AD17" s="319">
        <f>AD16*1.1</f>
        <v>220</v>
      </c>
      <c r="AE17" s="319">
        <f>AD16*0.1</f>
        <v>20</v>
      </c>
      <c r="AG17" s="322" t="s">
        <v>35</v>
      </c>
      <c r="AH17" s="319">
        <f>AH16*1.1</f>
        <v>0</v>
      </c>
      <c r="AI17" s="319">
        <f>AH16*0.1</f>
        <v>0</v>
      </c>
      <c r="AK17" s="322" t="s">
        <v>35</v>
      </c>
      <c r="AL17" s="319">
        <f>AL16*1.1</f>
        <v>220</v>
      </c>
      <c r="AM17" s="319">
        <f>AL16*0.1</f>
        <v>20</v>
      </c>
      <c r="AO17" s="322" t="s">
        <v>35</v>
      </c>
      <c r="AP17" s="319">
        <f>AP16*1.1</f>
        <v>0</v>
      </c>
      <c r="AQ17" s="319">
        <f>AP16*0.1</f>
        <v>0</v>
      </c>
      <c r="AS17" s="322" t="s">
        <v>35</v>
      </c>
      <c r="AT17" s="319">
        <f>AT16*1.1</f>
        <v>0</v>
      </c>
      <c r="AU17" s="319">
        <f>AT16*0.1</f>
        <v>0</v>
      </c>
      <c r="AW17" s="322" t="s">
        <v>35</v>
      </c>
      <c r="AX17" s="319">
        <f>AX16*1.1</f>
        <v>0</v>
      </c>
      <c r="AY17" s="319">
        <f>AX16*0.1</f>
        <v>0</v>
      </c>
    </row>
    <row r="18" ht="14.25" customHeight="1">
      <c r="E18" s="322" t="s">
        <v>35</v>
      </c>
      <c r="F18" s="319">
        <f t="shared" ref="F18:F25" si="25">F17*1.05</f>
        <v>462</v>
      </c>
      <c r="G18" s="321">
        <f t="shared" ref="G18:G25" si="26">F17*0.05</f>
        <v>22</v>
      </c>
      <c r="H18" s="320"/>
      <c r="I18" s="323" t="s">
        <v>36</v>
      </c>
      <c r="J18" s="319">
        <f t="shared" ref="J18:J25" si="27">J17*1.05</f>
        <v>462</v>
      </c>
      <c r="K18" s="321">
        <f t="shared" ref="K18:K25" si="28">J17*0.05</f>
        <v>22</v>
      </c>
      <c r="L18" s="320"/>
      <c r="M18" s="323" t="s">
        <v>36</v>
      </c>
      <c r="N18" s="319">
        <f t="shared" ref="N18:N25" si="29">N17*1.05</f>
        <v>231</v>
      </c>
      <c r="O18" s="319">
        <f t="shared" ref="O18:O25" si="30">N17*0.05</f>
        <v>11</v>
      </c>
      <c r="Q18" s="322" t="s">
        <v>36</v>
      </c>
      <c r="R18" s="319">
        <f t="shared" ref="R18:R25" si="31">R17*1.05</f>
        <v>231</v>
      </c>
      <c r="S18" s="319">
        <f t="shared" ref="S18:S25" si="32">R17*0.05</f>
        <v>11</v>
      </c>
      <c r="U18" s="322" t="s">
        <v>36</v>
      </c>
      <c r="V18" s="319">
        <f t="shared" ref="V18:V25" si="33">V17*1.05</f>
        <v>231</v>
      </c>
      <c r="W18" s="319">
        <f t="shared" ref="W18:W25" si="34">V17*0.05</f>
        <v>11</v>
      </c>
      <c r="Y18" s="322" t="s">
        <v>36</v>
      </c>
      <c r="Z18" s="319">
        <f t="shared" ref="Z18:Z25" si="35">Z17*1.05</f>
        <v>231</v>
      </c>
      <c r="AA18" s="319">
        <f t="shared" ref="AA18:AA25" si="36">Z17*0.05</f>
        <v>11</v>
      </c>
      <c r="AC18" s="322" t="s">
        <v>36</v>
      </c>
      <c r="AD18" s="319">
        <f t="shared" ref="AD18:AD25" si="37">AD17*1.05</f>
        <v>231</v>
      </c>
      <c r="AE18" s="319">
        <f t="shared" ref="AE18:AE25" si="38">AD17*0.05</f>
        <v>11</v>
      </c>
      <c r="AG18" s="322" t="s">
        <v>36</v>
      </c>
      <c r="AH18" s="319">
        <f t="shared" ref="AH18:AH25" si="39">AH17*1.05</f>
        <v>0</v>
      </c>
      <c r="AI18" s="319">
        <f t="shared" ref="AI18:AI25" si="40">AH17*0.05</f>
        <v>0</v>
      </c>
      <c r="AK18" s="322" t="s">
        <v>36</v>
      </c>
      <c r="AL18" s="319">
        <f t="shared" ref="AL18:AL25" si="41">AL17*1.05</f>
        <v>231</v>
      </c>
      <c r="AM18" s="319">
        <f t="shared" ref="AM18:AM25" si="42">AL17*0.05</f>
        <v>11</v>
      </c>
      <c r="AO18" s="322" t="s">
        <v>36</v>
      </c>
      <c r="AP18" s="319">
        <f t="shared" ref="AP18:AP25" si="43">AP17*1.05</f>
        <v>0</v>
      </c>
      <c r="AQ18" s="319">
        <f t="shared" ref="AQ18:AQ25" si="44">AP17*0.05</f>
        <v>0</v>
      </c>
      <c r="AS18" s="322" t="s">
        <v>36</v>
      </c>
      <c r="AT18" s="319">
        <f t="shared" ref="AT18:AT25" si="45">AT17*1.05</f>
        <v>0</v>
      </c>
      <c r="AU18" s="319">
        <f t="shared" ref="AU18:AU25" si="46">AT17*0.05</f>
        <v>0</v>
      </c>
      <c r="AW18" s="322" t="s">
        <v>36</v>
      </c>
      <c r="AX18" s="319">
        <f t="shared" ref="AX18:AX25" si="47">AX17*1.05</f>
        <v>0</v>
      </c>
      <c r="AY18" s="319">
        <f t="shared" ref="AY18:AY25" si="48">AX17*0.05</f>
        <v>0</v>
      </c>
    </row>
    <row r="19" ht="14.25" customHeight="1">
      <c r="E19" s="322" t="s">
        <v>36</v>
      </c>
      <c r="F19" s="319">
        <f t="shared" si="25"/>
        <v>485.1</v>
      </c>
      <c r="G19" s="321">
        <f t="shared" si="26"/>
        <v>23.1</v>
      </c>
      <c r="H19" s="320"/>
      <c r="I19" s="323" t="s">
        <v>37</v>
      </c>
      <c r="J19" s="319">
        <f t="shared" si="27"/>
        <v>485.1</v>
      </c>
      <c r="K19" s="321">
        <f t="shared" si="28"/>
        <v>23.1</v>
      </c>
      <c r="L19" s="320"/>
      <c r="M19" s="323" t="s">
        <v>37</v>
      </c>
      <c r="N19" s="319">
        <f t="shared" si="29"/>
        <v>242.55</v>
      </c>
      <c r="O19" s="319">
        <f t="shared" si="30"/>
        <v>11.55</v>
      </c>
      <c r="Q19" s="322" t="s">
        <v>37</v>
      </c>
      <c r="R19" s="319">
        <f t="shared" si="31"/>
        <v>242.55</v>
      </c>
      <c r="S19" s="319">
        <f t="shared" si="32"/>
        <v>11.55</v>
      </c>
      <c r="U19" s="322" t="s">
        <v>37</v>
      </c>
      <c r="V19" s="319">
        <f t="shared" si="33"/>
        <v>242.55</v>
      </c>
      <c r="W19" s="319">
        <f t="shared" si="34"/>
        <v>11.55</v>
      </c>
      <c r="Y19" s="322" t="s">
        <v>37</v>
      </c>
      <c r="Z19" s="319">
        <f t="shared" si="35"/>
        <v>242.55</v>
      </c>
      <c r="AA19" s="319">
        <f t="shared" si="36"/>
        <v>11.55</v>
      </c>
      <c r="AC19" s="322" t="s">
        <v>37</v>
      </c>
      <c r="AD19" s="319">
        <f t="shared" si="37"/>
        <v>242.55</v>
      </c>
      <c r="AE19" s="319">
        <f t="shared" si="38"/>
        <v>11.55</v>
      </c>
      <c r="AG19" s="322" t="s">
        <v>37</v>
      </c>
      <c r="AH19" s="319">
        <f t="shared" si="39"/>
        <v>0</v>
      </c>
      <c r="AI19" s="319">
        <f t="shared" si="40"/>
        <v>0</v>
      </c>
      <c r="AK19" s="322" t="s">
        <v>37</v>
      </c>
      <c r="AL19" s="319">
        <f t="shared" si="41"/>
        <v>242.55</v>
      </c>
      <c r="AM19" s="319">
        <f t="shared" si="42"/>
        <v>11.55</v>
      </c>
      <c r="AO19" s="322" t="s">
        <v>37</v>
      </c>
      <c r="AP19" s="319">
        <f t="shared" si="43"/>
        <v>0</v>
      </c>
      <c r="AQ19" s="319">
        <f t="shared" si="44"/>
        <v>0</v>
      </c>
      <c r="AS19" s="322" t="s">
        <v>37</v>
      </c>
      <c r="AT19" s="319">
        <f t="shared" si="45"/>
        <v>0</v>
      </c>
      <c r="AU19" s="319">
        <f t="shared" si="46"/>
        <v>0</v>
      </c>
      <c r="AW19" s="322" t="s">
        <v>37</v>
      </c>
      <c r="AX19" s="319">
        <f t="shared" si="47"/>
        <v>0</v>
      </c>
      <c r="AY19" s="319">
        <f t="shared" si="48"/>
        <v>0</v>
      </c>
    </row>
    <row r="20" ht="14.25" customHeight="1">
      <c r="E20" s="322" t="s">
        <v>37</v>
      </c>
      <c r="F20" s="319">
        <f t="shared" si="25"/>
        <v>509.355</v>
      </c>
      <c r="G20" s="321">
        <f t="shared" si="26"/>
        <v>24.255</v>
      </c>
      <c r="H20" s="320"/>
      <c r="I20" s="323" t="s">
        <v>38</v>
      </c>
      <c r="J20" s="319">
        <f t="shared" si="27"/>
        <v>509.355</v>
      </c>
      <c r="K20" s="321">
        <f t="shared" si="28"/>
        <v>24.255</v>
      </c>
      <c r="L20" s="320"/>
      <c r="M20" s="323" t="s">
        <v>38</v>
      </c>
      <c r="N20" s="319">
        <f t="shared" si="29"/>
        <v>254.6775</v>
      </c>
      <c r="O20" s="319">
        <f t="shared" si="30"/>
        <v>12.1275</v>
      </c>
      <c r="Q20" s="322" t="s">
        <v>38</v>
      </c>
      <c r="R20" s="319">
        <f t="shared" si="31"/>
        <v>254.6775</v>
      </c>
      <c r="S20" s="319">
        <f t="shared" si="32"/>
        <v>12.1275</v>
      </c>
      <c r="U20" s="322" t="s">
        <v>38</v>
      </c>
      <c r="V20" s="319">
        <f t="shared" si="33"/>
        <v>254.6775</v>
      </c>
      <c r="W20" s="319">
        <f t="shared" si="34"/>
        <v>12.1275</v>
      </c>
      <c r="Y20" s="322" t="s">
        <v>38</v>
      </c>
      <c r="Z20" s="319">
        <f t="shared" si="35"/>
        <v>254.6775</v>
      </c>
      <c r="AA20" s="319">
        <f t="shared" si="36"/>
        <v>12.1275</v>
      </c>
      <c r="AC20" s="322" t="s">
        <v>38</v>
      </c>
      <c r="AD20" s="319">
        <f t="shared" si="37"/>
        <v>254.6775</v>
      </c>
      <c r="AE20" s="319">
        <f t="shared" si="38"/>
        <v>12.1275</v>
      </c>
      <c r="AG20" s="322" t="s">
        <v>38</v>
      </c>
      <c r="AH20" s="319">
        <f t="shared" si="39"/>
        <v>0</v>
      </c>
      <c r="AI20" s="319">
        <f t="shared" si="40"/>
        <v>0</v>
      </c>
      <c r="AK20" s="322" t="s">
        <v>38</v>
      </c>
      <c r="AL20" s="319">
        <f t="shared" si="41"/>
        <v>254.6775</v>
      </c>
      <c r="AM20" s="319">
        <f t="shared" si="42"/>
        <v>12.1275</v>
      </c>
      <c r="AO20" s="322" t="s">
        <v>38</v>
      </c>
      <c r="AP20" s="319">
        <f t="shared" si="43"/>
        <v>0</v>
      </c>
      <c r="AQ20" s="319">
        <f t="shared" si="44"/>
        <v>0</v>
      </c>
      <c r="AS20" s="322" t="s">
        <v>38</v>
      </c>
      <c r="AT20" s="319">
        <f t="shared" si="45"/>
        <v>0</v>
      </c>
      <c r="AU20" s="319">
        <f t="shared" si="46"/>
        <v>0</v>
      </c>
      <c r="AW20" s="322" t="s">
        <v>38</v>
      </c>
      <c r="AX20" s="319">
        <f t="shared" si="47"/>
        <v>0</v>
      </c>
      <c r="AY20" s="319">
        <f t="shared" si="48"/>
        <v>0</v>
      </c>
    </row>
    <row r="21" ht="14.25" customHeight="1">
      <c r="E21" s="322" t="s">
        <v>38</v>
      </c>
      <c r="F21" s="319">
        <f t="shared" si="25"/>
        <v>534.82275</v>
      </c>
      <c r="G21" s="321">
        <f t="shared" si="26"/>
        <v>25.46775</v>
      </c>
      <c r="H21" s="320"/>
      <c r="I21" s="323" t="s">
        <v>39</v>
      </c>
      <c r="J21" s="319">
        <f t="shared" si="27"/>
        <v>534.82275</v>
      </c>
      <c r="K21" s="321">
        <f t="shared" si="28"/>
        <v>25.46775</v>
      </c>
      <c r="L21" s="320"/>
      <c r="M21" s="323" t="s">
        <v>39</v>
      </c>
      <c r="N21" s="319">
        <f t="shared" si="29"/>
        <v>267.411375</v>
      </c>
      <c r="O21" s="319">
        <f t="shared" si="30"/>
        <v>12.733875</v>
      </c>
      <c r="Q21" s="322" t="s">
        <v>39</v>
      </c>
      <c r="R21" s="319">
        <f t="shared" si="31"/>
        <v>267.411375</v>
      </c>
      <c r="S21" s="319">
        <f t="shared" si="32"/>
        <v>12.733875</v>
      </c>
      <c r="U21" s="322" t="s">
        <v>39</v>
      </c>
      <c r="V21" s="319">
        <f t="shared" si="33"/>
        <v>267.411375</v>
      </c>
      <c r="W21" s="319">
        <f t="shared" si="34"/>
        <v>12.733875</v>
      </c>
      <c r="Y21" s="322" t="s">
        <v>39</v>
      </c>
      <c r="Z21" s="319">
        <f t="shared" si="35"/>
        <v>267.411375</v>
      </c>
      <c r="AA21" s="319">
        <f t="shared" si="36"/>
        <v>12.733875</v>
      </c>
      <c r="AC21" s="322" t="s">
        <v>39</v>
      </c>
      <c r="AD21" s="319">
        <f t="shared" si="37"/>
        <v>267.411375</v>
      </c>
      <c r="AE21" s="319">
        <f t="shared" si="38"/>
        <v>12.733875</v>
      </c>
      <c r="AG21" s="322" t="s">
        <v>39</v>
      </c>
      <c r="AH21" s="319">
        <f t="shared" si="39"/>
        <v>0</v>
      </c>
      <c r="AI21" s="319">
        <f t="shared" si="40"/>
        <v>0</v>
      </c>
      <c r="AK21" s="322" t="s">
        <v>39</v>
      </c>
      <c r="AL21" s="319">
        <f t="shared" si="41"/>
        <v>267.411375</v>
      </c>
      <c r="AM21" s="319">
        <f t="shared" si="42"/>
        <v>12.733875</v>
      </c>
      <c r="AO21" s="322" t="s">
        <v>39</v>
      </c>
      <c r="AP21" s="319">
        <f t="shared" si="43"/>
        <v>0</v>
      </c>
      <c r="AQ21" s="319">
        <f t="shared" si="44"/>
        <v>0</v>
      </c>
      <c r="AS21" s="322" t="s">
        <v>39</v>
      </c>
      <c r="AT21" s="319">
        <f t="shared" si="45"/>
        <v>0</v>
      </c>
      <c r="AU21" s="319">
        <f t="shared" si="46"/>
        <v>0</v>
      </c>
      <c r="AW21" s="322" t="s">
        <v>39</v>
      </c>
      <c r="AX21" s="319">
        <f t="shared" si="47"/>
        <v>0</v>
      </c>
      <c r="AY21" s="319">
        <f t="shared" si="48"/>
        <v>0</v>
      </c>
    </row>
    <row r="22" ht="14.25" customHeight="1">
      <c r="E22" s="322" t="s">
        <v>39</v>
      </c>
      <c r="F22" s="319">
        <f t="shared" si="25"/>
        <v>561.5638875</v>
      </c>
      <c r="G22" s="321">
        <f t="shared" si="26"/>
        <v>26.7411375</v>
      </c>
      <c r="H22" s="320"/>
      <c r="I22" s="323" t="s">
        <v>40</v>
      </c>
      <c r="J22" s="319">
        <f t="shared" si="27"/>
        <v>561.5638875</v>
      </c>
      <c r="K22" s="321">
        <f t="shared" si="28"/>
        <v>26.7411375</v>
      </c>
      <c r="L22" s="320"/>
      <c r="M22" s="323" t="s">
        <v>40</v>
      </c>
      <c r="N22" s="319">
        <f t="shared" si="29"/>
        <v>280.7819438</v>
      </c>
      <c r="O22" s="319">
        <f t="shared" si="30"/>
        <v>13.37056875</v>
      </c>
      <c r="Q22" s="322" t="s">
        <v>40</v>
      </c>
      <c r="R22" s="319">
        <f t="shared" si="31"/>
        <v>280.7819438</v>
      </c>
      <c r="S22" s="319">
        <f t="shared" si="32"/>
        <v>13.37056875</v>
      </c>
      <c r="U22" s="322" t="s">
        <v>40</v>
      </c>
      <c r="V22" s="319">
        <f t="shared" si="33"/>
        <v>280.7819438</v>
      </c>
      <c r="W22" s="319">
        <f t="shared" si="34"/>
        <v>13.37056875</v>
      </c>
      <c r="Y22" s="322" t="s">
        <v>40</v>
      </c>
      <c r="Z22" s="319">
        <f t="shared" si="35"/>
        <v>280.7819438</v>
      </c>
      <c r="AA22" s="319">
        <f t="shared" si="36"/>
        <v>13.37056875</v>
      </c>
      <c r="AC22" s="322" t="s">
        <v>40</v>
      </c>
      <c r="AD22" s="319">
        <f t="shared" si="37"/>
        <v>280.7819438</v>
      </c>
      <c r="AE22" s="319">
        <f t="shared" si="38"/>
        <v>13.37056875</v>
      </c>
      <c r="AG22" s="322" t="s">
        <v>40</v>
      </c>
      <c r="AH22" s="319">
        <f t="shared" si="39"/>
        <v>0</v>
      </c>
      <c r="AI22" s="319">
        <f t="shared" si="40"/>
        <v>0</v>
      </c>
      <c r="AK22" s="322" t="s">
        <v>40</v>
      </c>
      <c r="AL22" s="319">
        <f t="shared" si="41"/>
        <v>280.7819438</v>
      </c>
      <c r="AM22" s="319">
        <f t="shared" si="42"/>
        <v>13.37056875</v>
      </c>
      <c r="AO22" s="322" t="s">
        <v>40</v>
      </c>
      <c r="AP22" s="319">
        <f t="shared" si="43"/>
        <v>0</v>
      </c>
      <c r="AQ22" s="319">
        <f t="shared" si="44"/>
        <v>0</v>
      </c>
      <c r="AS22" s="322" t="s">
        <v>40</v>
      </c>
      <c r="AT22" s="319">
        <f t="shared" si="45"/>
        <v>0</v>
      </c>
      <c r="AU22" s="319">
        <f t="shared" si="46"/>
        <v>0</v>
      </c>
      <c r="AW22" s="322" t="s">
        <v>40</v>
      </c>
      <c r="AX22" s="319">
        <f t="shared" si="47"/>
        <v>0</v>
      </c>
      <c r="AY22" s="319">
        <f t="shared" si="48"/>
        <v>0</v>
      </c>
    </row>
    <row r="23" ht="14.25" customHeight="1">
      <c r="E23" s="322" t="s">
        <v>40</v>
      </c>
      <c r="F23" s="319">
        <f t="shared" si="25"/>
        <v>589.6420819</v>
      </c>
      <c r="G23" s="321">
        <f t="shared" si="26"/>
        <v>28.07819438</v>
      </c>
      <c r="H23" s="320"/>
      <c r="I23" s="323" t="s">
        <v>41</v>
      </c>
      <c r="J23" s="319">
        <f t="shared" si="27"/>
        <v>589.6420819</v>
      </c>
      <c r="K23" s="321">
        <f t="shared" si="28"/>
        <v>28.07819438</v>
      </c>
      <c r="L23" s="320"/>
      <c r="M23" s="323" t="s">
        <v>41</v>
      </c>
      <c r="N23" s="319">
        <f t="shared" si="29"/>
        <v>294.8210409</v>
      </c>
      <c r="O23" s="319">
        <f t="shared" si="30"/>
        <v>14.03909719</v>
      </c>
      <c r="Q23" s="322" t="s">
        <v>41</v>
      </c>
      <c r="R23" s="319">
        <f t="shared" si="31"/>
        <v>294.8210409</v>
      </c>
      <c r="S23" s="319">
        <f t="shared" si="32"/>
        <v>14.03909719</v>
      </c>
      <c r="U23" s="322" t="s">
        <v>41</v>
      </c>
      <c r="V23" s="319">
        <f t="shared" si="33"/>
        <v>294.8210409</v>
      </c>
      <c r="W23" s="319">
        <f t="shared" si="34"/>
        <v>14.03909719</v>
      </c>
      <c r="Y23" s="322" t="s">
        <v>41</v>
      </c>
      <c r="Z23" s="319">
        <f t="shared" si="35"/>
        <v>294.8210409</v>
      </c>
      <c r="AA23" s="319">
        <f t="shared" si="36"/>
        <v>14.03909719</v>
      </c>
      <c r="AC23" s="322" t="s">
        <v>41</v>
      </c>
      <c r="AD23" s="319">
        <f t="shared" si="37"/>
        <v>294.8210409</v>
      </c>
      <c r="AE23" s="319">
        <f t="shared" si="38"/>
        <v>14.03909719</v>
      </c>
      <c r="AG23" s="322" t="s">
        <v>41</v>
      </c>
      <c r="AH23" s="319">
        <f t="shared" si="39"/>
        <v>0</v>
      </c>
      <c r="AI23" s="319">
        <f t="shared" si="40"/>
        <v>0</v>
      </c>
      <c r="AK23" s="322" t="s">
        <v>41</v>
      </c>
      <c r="AL23" s="319">
        <f t="shared" si="41"/>
        <v>294.8210409</v>
      </c>
      <c r="AM23" s="319">
        <f t="shared" si="42"/>
        <v>14.03909719</v>
      </c>
      <c r="AO23" s="322" t="s">
        <v>41</v>
      </c>
      <c r="AP23" s="319">
        <f t="shared" si="43"/>
        <v>0</v>
      </c>
      <c r="AQ23" s="319">
        <f t="shared" si="44"/>
        <v>0</v>
      </c>
      <c r="AS23" s="322" t="s">
        <v>41</v>
      </c>
      <c r="AT23" s="319">
        <f t="shared" si="45"/>
        <v>0</v>
      </c>
      <c r="AU23" s="319">
        <f t="shared" si="46"/>
        <v>0</v>
      </c>
      <c r="AW23" s="322" t="s">
        <v>41</v>
      </c>
      <c r="AX23" s="319">
        <f t="shared" si="47"/>
        <v>0</v>
      </c>
      <c r="AY23" s="319">
        <f t="shared" si="48"/>
        <v>0</v>
      </c>
    </row>
    <row r="24" ht="14.25" customHeight="1">
      <c r="E24" s="322" t="s">
        <v>41</v>
      </c>
      <c r="F24" s="319">
        <f t="shared" si="25"/>
        <v>619.124186</v>
      </c>
      <c r="G24" s="321">
        <f t="shared" si="26"/>
        <v>29.48210409</v>
      </c>
      <c r="H24" s="320"/>
      <c r="I24" s="323" t="s">
        <v>42</v>
      </c>
      <c r="J24" s="319">
        <f t="shared" si="27"/>
        <v>619.124186</v>
      </c>
      <c r="K24" s="321">
        <f t="shared" si="28"/>
        <v>29.48210409</v>
      </c>
      <c r="L24" s="320"/>
      <c r="M24" s="323" t="s">
        <v>42</v>
      </c>
      <c r="N24" s="319">
        <f t="shared" si="29"/>
        <v>309.562093</v>
      </c>
      <c r="O24" s="319">
        <f t="shared" si="30"/>
        <v>14.74105205</v>
      </c>
      <c r="Q24" s="322" t="s">
        <v>42</v>
      </c>
      <c r="R24" s="319">
        <f t="shared" si="31"/>
        <v>309.562093</v>
      </c>
      <c r="S24" s="319">
        <f t="shared" si="32"/>
        <v>14.74105205</v>
      </c>
      <c r="U24" s="322" t="s">
        <v>42</v>
      </c>
      <c r="V24" s="319">
        <f t="shared" si="33"/>
        <v>309.562093</v>
      </c>
      <c r="W24" s="319">
        <f t="shared" si="34"/>
        <v>14.74105205</v>
      </c>
      <c r="Y24" s="322" t="s">
        <v>42</v>
      </c>
      <c r="Z24" s="319">
        <f t="shared" si="35"/>
        <v>309.562093</v>
      </c>
      <c r="AA24" s="319">
        <f t="shared" si="36"/>
        <v>14.74105205</v>
      </c>
      <c r="AC24" s="322" t="s">
        <v>42</v>
      </c>
      <c r="AD24" s="319">
        <f t="shared" si="37"/>
        <v>309.562093</v>
      </c>
      <c r="AE24" s="319">
        <f t="shared" si="38"/>
        <v>14.74105205</v>
      </c>
      <c r="AG24" s="322" t="s">
        <v>42</v>
      </c>
      <c r="AH24" s="319">
        <f t="shared" si="39"/>
        <v>0</v>
      </c>
      <c r="AI24" s="319">
        <f t="shared" si="40"/>
        <v>0</v>
      </c>
      <c r="AK24" s="322" t="s">
        <v>42</v>
      </c>
      <c r="AL24" s="319">
        <f t="shared" si="41"/>
        <v>309.562093</v>
      </c>
      <c r="AM24" s="319">
        <f t="shared" si="42"/>
        <v>14.74105205</v>
      </c>
      <c r="AO24" s="322" t="s">
        <v>42</v>
      </c>
      <c r="AP24" s="319">
        <f t="shared" si="43"/>
        <v>0</v>
      </c>
      <c r="AQ24" s="319">
        <f t="shared" si="44"/>
        <v>0</v>
      </c>
      <c r="AS24" s="322" t="s">
        <v>42</v>
      </c>
      <c r="AT24" s="319">
        <f t="shared" si="45"/>
        <v>0</v>
      </c>
      <c r="AU24" s="319">
        <f t="shared" si="46"/>
        <v>0</v>
      </c>
      <c r="AW24" s="322" t="s">
        <v>42</v>
      </c>
      <c r="AX24" s="319">
        <f t="shared" si="47"/>
        <v>0</v>
      </c>
      <c r="AY24" s="319">
        <f t="shared" si="48"/>
        <v>0</v>
      </c>
    </row>
    <row r="25" ht="14.25" customHeight="1">
      <c r="E25" s="322" t="s">
        <v>42</v>
      </c>
      <c r="F25" s="319">
        <f t="shared" si="25"/>
        <v>650.0803953</v>
      </c>
      <c r="G25" s="321">
        <f t="shared" si="26"/>
        <v>30.9562093</v>
      </c>
      <c r="H25" s="320"/>
      <c r="I25" s="323" t="s">
        <v>43</v>
      </c>
      <c r="J25" s="319">
        <f t="shared" si="27"/>
        <v>650.0803953</v>
      </c>
      <c r="K25" s="321">
        <f t="shared" si="28"/>
        <v>30.9562093</v>
      </c>
      <c r="L25" s="320"/>
      <c r="M25" s="323" t="s">
        <v>43</v>
      </c>
      <c r="N25" s="319">
        <f t="shared" si="29"/>
        <v>325.0401976</v>
      </c>
      <c r="O25" s="319">
        <f t="shared" si="30"/>
        <v>15.47810465</v>
      </c>
      <c r="Q25" s="322" t="s">
        <v>43</v>
      </c>
      <c r="R25" s="319">
        <f t="shared" si="31"/>
        <v>325.0401976</v>
      </c>
      <c r="S25" s="319">
        <f t="shared" si="32"/>
        <v>15.47810465</v>
      </c>
      <c r="U25" s="322" t="s">
        <v>43</v>
      </c>
      <c r="V25" s="319">
        <f t="shared" si="33"/>
        <v>325.0401976</v>
      </c>
      <c r="W25" s="319">
        <f t="shared" si="34"/>
        <v>15.47810465</v>
      </c>
      <c r="Y25" s="322" t="s">
        <v>43</v>
      </c>
      <c r="Z25" s="319">
        <f t="shared" si="35"/>
        <v>325.0401976</v>
      </c>
      <c r="AA25" s="319">
        <f t="shared" si="36"/>
        <v>15.47810465</v>
      </c>
      <c r="AC25" s="322" t="s">
        <v>43</v>
      </c>
      <c r="AD25" s="319">
        <f t="shared" si="37"/>
        <v>325.0401976</v>
      </c>
      <c r="AE25" s="319">
        <f t="shared" si="38"/>
        <v>15.47810465</v>
      </c>
      <c r="AG25" s="322" t="s">
        <v>43</v>
      </c>
      <c r="AH25" s="319">
        <f t="shared" si="39"/>
        <v>0</v>
      </c>
      <c r="AI25" s="319">
        <f t="shared" si="40"/>
        <v>0</v>
      </c>
      <c r="AK25" s="322" t="s">
        <v>43</v>
      </c>
      <c r="AL25" s="319">
        <f t="shared" si="41"/>
        <v>325.0401976</v>
      </c>
      <c r="AM25" s="319">
        <f t="shared" si="42"/>
        <v>15.47810465</v>
      </c>
      <c r="AO25" s="322" t="s">
        <v>43</v>
      </c>
      <c r="AP25" s="319">
        <f t="shared" si="43"/>
        <v>0</v>
      </c>
      <c r="AQ25" s="319">
        <f t="shared" si="44"/>
        <v>0</v>
      </c>
      <c r="AS25" s="322" t="s">
        <v>43</v>
      </c>
      <c r="AT25" s="319">
        <f t="shared" si="45"/>
        <v>0</v>
      </c>
      <c r="AU25" s="319">
        <f t="shared" si="46"/>
        <v>0</v>
      </c>
      <c r="AW25" s="322" t="s">
        <v>43</v>
      </c>
      <c r="AX25" s="319">
        <f t="shared" si="47"/>
        <v>0</v>
      </c>
      <c r="AY25" s="319">
        <f t="shared" si="48"/>
        <v>0</v>
      </c>
    </row>
    <row r="26" ht="14.25" customHeight="1">
      <c r="E26" s="325"/>
      <c r="F26" s="319"/>
      <c r="G26" s="321"/>
      <c r="H26" s="320"/>
      <c r="I26" s="325"/>
      <c r="J26" s="319"/>
      <c r="K26" s="321"/>
      <c r="L26" s="320"/>
      <c r="M26" s="325"/>
      <c r="N26" s="319"/>
      <c r="O26" s="319"/>
      <c r="Q26" s="325"/>
      <c r="R26" s="319"/>
      <c r="S26" s="319"/>
      <c r="U26" s="325"/>
      <c r="V26" s="319"/>
      <c r="W26" s="319"/>
      <c r="Y26" s="325"/>
      <c r="Z26" s="319"/>
      <c r="AA26" s="319"/>
      <c r="AC26" s="325"/>
      <c r="AD26" s="319"/>
      <c r="AE26" s="319"/>
      <c r="AG26" s="325"/>
      <c r="AH26" s="319"/>
      <c r="AI26" s="319"/>
      <c r="AK26" s="325"/>
      <c r="AL26" s="319"/>
      <c r="AM26" s="319"/>
      <c r="AO26" s="325"/>
      <c r="AP26" s="319"/>
      <c r="AQ26" s="319"/>
      <c r="AS26" s="325"/>
      <c r="AT26" s="319"/>
      <c r="AU26" s="319"/>
      <c r="AW26" s="325"/>
      <c r="AX26" s="319"/>
      <c r="AY26" s="319"/>
    </row>
    <row r="27" ht="14.25" customHeight="1">
      <c r="E27" s="312"/>
      <c r="F27" s="314"/>
      <c r="G27" s="317"/>
      <c r="H27" s="315"/>
      <c r="I27" s="316"/>
      <c r="J27" s="314"/>
      <c r="K27" s="317"/>
      <c r="L27" s="315"/>
      <c r="M27" s="316"/>
      <c r="N27" s="314"/>
      <c r="O27" s="314"/>
      <c r="Q27" s="312"/>
      <c r="R27" s="314"/>
      <c r="S27" s="314"/>
      <c r="U27" s="312"/>
      <c r="V27" s="314"/>
      <c r="W27" s="314"/>
      <c r="Y27" s="312"/>
      <c r="Z27" s="314"/>
      <c r="AA27" s="314"/>
      <c r="AC27" s="312"/>
      <c r="AD27" s="314"/>
      <c r="AE27" s="314"/>
      <c r="AG27" s="312"/>
      <c r="AH27" s="314"/>
      <c r="AI27" s="314"/>
      <c r="AK27" s="312"/>
      <c r="AL27" s="314"/>
      <c r="AM27" s="314"/>
      <c r="AO27" s="312"/>
      <c r="AP27" s="314"/>
      <c r="AQ27" s="314"/>
      <c r="AS27" s="312"/>
      <c r="AT27" s="314"/>
      <c r="AU27" s="314"/>
      <c r="AW27" s="312"/>
      <c r="AX27" s="314"/>
      <c r="AY27" s="314"/>
    </row>
    <row r="28" ht="14.25" customHeight="1">
      <c r="E28" s="322" t="s">
        <v>32</v>
      </c>
      <c r="F28" s="319">
        <f>SHARES!R3</f>
        <v>200</v>
      </c>
      <c r="G28" s="321"/>
      <c r="H28" s="320"/>
      <c r="I28" s="323" t="s">
        <v>35</v>
      </c>
      <c r="J28" s="319">
        <f>SHARES!R4</f>
        <v>400</v>
      </c>
      <c r="K28" s="321"/>
      <c r="L28" s="320"/>
      <c r="M28" s="323" t="s">
        <v>35</v>
      </c>
      <c r="N28" s="319">
        <f>SHARES!R5</f>
        <v>200</v>
      </c>
      <c r="O28" s="319"/>
      <c r="Q28" s="322" t="s">
        <v>35</v>
      </c>
      <c r="R28" s="319">
        <f>SHARES!R6</f>
        <v>200</v>
      </c>
      <c r="S28" s="319"/>
      <c r="U28" s="322" t="s">
        <v>35</v>
      </c>
      <c r="V28" s="319">
        <f>SHARES!R7</f>
        <v>200</v>
      </c>
      <c r="W28" s="319"/>
      <c r="Y28" s="322" t="s">
        <v>35</v>
      </c>
      <c r="Z28" s="319">
        <f>SHARES!R8</f>
        <v>0</v>
      </c>
      <c r="AA28" s="319"/>
      <c r="AC28" s="322" t="s">
        <v>35</v>
      </c>
      <c r="AD28" s="319">
        <f>SHARES!R9</f>
        <v>200</v>
      </c>
      <c r="AE28" s="319"/>
      <c r="AG28" s="322" t="s">
        <v>35</v>
      </c>
      <c r="AH28" s="319">
        <f>SHARES!R10</f>
        <v>200</v>
      </c>
      <c r="AI28" s="319"/>
      <c r="AK28" s="322" t="s">
        <v>35</v>
      </c>
      <c r="AL28" s="319">
        <f>SHARES!R11</f>
        <v>0</v>
      </c>
      <c r="AM28" s="319"/>
      <c r="AO28" s="322" t="s">
        <v>35</v>
      </c>
      <c r="AP28" s="319">
        <f>SHARES!R12</f>
        <v>0</v>
      </c>
      <c r="AQ28" s="319"/>
      <c r="AS28" s="322" t="s">
        <v>35</v>
      </c>
      <c r="AT28" s="319">
        <f>SHARES!R13</f>
        <v>0</v>
      </c>
      <c r="AU28" s="319"/>
      <c r="AW28" s="322" t="s">
        <v>35</v>
      </c>
      <c r="AX28" s="319" t="str">
        <f>SHARES!R14</f>
        <v/>
      </c>
      <c r="AY28" s="319"/>
    </row>
    <row r="29" ht="14.25" customHeight="1">
      <c r="E29" s="322" t="s">
        <v>35</v>
      </c>
      <c r="F29" s="319">
        <f>F28*1.1</f>
        <v>220</v>
      </c>
      <c r="G29" s="321">
        <f>F28*0.1</f>
        <v>20</v>
      </c>
      <c r="H29" s="320"/>
      <c r="I29" s="323" t="s">
        <v>36</v>
      </c>
      <c r="J29" s="319">
        <f>J28*1.1</f>
        <v>440</v>
      </c>
      <c r="K29" s="321">
        <f>J28*0.1</f>
        <v>40</v>
      </c>
      <c r="L29" s="320"/>
      <c r="M29" s="323" t="s">
        <v>36</v>
      </c>
      <c r="N29" s="319">
        <f>N28*1.1</f>
        <v>220</v>
      </c>
      <c r="O29" s="319">
        <f>N28*0.1</f>
        <v>20</v>
      </c>
      <c r="Q29" s="322" t="s">
        <v>36</v>
      </c>
      <c r="R29" s="319">
        <f>R28*1.1</f>
        <v>220</v>
      </c>
      <c r="S29" s="319">
        <f>R28*0.1</f>
        <v>20</v>
      </c>
      <c r="U29" s="322" t="s">
        <v>36</v>
      </c>
      <c r="V29" s="319">
        <f>V28*1.1</f>
        <v>220</v>
      </c>
      <c r="W29" s="319">
        <f>V28*0.1</f>
        <v>20</v>
      </c>
      <c r="Y29" s="322" t="s">
        <v>36</v>
      </c>
      <c r="Z29" s="319">
        <f>Z28*1.1</f>
        <v>0</v>
      </c>
      <c r="AA29" s="319">
        <f>Z28*0.1</f>
        <v>0</v>
      </c>
      <c r="AC29" s="322" t="s">
        <v>36</v>
      </c>
      <c r="AD29" s="319">
        <f>AD28*1.1</f>
        <v>220</v>
      </c>
      <c r="AE29" s="319">
        <f>AD28*0.1</f>
        <v>20</v>
      </c>
      <c r="AG29" s="322" t="s">
        <v>36</v>
      </c>
      <c r="AH29" s="319">
        <f>AH28*1.1</f>
        <v>220</v>
      </c>
      <c r="AI29" s="319">
        <f>AH28*0.1</f>
        <v>20</v>
      </c>
      <c r="AK29" s="322" t="s">
        <v>36</v>
      </c>
      <c r="AL29" s="319">
        <f>AL28*1.1</f>
        <v>0</v>
      </c>
      <c r="AM29" s="319">
        <f>AL28*0.1</f>
        <v>0</v>
      </c>
      <c r="AO29" s="322" t="s">
        <v>36</v>
      </c>
      <c r="AP29" s="319">
        <f>AP28*1.1</f>
        <v>0</v>
      </c>
      <c r="AQ29" s="319">
        <f>AP28*0.1</f>
        <v>0</v>
      </c>
      <c r="AS29" s="322" t="s">
        <v>36</v>
      </c>
      <c r="AT29" s="319">
        <f>AT28*1.1</f>
        <v>0</v>
      </c>
      <c r="AU29" s="319">
        <f>AT28*0.1</f>
        <v>0</v>
      </c>
      <c r="AW29" s="322" t="s">
        <v>36</v>
      </c>
      <c r="AX29" s="319">
        <f>AX28*1.1</f>
        <v>0</v>
      </c>
      <c r="AY29" s="319">
        <f>AX28*0.1</f>
        <v>0</v>
      </c>
    </row>
    <row r="30" ht="14.25" customHeight="1">
      <c r="E30" s="322" t="s">
        <v>36</v>
      </c>
      <c r="F30" s="319">
        <f t="shared" ref="F30:F36" si="49">F29*1.05</f>
        <v>231</v>
      </c>
      <c r="G30" s="321">
        <f t="shared" ref="G30:G36" si="50">F29*0.05</f>
        <v>11</v>
      </c>
      <c r="H30" s="320"/>
      <c r="I30" s="323" t="s">
        <v>37</v>
      </c>
      <c r="J30" s="319">
        <f t="shared" ref="J30:J36" si="51">J29*1.05</f>
        <v>462</v>
      </c>
      <c r="K30" s="321">
        <f t="shared" ref="K30:K36" si="52">J29*0.05</f>
        <v>22</v>
      </c>
      <c r="L30" s="320"/>
      <c r="M30" s="323" t="s">
        <v>37</v>
      </c>
      <c r="N30" s="319">
        <f t="shared" ref="N30:N36" si="53">N29*1.05</f>
        <v>231</v>
      </c>
      <c r="O30" s="319">
        <f t="shared" ref="O30:O36" si="54">N29*0.05</f>
        <v>11</v>
      </c>
      <c r="Q30" s="322" t="s">
        <v>37</v>
      </c>
      <c r="R30" s="319">
        <f t="shared" ref="R30:R36" si="55">R29*1.05</f>
        <v>231</v>
      </c>
      <c r="S30" s="319">
        <f t="shared" ref="S30:S36" si="56">R29*0.05</f>
        <v>11</v>
      </c>
      <c r="U30" s="322" t="s">
        <v>37</v>
      </c>
      <c r="V30" s="319">
        <f t="shared" ref="V30:V36" si="57">V29*1.05</f>
        <v>231</v>
      </c>
      <c r="W30" s="319">
        <f t="shared" ref="W30:W36" si="58">V29*0.05</f>
        <v>11</v>
      </c>
      <c r="Y30" s="322" t="s">
        <v>37</v>
      </c>
      <c r="Z30" s="319">
        <f t="shared" ref="Z30:Z36" si="59">Z29*1.05</f>
        <v>0</v>
      </c>
      <c r="AA30" s="319">
        <f t="shared" ref="AA30:AA36" si="60">Z29*0.05</f>
        <v>0</v>
      </c>
      <c r="AC30" s="322" t="s">
        <v>37</v>
      </c>
      <c r="AD30" s="319">
        <f t="shared" ref="AD30:AD36" si="61">AD29*1.05</f>
        <v>231</v>
      </c>
      <c r="AE30" s="319">
        <f t="shared" ref="AE30:AE36" si="62">AD29*0.05</f>
        <v>11</v>
      </c>
      <c r="AG30" s="322" t="s">
        <v>37</v>
      </c>
      <c r="AH30" s="319">
        <f t="shared" ref="AH30:AH36" si="63">AH29*1.05</f>
        <v>231</v>
      </c>
      <c r="AI30" s="319">
        <f t="shared" ref="AI30:AI36" si="64">AH29*0.05</f>
        <v>11</v>
      </c>
      <c r="AK30" s="322" t="s">
        <v>37</v>
      </c>
      <c r="AL30" s="319">
        <f t="shared" ref="AL30:AL36" si="65">AL29*1.05</f>
        <v>0</v>
      </c>
      <c r="AM30" s="319">
        <f t="shared" ref="AM30:AM36" si="66">AL29*0.05</f>
        <v>0</v>
      </c>
      <c r="AO30" s="322" t="s">
        <v>37</v>
      </c>
      <c r="AP30" s="319">
        <f t="shared" ref="AP30:AP36" si="67">AP29*1.05</f>
        <v>0</v>
      </c>
      <c r="AQ30" s="319">
        <f t="shared" ref="AQ30:AQ36" si="68">AP29*0.05</f>
        <v>0</v>
      </c>
      <c r="AS30" s="322" t="s">
        <v>37</v>
      </c>
      <c r="AT30" s="319">
        <f t="shared" ref="AT30:AT36" si="69">AT29*1.05</f>
        <v>0</v>
      </c>
      <c r="AU30" s="319">
        <f t="shared" ref="AU30:AU36" si="70">AT29*0.05</f>
        <v>0</v>
      </c>
      <c r="AW30" s="322" t="s">
        <v>37</v>
      </c>
      <c r="AX30" s="319">
        <f t="shared" ref="AX30:AX36" si="71">AX29*1.05</f>
        <v>0</v>
      </c>
      <c r="AY30" s="319">
        <f t="shared" ref="AY30:AY36" si="72">AX29*0.05</f>
        <v>0</v>
      </c>
    </row>
    <row r="31" ht="14.25" customHeight="1">
      <c r="E31" s="322" t="s">
        <v>37</v>
      </c>
      <c r="F31" s="319">
        <f t="shared" si="49"/>
        <v>242.55</v>
      </c>
      <c r="G31" s="321">
        <f t="shared" si="50"/>
        <v>11.55</v>
      </c>
      <c r="H31" s="320"/>
      <c r="I31" s="323" t="s">
        <v>38</v>
      </c>
      <c r="J31" s="319">
        <f t="shared" si="51"/>
        <v>485.1</v>
      </c>
      <c r="K31" s="321">
        <f t="shared" si="52"/>
        <v>23.1</v>
      </c>
      <c r="L31" s="320"/>
      <c r="M31" s="323" t="s">
        <v>38</v>
      </c>
      <c r="N31" s="319">
        <f t="shared" si="53"/>
        <v>242.55</v>
      </c>
      <c r="O31" s="319">
        <f t="shared" si="54"/>
        <v>11.55</v>
      </c>
      <c r="Q31" s="322" t="s">
        <v>38</v>
      </c>
      <c r="R31" s="319">
        <f t="shared" si="55"/>
        <v>242.55</v>
      </c>
      <c r="S31" s="319">
        <f t="shared" si="56"/>
        <v>11.55</v>
      </c>
      <c r="U31" s="322" t="s">
        <v>38</v>
      </c>
      <c r="V31" s="319">
        <f t="shared" si="57"/>
        <v>242.55</v>
      </c>
      <c r="W31" s="319">
        <f t="shared" si="58"/>
        <v>11.55</v>
      </c>
      <c r="Y31" s="322" t="s">
        <v>38</v>
      </c>
      <c r="Z31" s="319">
        <f t="shared" si="59"/>
        <v>0</v>
      </c>
      <c r="AA31" s="319">
        <f t="shared" si="60"/>
        <v>0</v>
      </c>
      <c r="AC31" s="322" t="s">
        <v>38</v>
      </c>
      <c r="AD31" s="319">
        <f t="shared" si="61"/>
        <v>242.55</v>
      </c>
      <c r="AE31" s="319">
        <f t="shared" si="62"/>
        <v>11.55</v>
      </c>
      <c r="AG31" s="322" t="s">
        <v>38</v>
      </c>
      <c r="AH31" s="319">
        <f t="shared" si="63"/>
        <v>242.55</v>
      </c>
      <c r="AI31" s="319">
        <f t="shared" si="64"/>
        <v>11.55</v>
      </c>
      <c r="AK31" s="322" t="s">
        <v>38</v>
      </c>
      <c r="AL31" s="319">
        <f t="shared" si="65"/>
        <v>0</v>
      </c>
      <c r="AM31" s="319">
        <f t="shared" si="66"/>
        <v>0</v>
      </c>
      <c r="AO31" s="322" t="s">
        <v>38</v>
      </c>
      <c r="AP31" s="319">
        <f t="shared" si="67"/>
        <v>0</v>
      </c>
      <c r="AQ31" s="319">
        <f t="shared" si="68"/>
        <v>0</v>
      </c>
      <c r="AS31" s="322" t="s">
        <v>38</v>
      </c>
      <c r="AT31" s="319">
        <f t="shared" si="69"/>
        <v>0</v>
      </c>
      <c r="AU31" s="319">
        <f t="shared" si="70"/>
        <v>0</v>
      </c>
      <c r="AW31" s="322" t="s">
        <v>38</v>
      </c>
      <c r="AX31" s="319">
        <f t="shared" si="71"/>
        <v>0</v>
      </c>
      <c r="AY31" s="319">
        <f t="shared" si="72"/>
        <v>0</v>
      </c>
    </row>
    <row r="32" ht="14.25" customHeight="1">
      <c r="E32" s="322" t="s">
        <v>38</v>
      </c>
      <c r="F32" s="319">
        <f t="shared" si="49"/>
        <v>254.6775</v>
      </c>
      <c r="G32" s="321">
        <f t="shared" si="50"/>
        <v>12.1275</v>
      </c>
      <c r="H32" s="320"/>
      <c r="I32" s="323" t="s">
        <v>39</v>
      </c>
      <c r="J32" s="319">
        <f t="shared" si="51"/>
        <v>509.355</v>
      </c>
      <c r="K32" s="321">
        <f t="shared" si="52"/>
        <v>24.255</v>
      </c>
      <c r="L32" s="320"/>
      <c r="M32" s="323" t="s">
        <v>39</v>
      </c>
      <c r="N32" s="319">
        <f t="shared" si="53"/>
        <v>254.6775</v>
      </c>
      <c r="O32" s="319">
        <f t="shared" si="54"/>
        <v>12.1275</v>
      </c>
      <c r="Q32" s="322" t="s">
        <v>39</v>
      </c>
      <c r="R32" s="319">
        <f t="shared" si="55"/>
        <v>254.6775</v>
      </c>
      <c r="S32" s="319">
        <f t="shared" si="56"/>
        <v>12.1275</v>
      </c>
      <c r="U32" s="322" t="s">
        <v>39</v>
      </c>
      <c r="V32" s="319">
        <f t="shared" si="57"/>
        <v>254.6775</v>
      </c>
      <c r="W32" s="319">
        <f t="shared" si="58"/>
        <v>12.1275</v>
      </c>
      <c r="Y32" s="322" t="s">
        <v>39</v>
      </c>
      <c r="Z32" s="319">
        <f t="shared" si="59"/>
        <v>0</v>
      </c>
      <c r="AA32" s="319">
        <f t="shared" si="60"/>
        <v>0</v>
      </c>
      <c r="AC32" s="322" t="s">
        <v>39</v>
      </c>
      <c r="AD32" s="319">
        <f t="shared" si="61"/>
        <v>254.6775</v>
      </c>
      <c r="AE32" s="319">
        <f t="shared" si="62"/>
        <v>12.1275</v>
      </c>
      <c r="AG32" s="322" t="s">
        <v>39</v>
      </c>
      <c r="AH32" s="319">
        <f t="shared" si="63"/>
        <v>254.6775</v>
      </c>
      <c r="AI32" s="319">
        <f t="shared" si="64"/>
        <v>12.1275</v>
      </c>
      <c r="AK32" s="322" t="s">
        <v>39</v>
      </c>
      <c r="AL32" s="319">
        <f t="shared" si="65"/>
        <v>0</v>
      </c>
      <c r="AM32" s="319">
        <f t="shared" si="66"/>
        <v>0</v>
      </c>
      <c r="AO32" s="322" t="s">
        <v>39</v>
      </c>
      <c r="AP32" s="319">
        <f t="shared" si="67"/>
        <v>0</v>
      </c>
      <c r="AQ32" s="319">
        <f t="shared" si="68"/>
        <v>0</v>
      </c>
      <c r="AS32" s="322" t="s">
        <v>39</v>
      </c>
      <c r="AT32" s="319">
        <f t="shared" si="69"/>
        <v>0</v>
      </c>
      <c r="AU32" s="319">
        <f t="shared" si="70"/>
        <v>0</v>
      </c>
      <c r="AW32" s="322" t="s">
        <v>39</v>
      </c>
      <c r="AX32" s="319">
        <f t="shared" si="71"/>
        <v>0</v>
      </c>
      <c r="AY32" s="319">
        <f t="shared" si="72"/>
        <v>0</v>
      </c>
    </row>
    <row r="33" ht="14.25" customHeight="1">
      <c r="E33" s="322" t="s">
        <v>39</v>
      </c>
      <c r="F33" s="319">
        <f t="shared" si="49"/>
        <v>267.411375</v>
      </c>
      <c r="G33" s="321">
        <f t="shared" si="50"/>
        <v>12.733875</v>
      </c>
      <c r="H33" s="320"/>
      <c r="I33" s="323" t="s">
        <v>40</v>
      </c>
      <c r="J33" s="319">
        <f t="shared" si="51"/>
        <v>534.82275</v>
      </c>
      <c r="K33" s="321">
        <f t="shared" si="52"/>
        <v>25.46775</v>
      </c>
      <c r="L33" s="320"/>
      <c r="M33" s="323" t="s">
        <v>40</v>
      </c>
      <c r="N33" s="319">
        <f t="shared" si="53"/>
        <v>267.411375</v>
      </c>
      <c r="O33" s="319">
        <f t="shared" si="54"/>
        <v>12.733875</v>
      </c>
      <c r="Q33" s="322" t="s">
        <v>40</v>
      </c>
      <c r="R33" s="319">
        <f t="shared" si="55"/>
        <v>267.411375</v>
      </c>
      <c r="S33" s="319">
        <f t="shared" si="56"/>
        <v>12.733875</v>
      </c>
      <c r="U33" s="322" t="s">
        <v>40</v>
      </c>
      <c r="V33" s="319">
        <f t="shared" si="57"/>
        <v>267.411375</v>
      </c>
      <c r="W33" s="319">
        <f t="shared" si="58"/>
        <v>12.733875</v>
      </c>
      <c r="Y33" s="322" t="s">
        <v>40</v>
      </c>
      <c r="Z33" s="319">
        <f t="shared" si="59"/>
        <v>0</v>
      </c>
      <c r="AA33" s="319">
        <f t="shared" si="60"/>
        <v>0</v>
      </c>
      <c r="AC33" s="322" t="s">
        <v>40</v>
      </c>
      <c r="AD33" s="319">
        <f t="shared" si="61"/>
        <v>267.411375</v>
      </c>
      <c r="AE33" s="319">
        <f t="shared" si="62"/>
        <v>12.733875</v>
      </c>
      <c r="AG33" s="322" t="s">
        <v>40</v>
      </c>
      <c r="AH33" s="319">
        <f t="shared" si="63"/>
        <v>267.411375</v>
      </c>
      <c r="AI33" s="319">
        <f t="shared" si="64"/>
        <v>12.733875</v>
      </c>
      <c r="AK33" s="322" t="s">
        <v>40</v>
      </c>
      <c r="AL33" s="319">
        <f t="shared" si="65"/>
        <v>0</v>
      </c>
      <c r="AM33" s="319">
        <f t="shared" si="66"/>
        <v>0</v>
      </c>
      <c r="AO33" s="322" t="s">
        <v>40</v>
      </c>
      <c r="AP33" s="319">
        <f t="shared" si="67"/>
        <v>0</v>
      </c>
      <c r="AQ33" s="319">
        <f t="shared" si="68"/>
        <v>0</v>
      </c>
      <c r="AS33" s="322" t="s">
        <v>40</v>
      </c>
      <c r="AT33" s="319">
        <f t="shared" si="69"/>
        <v>0</v>
      </c>
      <c r="AU33" s="319">
        <f t="shared" si="70"/>
        <v>0</v>
      </c>
      <c r="AW33" s="322" t="s">
        <v>40</v>
      </c>
      <c r="AX33" s="319">
        <f t="shared" si="71"/>
        <v>0</v>
      </c>
      <c r="AY33" s="319">
        <f t="shared" si="72"/>
        <v>0</v>
      </c>
    </row>
    <row r="34" ht="14.25" customHeight="1">
      <c r="E34" s="322" t="s">
        <v>40</v>
      </c>
      <c r="F34" s="319">
        <f t="shared" si="49"/>
        <v>280.7819438</v>
      </c>
      <c r="G34" s="321">
        <f t="shared" si="50"/>
        <v>13.37056875</v>
      </c>
      <c r="H34" s="320"/>
      <c r="I34" s="323" t="s">
        <v>41</v>
      </c>
      <c r="J34" s="319">
        <f t="shared" si="51"/>
        <v>561.5638875</v>
      </c>
      <c r="K34" s="321">
        <f t="shared" si="52"/>
        <v>26.7411375</v>
      </c>
      <c r="L34" s="320"/>
      <c r="M34" s="323" t="s">
        <v>41</v>
      </c>
      <c r="N34" s="319">
        <f t="shared" si="53"/>
        <v>280.7819438</v>
      </c>
      <c r="O34" s="319">
        <f t="shared" si="54"/>
        <v>13.37056875</v>
      </c>
      <c r="Q34" s="322" t="s">
        <v>41</v>
      </c>
      <c r="R34" s="319">
        <f t="shared" si="55"/>
        <v>280.7819438</v>
      </c>
      <c r="S34" s="319">
        <f t="shared" si="56"/>
        <v>13.37056875</v>
      </c>
      <c r="U34" s="322" t="s">
        <v>41</v>
      </c>
      <c r="V34" s="319">
        <f t="shared" si="57"/>
        <v>280.7819438</v>
      </c>
      <c r="W34" s="319">
        <f t="shared" si="58"/>
        <v>13.37056875</v>
      </c>
      <c r="Y34" s="322" t="s">
        <v>41</v>
      </c>
      <c r="Z34" s="319">
        <f t="shared" si="59"/>
        <v>0</v>
      </c>
      <c r="AA34" s="319">
        <f t="shared" si="60"/>
        <v>0</v>
      </c>
      <c r="AC34" s="322" t="s">
        <v>41</v>
      </c>
      <c r="AD34" s="319">
        <f t="shared" si="61"/>
        <v>280.7819438</v>
      </c>
      <c r="AE34" s="319">
        <f t="shared" si="62"/>
        <v>13.37056875</v>
      </c>
      <c r="AG34" s="322" t="s">
        <v>41</v>
      </c>
      <c r="AH34" s="319">
        <f t="shared" si="63"/>
        <v>280.7819438</v>
      </c>
      <c r="AI34" s="319">
        <f t="shared" si="64"/>
        <v>13.37056875</v>
      </c>
      <c r="AK34" s="322" t="s">
        <v>41</v>
      </c>
      <c r="AL34" s="319">
        <f t="shared" si="65"/>
        <v>0</v>
      </c>
      <c r="AM34" s="319">
        <f t="shared" si="66"/>
        <v>0</v>
      </c>
      <c r="AO34" s="322" t="s">
        <v>41</v>
      </c>
      <c r="AP34" s="319">
        <f t="shared" si="67"/>
        <v>0</v>
      </c>
      <c r="AQ34" s="319">
        <f t="shared" si="68"/>
        <v>0</v>
      </c>
      <c r="AS34" s="322" t="s">
        <v>41</v>
      </c>
      <c r="AT34" s="319">
        <f t="shared" si="69"/>
        <v>0</v>
      </c>
      <c r="AU34" s="319">
        <f t="shared" si="70"/>
        <v>0</v>
      </c>
      <c r="AW34" s="322" t="s">
        <v>41</v>
      </c>
      <c r="AX34" s="319">
        <f t="shared" si="71"/>
        <v>0</v>
      </c>
      <c r="AY34" s="319">
        <f t="shared" si="72"/>
        <v>0</v>
      </c>
    </row>
    <row r="35" ht="14.25" customHeight="1">
      <c r="E35" s="322" t="s">
        <v>41</v>
      </c>
      <c r="F35" s="319">
        <f t="shared" si="49"/>
        <v>294.8210409</v>
      </c>
      <c r="G35" s="321">
        <f t="shared" si="50"/>
        <v>14.03909719</v>
      </c>
      <c r="H35" s="320"/>
      <c r="I35" s="323" t="s">
        <v>42</v>
      </c>
      <c r="J35" s="319">
        <f t="shared" si="51"/>
        <v>589.6420819</v>
      </c>
      <c r="K35" s="321">
        <f t="shared" si="52"/>
        <v>28.07819438</v>
      </c>
      <c r="L35" s="320"/>
      <c r="M35" s="323" t="s">
        <v>42</v>
      </c>
      <c r="N35" s="319">
        <f t="shared" si="53"/>
        <v>294.8210409</v>
      </c>
      <c r="O35" s="319">
        <f t="shared" si="54"/>
        <v>14.03909719</v>
      </c>
      <c r="Q35" s="322" t="s">
        <v>42</v>
      </c>
      <c r="R35" s="319">
        <f t="shared" si="55"/>
        <v>294.8210409</v>
      </c>
      <c r="S35" s="319">
        <f t="shared" si="56"/>
        <v>14.03909719</v>
      </c>
      <c r="U35" s="322" t="s">
        <v>42</v>
      </c>
      <c r="V35" s="319">
        <f t="shared" si="57"/>
        <v>294.8210409</v>
      </c>
      <c r="W35" s="319">
        <f t="shared" si="58"/>
        <v>14.03909719</v>
      </c>
      <c r="Y35" s="322" t="s">
        <v>42</v>
      </c>
      <c r="Z35" s="319">
        <f t="shared" si="59"/>
        <v>0</v>
      </c>
      <c r="AA35" s="319">
        <f t="shared" si="60"/>
        <v>0</v>
      </c>
      <c r="AC35" s="322" t="s">
        <v>42</v>
      </c>
      <c r="AD35" s="319">
        <f t="shared" si="61"/>
        <v>294.8210409</v>
      </c>
      <c r="AE35" s="319">
        <f t="shared" si="62"/>
        <v>14.03909719</v>
      </c>
      <c r="AG35" s="322" t="s">
        <v>42</v>
      </c>
      <c r="AH35" s="319">
        <f t="shared" si="63"/>
        <v>294.8210409</v>
      </c>
      <c r="AI35" s="319">
        <f t="shared" si="64"/>
        <v>14.03909719</v>
      </c>
      <c r="AK35" s="322" t="s">
        <v>42</v>
      </c>
      <c r="AL35" s="319">
        <f t="shared" si="65"/>
        <v>0</v>
      </c>
      <c r="AM35" s="319">
        <f t="shared" si="66"/>
        <v>0</v>
      </c>
      <c r="AO35" s="322" t="s">
        <v>42</v>
      </c>
      <c r="AP35" s="319">
        <f t="shared" si="67"/>
        <v>0</v>
      </c>
      <c r="AQ35" s="319">
        <f t="shared" si="68"/>
        <v>0</v>
      </c>
      <c r="AS35" s="322" t="s">
        <v>42</v>
      </c>
      <c r="AT35" s="319">
        <f t="shared" si="69"/>
        <v>0</v>
      </c>
      <c r="AU35" s="319">
        <f t="shared" si="70"/>
        <v>0</v>
      </c>
      <c r="AW35" s="322" t="s">
        <v>42</v>
      </c>
      <c r="AX35" s="319">
        <f t="shared" si="71"/>
        <v>0</v>
      </c>
      <c r="AY35" s="319">
        <f t="shared" si="72"/>
        <v>0</v>
      </c>
    </row>
    <row r="36" ht="14.25" customHeight="1">
      <c r="E36" s="322" t="s">
        <v>42</v>
      </c>
      <c r="F36" s="319">
        <f t="shared" si="49"/>
        <v>309.562093</v>
      </c>
      <c r="G36" s="321">
        <f t="shared" si="50"/>
        <v>14.74105205</v>
      </c>
      <c r="H36" s="320"/>
      <c r="I36" s="323" t="s">
        <v>43</v>
      </c>
      <c r="J36" s="319">
        <f t="shared" si="51"/>
        <v>619.124186</v>
      </c>
      <c r="K36" s="321">
        <f t="shared" si="52"/>
        <v>29.48210409</v>
      </c>
      <c r="L36" s="320"/>
      <c r="M36" s="323" t="s">
        <v>43</v>
      </c>
      <c r="N36" s="319">
        <f t="shared" si="53"/>
        <v>309.562093</v>
      </c>
      <c r="O36" s="319">
        <f t="shared" si="54"/>
        <v>14.74105205</v>
      </c>
      <c r="Q36" s="322" t="s">
        <v>43</v>
      </c>
      <c r="R36" s="319">
        <f t="shared" si="55"/>
        <v>309.562093</v>
      </c>
      <c r="S36" s="319">
        <f t="shared" si="56"/>
        <v>14.74105205</v>
      </c>
      <c r="U36" s="322" t="s">
        <v>43</v>
      </c>
      <c r="V36" s="319">
        <f t="shared" si="57"/>
        <v>309.562093</v>
      </c>
      <c r="W36" s="319">
        <f t="shared" si="58"/>
        <v>14.74105205</v>
      </c>
      <c r="Y36" s="322" t="s">
        <v>43</v>
      </c>
      <c r="Z36" s="319">
        <f t="shared" si="59"/>
        <v>0</v>
      </c>
      <c r="AA36" s="319">
        <f t="shared" si="60"/>
        <v>0</v>
      </c>
      <c r="AC36" s="322" t="s">
        <v>43</v>
      </c>
      <c r="AD36" s="319">
        <f t="shared" si="61"/>
        <v>309.562093</v>
      </c>
      <c r="AE36" s="319">
        <f t="shared" si="62"/>
        <v>14.74105205</v>
      </c>
      <c r="AG36" s="322" t="s">
        <v>43</v>
      </c>
      <c r="AH36" s="319">
        <f t="shared" si="63"/>
        <v>309.562093</v>
      </c>
      <c r="AI36" s="319">
        <f t="shared" si="64"/>
        <v>14.74105205</v>
      </c>
      <c r="AK36" s="322" t="s">
        <v>43</v>
      </c>
      <c r="AL36" s="319">
        <f t="shared" si="65"/>
        <v>0</v>
      </c>
      <c r="AM36" s="319">
        <f t="shared" si="66"/>
        <v>0</v>
      </c>
      <c r="AO36" s="322" t="s">
        <v>43</v>
      </c>
      <c r="AP36" s="319">
        <f t="shared" si="67"/>
        <v>0</v>
      </c>
      <c r="AQ36" s="319">
        <f t="shared" si="68"/>
        <v>0</v>
      </c>
      <c r="AS36" s="322" t="s">
        <v>43</v>
      </c>
      <c r="AT36" s="319">
        <f t="shared" si="69"/>
        <v>0</v>
      </c>
      <c r="AU36" s="319">
        <f t="shared" si="70"/>
        <v>0</v>
      </c>
      <c r="AW36" s="322" t="s">
        <v>43</v>
      </c>
      <c r="AX36" s="319">
        <f t="shared" si="71"/>
        <v>0</v>
      </c>
      <c r="AY36" s="319">
        <f t="shared" si="72"/>
        <v>0</v>
      </c>
    </row>
    <row r="37" ht="14.25" customHeight="1">
      <c r="E37" s="322"/>
      <c r="F37" s="319"/>
      <c r="G37" s="321"/>
      <c r="H37" s="320"/>
      <c r="I37" s="323"/>
      <c r="J37" s="319"/>
      <c r="K37" s="321"/>
      <c r="L37" s="320"/>
      <c r="M37" s="323"/>
      <c r="N37" s="319"/>
      <c r="O37" s="319"/>
      <c r="Q37" s="322"/>
      <c r="R37" s="319"/>
      <c r="S37" s="319"/>
      <c r="U37" s="322"/>
      <c r="V37" s="319"/>
      <c r="W37" s="319"/>
      <c r="Y37" s="322"/>
      <c r="Z37" s="319"/>
      <c r="AA37" s="319"/>
      <c r="AC37" s="322"/>
      <c r="AD37" s="319"/>
      <c r="AE37" s="319"/>
      <c r="AG37" s="322"/>
      <c r="AH37" s="319"/>
      <c r="AI37" s="319"/>
      <c r="AK37" s="322"/>
      <c r="AL37" s="319"/>
      <c r="AM37" s="319"/>
      <c r="AO37" s="322"/>
      <c r="AP37" s="319"/>
      <c r="AQ37" s="319"/>
      <c r="AS37" s="322"/>
      <c r="AT37" s="319"/>
      <c r="AU37" s="319"/>
      <c r="AW37" s="322"/>
      <c r="AX37" s="319"/>
      <c r="AY37" s="319"/>
    </row>
    <row r="38" ht="14.25" customHeight="1">
      <c r="E38" s="322" t="s">
        <v>35</v>
      </c>
      <c r="F38" s="319">
        <f>SHARES!Y3</f>
        <v>200</v>
      </c>
      <c r="G38" s="321"/>
      <c r="H38" s="320"/>
      <c r="I38" s="323" t="s">
        <v>36</v>
      </c>
      <c r="J38" s="319">
        <f>SHARES!Y4</f>
        <v>200</v>
      </c>
      <c r="K38" s="321"/>
      <c r="L38" s="320"/>
      <c r="M38" s="323" t="s">
        <v>36</v>
      </c>
      <c r="N38" s="319">
        <f>SHARES!Y5</f>
        <v>200</v>
      </c>
      <c r="O38" s="319"/>
      <c r="Q38" s="322" t="s">
        <v>36</v>
      </c>
      <c r="R38" s="319">
        <f>SHARES!Y6</f>
        <v>200</v>
      </c>
      <c r="S38" s="319"/>
      <c r="U38" s="322" t="s">
        <v>36</v>
      </c>
      <c r="V38" s="319">
        <f>SHARES!Y7</f>
        <v>200</v>
      </c>
      <c r="W38" s="319"/>
      <c r="Y38" s="322" t="s">
        <v>36</v>
      </c>
      <c r="Z38" s="319">
        <f>SHARES!Y8</f>
        <v>200</v>
      </c>
      <c r="AA38" s="319"/>
      <c r="AC38" s="322" t="s">
        <v>36</v>
      </c>
      <c r="AD38" s="319">
        <f>SHARES!Y9</f>
        <v>200</v>
      </c>
      <c r="AE38" s="319"/>
      <c r="AG38" s="322" t="s">
        <v>36</v>
      </c>
      <c r="AH38" s="319">
        <f>SHARES!Y10</f>
        <v>800</v>
      </c>
      <c r="AI38" s="319"/>
      <c r="AK38" s="322" t="s">
        <v>36</v>
      </c>
      <c r="AL38" s="319">
        <f>SHARES!Y11</f>
        <v>200</v>
      </c>
      <c r="AM38" s="319"/>
      <c r="AO38" s="322" t="s">
        <v>36</v>
      </c>
      <c r="AP38" s="319">
        <f>SHARES!Y12</f>
        <v>0</v>
      </c>
      <c r="AQ38" s="319"/>
      <c r="AS38" s="322" t="s">
        <v>36</v>
      </c>
      <c r="AT38" s="319">
        <f>SHARES!Y13</f>
        <v>0</v>
      </c>
      <c r="AU38" s="319"/>
      <c r="AW38" s="322" t="s">
        <v>36</v>
      </c>
      <c r="AX38" s="319" t="str">
        <f>SHARES!Y14</f>
        <v/>
      </c>
      <c r="AY38" s="319"/>
    </row>
    <row r="39" ht="14.25" customHeight="1">
      <c r="E39" s="322" t="s">
        <v>36</v>
      </c>
      <c r="F39" s="319">
        <f>F38*1.1</f>
        <v>220</v>
      </c>
      <c r="G39" s="321">
        <f>F38*0.1</f>
        <v>20</v>
      </c>
      <c r="H39" s="320"/>
      <c r="I39" s="323" t="s">
        <v>37</v>
      </c>
      <c r="J39" s="319">
        <f>J38*1.1</f>
        <v>220</v>
      </c>
      <c r="K39" s="321">
        <f>J38*0.1</f>
        <v>20</v>
      </c>
      <c r="L39" s="320"/>
      <c r="M39" s="323" t="s">
        <v>37</v>
      </c>
      <c r="N39" s="319">
        <f>N38*1.1</f>
        <v>220</v>
      </c>
      <c r="O39" s="319">
        <f>N38*0.1</f>
        <v>20</v>
      </c>
      <c r="Q39" s="322" t="s">
        <v>37</v>
      </c>
      <c r="R39" s="319">
        <f>R38*1.1</f>
        <v>220</v>
      </c>
      <c r="S39" s="319">
        <f>R38*0.1</f>
        <v>20</v>
      </c>
      <c r="U39" s="322" t="s">
        <v>37</v>
      </c>
      <c r="V39" s="319">
        <f>V38*1.1</f>
        <v>220</v>
      </c>
      <c r="W39" s="319">
        <f>V38*0.1</f>
        <v>20</v>
      </c>
      <c r="Y39" s="322" t="s">
        <v>37</v>
      </c>
      <c r="Z39" s="319">
        <f>Z38*1.1</f>
        <v>220</v>
      </c>
      <c r="AA39" s="319">
        <f>Z38*0.1</f>
        <v>20</v>
      </c>
      <c r="AC39" s="322" t="s">
        <v>37</v>
      </c>
      <c r="AD39" s="319">
        <f>AD38*1.1</f>
        <v>220</v>
      </c>
      <c r="AE39" s="319">
        <f>AD38*0.1</f>
        <v>20</v>
      </c>
      <c r="AG39" s="322" t="s">
        <v>37</v>
      </c>
      <c r="AH39" s="319">
        <f>AH38*1.1</f>
        <v>880</v>
      </c>
      <c r="AI39" s="319">
        <f>AH38*0.1</f>
        <v>80</v>
      </c>
      <c r="AK39" s="322" t="s">
        <v>37</v>
      </c>
      <c r="AL39" s="319">
        <f>AL38*1.1</f>
        <v>220</v>
      </c>
      <c r="AM39" s="319">
        <f>AL38*0.1</f>
        <v>20</v>
      </c>
      <c r="AO39" s="322" t="s">
        <v>37</v>
      </c>
      <c r="AP39" s="319">
        <f>AP38*1.1</f>
        <v>0</v>
      </c>
      <c r="AQ39" s="319">
        <f>AP38*0.1</f>
        <v>0</v>
      </c>
      <c r="AS39" s="322" t="s">
        <v>37</v>
      </c>
      <c r="AT39" s="319">
        <f>AT38*1.1</f>
        <v>0</v>
      </c>
      <c r="AU39" s="319">
        <f>AT38*0.1</f>
        <v>0</v>
      </c>
      <c r="AW39" s="322" t="s">
        <v>37</v>
      </c>
      <c r="AX39" s="319">
        <f>AX38*1.1</f>
        <v>0</v>
      </c>
      <c r="AY39" s="319">
        <f>AX38*0.1</f>
        <v>0</v>
      </c>
    </row>
    <row r="40" ht="14.25" customHeight="1">
      <c r="E40" s="322" t="s">
        <v>37</v>
      </c>
      <c r="F40" s="319">
        <f t="shared" ref="F40:F45" si="73">F39*1.05</f>
        <v>231</v>
      </c>
      <c r="G40" s="321">
        <f t="shared" ref="G40:G45" si="74">F39*0.05</f>
        <v>11</v>
      </c>
      <c r="H40" s="320"/>
      <c r="I40" s="323" t="s">
        <v>38</v>
      </c>
      <c r="J40" s="319">
        <f t="shared" ref="J40:J45" si="75">J39*1.05</f>
        <v>231</v>
      </c>
      <c r="K40" s="321">
        <f t="shared" ref="K40:K45" si="76">J39*0.05</f>
        <v>11</v>
      </c>
      <c r="L40" s="320"/>
      <c r="M40" s="323" t="s">
        <v>38</v>
      </c>
      <c r="N40" s="319">
        <f t="shared" ref="N40:N45" si="77">N39*1.05</f>
        <v>231</v>
      </c>
      <c r="O40" s="319">
        <f t="shared" ref="O40:O45" si="78">N39*0.05</f>
        <v>11</v>
      </c>
      <c r="Q40" s="322" t="s">
        <v>38</v>
      </c>
      <c r="R40" s="319">
        <f t="shared" ref="R40:R45" si="79">R39*1.05</f>
        <v>231</v>
      </c>
      <c r="S40" s="319">
        <f t="shared" ref="S40:S45" si="80">R39*0.05</f>
        <v>11</v>
      </c>
      <c r="U40" s="322" t="s">
        <v>38</v>
      </c>
      <c r="V40" s="319">
        <f t="shared" ref="V40:V45" si="81">V39*1.05</f>
        <v>231</v>
      </c>
      <c r="W40" s="319">
        <f t="shared" ref="W40:W45" si="82">V39*0.05</f>
        <v>11</v>
      </c>
      <c r="Y40" s="322" t="s">
        <v>38</v>
      </c>
      <c r="Z40" s="319">
        <f t="shared" ref="Z40:Z45" si="83">Z39*1.05</f>
        <v>231</v>
      </c>
      <c r="AA40" s="319">
        <f t="shared" ref="AA40:AA45" si="84">Z39*0.05</f>
        <v>11</v>
      </c>
      <c r="AC40" s="322" t="s">
        <v>38</v>
      </c>
      <c r="AD40" s="319">
        <f t="shared" ref="AD40:AD45" si="85">AD39*1.05</f>
        <v>231</v>
      </c>
      <c r="AE40" s="319">
        <f t="shared" ref="AE40:AE45" si="86">AD39*0.05</f>
        <v>11</v>
      </c>
      <c r="AG40" s="322" t="s">
        <v>38</v>
      </c>
      <c r="AH40" s="319">
        <f t="shared" ref="AH40:AH45" si="87">AH39*1.05</f>
        <v>924</v>
      </c>
      <c r="AI40" s="319">
        <f t="shared" ref="AI40:AI45" si="88">AH39*0.05</f>
        <v>44</v>
      </c>
      <c r="AK40" s="322" t="s">
        <v>38</v>
      </c>
      <c r="AL40" s="319">
        <f t="shared" ref="AL40:AL45" si="89">AL39*1.05</f>
        <v>231</v>
      </c>
      <c r="AM40" s="319">
        <f t="shared" ref="AM40:AM45" si="90">AL39*0.05</f>
        <v>11</v>
      </c>
      <c r="AO40" s="322" t="s">
        <v>38</v>
      </c>
      <c r="AP40" s="319">
        <f t="shared" ref="AP40:AP45" si="91">AP39*1.05</f>
        <v>0</v>
      </c>
      <c r="AQ40" s="319">
        <f t="shared" ref="AQ40:AQ45" si="92">AP39*0.05</f>
        <v>0</v>
      </c>
      <c r="AS40" s="322" t="s">
        <v>38</v>
      </c>
      <c r="AT40" s="319">
        <f t="shared" ref="AT40:AT45" si="93">AT39*1.05</f>
        <v>0</v>
      </c>
      <c r="AU40" s="319">
        <f t="shared" ref="AU40:AU45" si="94">AT39*0.05</f>
        <v>0</v>
      </c>
      <c r="AW40" s="322" t="s">
        <v>38</v>
      </c>
      <c r="AX40" s="319">
        <f t="shared" ref="AX40:AX45" si="95">AX39*1.05</f>
        <v>0</v>
      </c>
      <c r="AY40" s="319">
        <f t="shared" ref="AY40:AY45" si="96">AX39*0.05</f>
        <v>0</v>
      </c>
    </row>
    <row r="41" ht="14.25" customHeight="1">
      <c r="E41" s="322" t="s">
        <v>38</v>
      </c>
      <c r="F41" s="319">
        <f t="shared" si="73"/>
        <v>242.55</v>
      </c>
      <c r="G41" s="321">
        <f t="shared" si="74"/>
        <v>11.55</v>
      </c>
      <c r="H41" s="320"/>
      <c r="I41" s="323" t="s">
        <v>39</v>
      </c>
      <c r="J41" s="319">
        <f t="shared" si="75"/>
        <v>242.55</v>
      </c>
      <c r="K41" s="321">
        <f t="shared" si="76"/>
        <v>11.55</v>
      </c>
      <c r="L41" s="320"/>
      <c r="M41" s="323" t="s">
        <v>39</v>
      </c>
      <c r="N41" s="319">
        <f t="shared" si="77"/>
        <v>242.55</v>
      </c>
      <c r="O41" s="319">
        <f t="shared" si="78"/>
        <v>11.55</v>
      </c>
      <c r="Q41" s="322" t="s">
        <v>39</v>
      </c>
      <c r="R41" s="319">
        <f t="shared" si="79"/>
        <v>242.55</v>
      </c>
      <c r="S41" s="319">
        <f t="shared" si="80"/>
        <v>11.55</v>
      </c>
      <c r="U41" s="322" t="s">
        <v>39</v>
      </c>
      <c r="V41" s="319">
        <f t="shared" si="81"/>
        <v>242.55</v>
      </c>
      <c r="W41" s="319">
        <f t="shared" si="82"/>
        <v>11.55</v>
      </c>
      <c r="Y41" s="322" t="s">
        <v>39</v>
      </c>
      <c r="Z41" s="319">
        <f t="shared" si="83"/>
        <v>242.55</v>
      </c>
      <c r="AA41" s="319">
        <f t="shared" si="84"/>
        <v>11.55</v>
      </c>
      <c r="AC41" s="322" t="s">
        <v>39</v>
      </c>
      <c r="AD41" s="319">
        <f t="shared" si="85"/>
        <v>242.55</v>
      </c>
      <c r="AE41" s="319">
        <f t="shared" si="86"/>
        <v>11.55</v>
      </c>
      <c r="AG41" s="322" t="s">
        <v>39</v>
      </c>
      <c r="AH41" s="319">
        <f t="shared" si="87"/>
        <v>970.2</v>
      </c>
      <c r="AI41" s="319">
        <f t="shared" si="88"/>
        <v>46.2</v>
      </c>
      <c r="AK41" s="322" t="s">
        <v>39</v>
      </c>
      <c r="AL41" s="319">
        <f t="shared" si="89"/>
        <v>242.55</v>
      </c>
      <c r="AM41" s="319">
        <f t="shared" si="90"/>
        <v>11.55</v>
      </c>
      <c r="AO41" s="322" t="s">
        <v>39</v>
      </c>
      <c r="AP41" s="319">
        <f t="shared" si="91"/>
        <v>0</v>
      </c>
      <c r="AQ41" s="319">
        <f t="shared" si="92"/>
        <v>0</v>
      </c>
      <c r="AS41" s="322" t="s">
        <v>39</v>
      </c>
      <c r="AT41" s="319">
        <f t="shared" si="93"/>
        <v>0</v>
      </c>
      <c r="AU41" s="319">
        <f t="shared" si="94"/>
        <v>0</v>
      </c>
      <c r="AW41" s="322" t="s">
        <v>39</v>
      </c>
      <c r="AX41" s="319">
        <f t="shared" si="95"/>
        <v>0</v>
      </c>
      <c r="AY41" s="319">
        <f t="shared" si="96"/>
        <v>0</v>
      </c>
    </row>
    <row r="42" ht="14.25" customHeight="1">
      <c r="E42" s="322" t="s">
        <v>39</v>
      </c>
      <c r="F42" s="319">
        <f t="shared" si="73"/>
        <v>254.6775</v>
      </c>
      <c r="G42" s="321">
        <f t="shared" si="74"/>
        <v>12.1275</v>
      </c>
      <c r="H42" s="320"/>
      <c r="I42" s="323" t="s">
        <v>40</v>
      </c>
      <c r="J42" s="319">
        <f t="shared" si="75"/>
        <v>254.6775</v>
      </c>
      <c r="K42" s="321">
        <f t="shared" si="76"/>
        <v>12.1275</v>
      </c>
      <c r="L42" s="320"/>
      <c r="M42" s="323" t="s">
        <v>40</v>
      </c>
      <c r="N42" s="319">
        <f t="shared" si="77"/>
        <v>254.6775</v>
      </c>
      <c r="O42" s="319">
        <f t="shared" si="78"/>
        <v>12.1275</v>
      </c>
      <c r="Q42" s="322" t="s">
        <v>40</v>
      </c>
      <c r="R42" s="319">
        <f t="shared" si="79"/>
        <v>254.6775</v>
      </c>
      <c r="S42" s="319">
        <f t="shared" si="80"/>
        <v>12.1275</v>
      </c>
      <c r="U42" s="322" t="s">
        <v>40</v>
      </c>
      <c r="V42" s="319">
        <f t="shared" si="81"/>
        <v>254.6775</v>
      </c>
      <c r="W42" s="319">
        <f t="shared" si="82"/>
        <v>12.1275</v>
      </c>
      <c r="Y42" s="322" t="s">
        <v>40</v>
      </c>
      <c r="Z42" s="319">
        <f t="shared" si="83"/>
        <v>254.6775</v>
      </c>
      <c r="AA42" s="319">
        <f t="shared" si="84"/>
        <v>12.1275</v>
      </c>
      <c r="AC42" s="322" t="s">
        <v>40</v>
      </c>
      <c r="AD42" s="319">
        <f t="shared" si="85"/>
        <v>254.6775</v>
      </c>
      <c r="AE42" s="319">
        <f t="shared" si="86"/>
        <v>12.1275</v>
      </c>
      <c r="AG42" s="322" t="s">
        <v>40</v>
      </c>
      <c r="AH42" s="319">
        <f t="shared" si="87"/>
        <v>1018.71</v>
      </c>
      <c r="AI42" s="319">
        <f t="shared" si="88"/>
        <v>48.51</v>
      </c>
      <c r="AK42" s="322" t="s">
        <v>40</v>
      </c>
      <c r="AL42" s="319">
        <f t="shared" si="89"/>
        <v>254.6775</v>
      </c>
      <c r="AM42" s="319">
        <f t="shared" si="90"/>
        <v>12.1275</v>
      </c>
      <c r="AO42" s="322" t="s">
        <v>40</v>
      </c>
      <c r="AP42" s="319">
        <f t="shared" si="91"/>
        <v>0</v>
      </c>
      <c r="AQ42" s="319">
        <f t="shared" si="92"/>
        <v>0</v>
      </c>
      <c r="AS42" s="322" t="s">
        <v>40</v>
      </c>
      <c r="AT42" s="319">
        <f t="shared" si="93"/>
        <v>0</v>
      </c>
      <c r="AU42" s="319">
        <f t="shared" si="94"/>
        <v>0</v>
      </c>
      <c r="AW42" s="322" t="s">
        <v>40</v>
      </c>
      <c r="AX42" s="319">
        <f t="shared" si="95"/>
        <v>0</v>
      </c>
      <c r="AY42" s="319">
        <f t="shared" si="96"/>
        <v>0</v>
      </c>
    </row>
    <row r="43" ht="14.25" customHeight="1">
      <c r="E43" s="322" t="s">
        <v>40</v>
      </c>
      <c r="F43" s="319">
        <f t="shared" si="73"/>
        <v>267.411375</v>
      </c>
      <c r="G43" s="321">
        <f t="shared" si="74"/>
        <v>12.733875</v>
      </c>
      <c r="H43" s="320"/>
      <c r="I43" s="323" t="s">
        <v>41</v>
      </c>
      <c r="J43" s="319">
        <f t="shared" si="75"/>
        <v>267.411375</v>
      </c>
      <c r="K43" s="321">
        <f t="shared" si="76"/>
        <v>12.733875</v>
      </c>
      <c r="L43" s="320"/>
      <c r="M43" s="323" t="s">
        <v>41</v>
      </c>
      <c r="N43" s="319">
        <f t="shared" si="77"/>
        <v>267.411375</v>
      </c>
      <c r="O43" s="319">
        <f t="shared" si="78"/>
        <v>12.733875</v>
      </c>
      <c r="Q43" s="322" t="s">
        <v>41</v>
      </c>
      <c r="R43" s="319">
        <f t="shared" si="79"/>
        <v>267.411375</v>
      </c>
      <c r="S43" s="319">
        <f t="shared" si="80"/>
        <v>12.733875</v>
      </c>
      <c r="U43" s="322" t="s">
        <v>41</v>
      </c>
      <c r="V43" s="319">
        <f t="shared" si="81"/>
        <v>267.411375</v>
      </c>
      <c r="W43" s="319">
        <f t="shared" si="82"/>
        <v>12.733875</v>
      </c>
      <c r="Y43" s="322" t="s">
        <v>41</v>
      </c>
      <c r="Z43" s="319">
        <f t="shared" si="83"/>
        <v>267.411375</v>
      </c>
      <c r="AA43" s="319">
        <f t="shared" si="84"/>
        <v>12.733875</v>
      </c>
      <c r="AC43" s="322" t="s">
        <v>41</v>
      </c>
      <c r="AD43" s="319">
        <f t="shared" si="85"/>
        <v>267.411375</v>
      </c>
      <c r="AE43" s="319">
        <f t="shared" si="86"/>
        <v>12.733875</v>
      </c>
      <c r="AG43" s="322" t="s">
        <v>41</v>
      </c>
      <c r="AH43" s="319">
        <f t="shared" si="87"/>
        <v>1069.6455</v>
      </c>
      <c r="AI43" s="319">
        <f t="shared" si="88"/>
        <v>50.9355</v>
      </c>
      <c r="AK43" s="322" t="s">
        <v>41</v>
      </c>
      <c r="AL43" s="319">
        <f t="shared" si="89"/>
        <v>267.411375</v>
      </c>
      <c r="AM43" s="319">
        <f t="shared" si="90"/>
        <v>12.733875</v>
      </c>
      <c r="AO43" s="322" t="s">
        <v>41</v>
      </c>
      <c r="AP43" s="319">
        <f t="shared" si="91"/>
        <v>0</v>
      </c>
      <c r="AQ43" s="319">
        <f t="shared" si="92"/>
        <v>0</v>
      </c>
      <c r="AS43" s="322" t="s">
        <v>41</v>
      </c>
      <c r="AT43" s="319">
        <f t="shared" si="93"/>
        <v>0</v>
      </c>
      <c r="AU43" s="319">
        <f t="shared" si="94"/>
        <v>0</v>
      </c>
      <c r="AW43" s="322" t="s">
        <v>41</v>
      </c>
      <c r="AX43" s="319">
        <f t="shared" si="95"/>
        <v>0</v>
      </c>
      <c r="AY43" s="319">
        <f t="shared" si="96"/>
        <v>0</v>
      </c>
    </row>
    <row r="44" ht="14.25" customHeight="1">
      <c r="E44" s="322" t="s">
        <v>41</v>
      </c>
      <c r="F44" s="319">
        <f t="shared" si="73"/>
        <v>280.7819438</v>
      </c>
      <c r="G44" s="321">
        <f t="shared" si="74"/>
        <v>13.37056875</v>
      </c>
      <c r="H44" s="320"/>
      <c r="I44" s="323" t="s">
        <v>42</v>
      </c>
      <c r="J44" s="319">
        <f t="shared" si="75"/>
        <v>280.7819438</v>
      </c>
      <c r="K44" s="321">
        <f t="shared" si="76"/>
        <v>13.37056875</v>
      </c>
      <c r="L44" s="320"/>
      <c r="M44" s="323" t="s">
        <v>42</v>
      </c>
      <c r="N44" s="319">
        <f t="shared" si="77"/>
        <v>280.7819438</v>
      </c>
      <c r="O44" s="319">
        <f t="shared" si="78"/>
        <v>13.37056875</v>
      </c>
      <c r="Q44" s="322" t="s">
        <v>42</v>
      </c>
      <c r="R44" s="319">
        <f t="shared" si="79"/>
        <v>280.7819438</v>
      </c>
      <c r="S44" s="319">
        <f t="shared" si="80"/>
        <v>13.37056875</v>
      </c>
      <c r="U44" s="322" t="s">
        <v>42</v>
      </c>
      <c r="V44" s="319">
        <f t="shared" si="81"/>
        <v>280.7819438</v>
      </c>
      <c r="W44" s="319">
        <f t="shared" si="82"/>
        <v>13.37056875</v>
      </c>
      <c r="Y44" s="322" t="s">
        <v>42</v>
      </c>
      <c r="Z44" s="319">
        <f t="shared" si="83"/>
        <v>280.7819438</v>
      </c>
      <c r="AA44" s="319">
        <f t="shared" si="84"/>
        <v>13.37056875</v>
      </c>
      <c r="AC44" s="322" t="s">
        <v>42</v>
      </c>
      <c r="AD44" s="319">
        <f t="shared" si="85"/>
        <v>280.7819438</v>
      </c>
      <c r="AE44" s="319">
        <f t="shared" si="86"/>
        <v>13.37056875</v>
      </c>
      <c r="AG44" s="322" t="s">
        <v>42</v>
      </c>
      <c r="AH44" s="319">
        <f t="shared" si="87"/>
        <v>1123.127775</v>
      </c>
      <c r="AI44" s="319">
        <f t="shared" si="88"/>
        <v>53.482275</v>
      </c>
      <c r="AK44" s="322" t="s">
        <v>42</v>
      </c>
      <c r="AL44" s="319">
        <f t="shared" si="89"/>
        <v>280.7819438</v>
      </c>
      <c r="AM44" s="319">
        <f t="shared" si="90"/>
        <v>13.37056875</v>
      </c>
      <c r="AO44" s="322" t="s">
        <v>42</v>
      </c>
      <c r="AP44" s="319">
        <f t="shared" si="91"/>
        <v>0</v>
      </c>
      <c r="AQ44" s="319">
        <f t="shared" si="92"/>
        <v>0</v>
      </c>
      <c r="AS44" s="322" t="s">
        <v>42</v>
      </c>
      <c r="AT44" s="319">
        <f t="shared" si="93"/>
        <v>0</v>
      </c>
      <c r="AU44" s="319">
        <f t="shared" si="94"/>
        <v>0</v>
      </c>
      <c r="AW44" s="322" t="s">
        <v>42</v>
      </c>
      <c r="AX44" s="319">
        <f t="shared" si="95"/>
        <v>0</v>
      </c>
      <c r="AY44" s="319">
        <f t="shared" si="96"/>
        <v>0</v>
      </c>
    </row>
    <row r="45" ht="14.25" customHeight="1">
      <c r="E45" s="322" t="s">
        <v>42</v>
      </c>
      <c r="F45" s="319">
        <f t="shared" si="73"/>
        <v>294.8210409</v>
      </c>
      <c r="G45" s="321">
        <f t="shared" si="74"/>
        <v>14.03909719</v>
      </c>
      <c r="H45" s="320"/>
      <c r="I45" s="323" t="s">
        <v>43</v>
      </c>
      <c r="J45" s="319">
        <f t="shared" si="75"/>
        <v>294.8210409</v>
      </c>
      <c r="K45" s="321">
        <f t="shared" si="76"/>
        <v>14.03909719</v>
      </c>
      <c r="L45" s="320"/>
      <c r="M45" s="323" t="s">
        <v>43</v>
      </c>
      <c r="N45" s="319">
        <f t="shared" si="77"/>
        <v>294.8210409</v>
      </c>
      <c r="O45" s="319">
        <f t="shared" si="78"/>
        <v>14.03909719</v>
      </c>
      <c r="Q45" s="322" t="s">
        <v>43</v>
      </c>
      <c r="R45" s="319">
        <f t="shared" si="79"/>
        <v>294.8210409</v>
      </c>
      <c r="S45" s="319">
        <f t="shared" si="80"/>
        <v>14.03909719</v>
      </c>
      <c r="U45" s="322" t="s">
        <v>43</v>
      </c>
      <c r="V45" s="319">
        <f t="shared" si="81"/>
        <v>294.8210409</v>
      </c>
      <c r="W45" s="319">
        <f t="shared" si="82"/>
        <v>14.03909719</v>
      </c>
      <c r="Y45" s="322" t="s">
        <v>43</v>
      </c>
      <c r="Z45" s="319">
        <f t="shared" si="83"/>
        <v>294.8210409</v>
      </c>
      <c r="AA45" s="319">
        <f t="shared" si="84"/>
        <v>14.03909719</v>
      </c>
      <c r="AC45" s="322" t="s">
        <v>43</v>
      </c>
      <c r="AD45" s="319">
        <f t="shared" si="85"/>
        <v>294.8210409</v>
      </c>
      <c r="AE45" s="319">
        <f t="shared" si="86"/>
        <v>14.03909719</v>
      </c>
      <c r="AG45" s="322" t="s">
        <v>43</v>
      </c>
      <c r="AH45" s="319">
        <f t="shared" si="87"/>
        <v>1179.284164</v>
      </c>
      <c r="AI45" s="319">
        <f t="shared" si="88"/>
        <v>56.15638875</v>
      </c>
      <c r="AK45" s="322" t="s">
        <v>43</v>
      </c>
      <c r="AL45" s="319">
        <f t="shared" si="89"/>
        <v>294.8210409</v>
      </c>
      <c r="AM45" s="319">
        <f t="shared" si="90"/>
        <v>14.03909719</v>
      </c>
      <c r="AO45" s="322" t="s">
        <v>43</v>
      </c>
      <c r="AP45" s="319">
        <f t="shared" si="91"/>
        <v>0</v>
      </c>
      <c r="AQ45" s="319">
        <f t="shared" si="92"/>
        <v>0</v>
      </c>
      <c r="AS45" s="322" t="s">
        <v>43</v>
      </c>
      <c r="AT45" s="319">
        <f t="shared" si="93"/>
        <v>0</v>
      </c>
      <c r="AU45" s="319">
        <f t="shared" si="94"/>
        <v>0</v>
      </c>
      <c r="AW45" s="322" t="s">
        <v>43</v>
      </c>
      <c r="AX45" s="319">
        <f t="shared" si="95"/>
        <v>0</v>
      </c>
      <c r="AY45" s="319">
        <f t="shared" si="96"/>
        <v>0</v>
      </c>
    </row>
    <row r="46" ht="14.25" customHeight="1">
      <c r="E46" s="325"/>
      <c r="F46" s="319"/>
      <c r="G46" s="321"/>
      <c r="H46" s="320"/>
      <c r="I46" s="325"/>
      <c r="J46" s="319"/>
      <c r="K46" s="321"/>
      <c r="L46" s="320"/>
      <c r="M46" s="325"/>
      <c r="N46" s="319"/>
      <c r="O46" s="319"/>
      <c r="Q46" s="325"/>
      <c r="R46" s="319"/>
      <c r="S46" s="319"/>
      <c r="U46" s="325"/>
      <c r="V46" s="319"/>
      <c r="W46" s="319"/>
      <c r="Y46" s="325"/>
      <c r="Z46" s="319"/>
      <c r="AA46" s="319"/>
      <c r="AC46" s="325"/>
      <c r="AD46" s="319"/>
      <c r="AE46" s="319"/>
      <c r="AG46" s="325"/>
      <c r="AH46" s="319"/>
      <c r="AI46" s="319"/>
      <c r="AK46" s="325"/>
      <c r="AL46" s="319"/>
      <c r="AM46" s="319"/>
      <c r="AO46" s="325"/>
      <c r="AP46" s="319"/>
      <c r="AQ46" s="319"/>
      <c r="AS46" s="325"/>
      <c r="AT46" s="319"/>
      <c r="AU46" s="319"/>
      <c r="AW46" s="325"/>
      <c r="AX46" s="319"/>
      <c r="AY46" s="319"/>
    </row>
    <row r="47" ht="14.25" customHeight="1">
      <c r="E47" s="322" t="s">
        <v>36</v>
      </c>
      <c r="F47" s="319">
        <f>SHARES!AF3</f>
        <v>200</v>
      </c>
      <c r="G47" s="321"/>
      <c r="H47" s="320"/>
      <c r="I47" s="323" t="s">
        <v>37</v>
      </c>
      <c r="J47" s="319">
        <f>SHARES!AF4</f>
        <v>400</v>
      </c>
      <c r="K47" s="321"/>
      <c r="L47" s="320"/>
      <c r="M47" s="323" t="s">
        <v>37</v>
      </c>
      <c r="N47" s="319">
        <f>SHARES!AF5</f>
        <v>200</v>
      </c>
      <c r="O47" s="319"/>
      <c r="Q47" s="322" t="s">
        <v>37</v>
      </c>
      <c r="R47" s="319">
        <f>SHARES!AF6</f>
        <v>200</v>
      </c>
      <c r="S47" s="319"/>
      <c r="U47" s="322" t="s">
        <v>37</v>
      </c>
      <c r="V47" s="319">
        <f>SHARES!AF7</f>
        <v>200</v>
      </c>
      <c r="W47" s="319"/>
      <c r="Y47" s="322" t="s">
        <v>37</v>
      </c>
      <c r="Z47" s="319">
        <f>SHARES!AF8</f>
        <v>200</v>
      </c>
      <c r="AA47" s="319"/>
      <c r="AC47" s="322" t="s">
        <v>37</v>
      </c>
      <c r="AD47" s="319">
        <f>SHARES!AF9</f>
        <v>200</v>
      </c>
      <c r="AE47" s="319"/>
      <c r="AG47" s="322" t="s">
        <v>37</v>
      </c>
      <c r="AH47" s="319">
        <f>SHARES!AF10</f>
        <v>400</v>
      </c>
      <c r="AI47" s="319"/>
      <c r="AK47" s="322" t="s">
        <v>37</v>
      </c>
      <c r="AL47" s="319">
        <f>SHARES!AF11</f>
        <v>200</v>
      </c>
      <c r="AM47" s="319"/>
      <c r="AO47" s="322" t="s">
        <v>37</v>
      </c>
      <c r="AP47" s="319">
        <f>SHARES!AF12</f>
        <v>1000</v>
      </c>
      <c r="AQ47" s="319"/>
      <c r="AS47" s="322" t="s">
        <v>37</v>
      </c>
      <c r="AT47" s="319">
        <f>SHARES!AF13</f>
        <v>200</v>
      </c>
      <c r="AU47" s="319"/>
      <c r="AW47" s="322" t="s">
        <v>37</v>
      </c>
      <c r="AX47" s="319" t="str">
        <f>SHARES!AF14</f>
        <v/>
      </c>
      <c r="AY47" s="319"/>
    </row>
    <row r="48" ht="14.25" customHeight="1">
      <c r="E48" s="322" t="s">
        <v>37</v>
      </c>
      <c r="F48" s="319">
        <f>F47*1.1</f>
        <v>220</v>
      </c>
      <c r="G48" s="321">
        <f>F47*0.1</f>
        <v>20</v>
      </c>
      <c r="H48" s="320"/>
      <c r="I48" s="323" t="s">
        <v>38</v>
      </c>
      <c r="J48" s="319">
        <f>J47*1.1</f>
        <v>440</v>
      </c>
      <c r="K48" s="321">
        <f>J47*0.1</f>
        <v>40</v>
      </c>
      <c r="L48" s="320"/>
      <c r="M48" s="323" t="s">
        <v>38</v>
      </c>
      <c r="N48" s="319">
        <f>N47*1.1</f>
        <v>220</v>
      </c>
      <c r="O48" s="319">
        <f>N47*0.1</f>
        <v>20</v>
      </c>
      <c r="Q48" s="322" t="s">
        <v>38</v>
      </c>
      <c r="R48" s="319">
        <f>R47*1.1</f>
        <v>220</v>
      </c>
      <c r="S48" s="319">
        <f>R47*0.1</f>
        <v>20</v>
      </c>
      <c r="U48" s="322" t="s">
        <v>38</v>
      </c>
      <c r="V48" s="319">
        <f>V47*1.1</f>
        <v>220</v>
      </c>
      <c r="W48" s="319">
        <f>V47*0.1</f>
        <v>20</v>
      </c>
      <c r="Y48" s="322" t="s">
        <v>38</v>
      </c>
      <c r="Z48" s="319">
        <f>Z47*1.1</f>
        <v>220</v>
      </c>
      <c r="AA48" s="319">
        <f>Z47*0.1</f>
        <v>20</v>
      </c>
      <c r="AC48" s="322" t="s">
        <v>38</v>
      </c>
      <c r="AD48" s="319">
        <f>AD47*1.1</f>
        <v>220</v>
      </c>
      <c r="AE48" s="319">
        <f>AD47*0.1</f>
        <v>20</v>
      </c>
      <c r="AG48" s="322" t="s">
        <v>38</v>
      </c>
      <c r="AH48" s="319">
        <f>AH47*1.1</f>
        <v>440</v>
      </c>
      <c r="AI48" s="319">
        <f>AH47*0.1</f>
        <v>40</v>
      </c>
      <c r="AK48" s="322" t="s">
        <v>38</v>
      </c>
      <c r="AL48" s="319">
        <f>AL47*1.1</f>
        <v>220</v>
      </c>
      <c r="AM48" s="319">
        <f>AL47*0.1</f>
        <v>20</v>
      </c>
      <c r="AO48" s="322" t="s">
        <v>38</v>
      </c>
      <c r="AP48" s="319">
        <f>AP47*1.1</f>
        <v>1100</v>
      </c>
      <c r="AQ48" s="319">
        <f>AP47*0.1</f>
        <v>100</v>
      </c>
      <c r="AS48" s="322" t="s">
        <v>38</v>
      </c>
      <c r="AT48" s="319">
        <f>AT47*1.1</f>
        <v>220</v>
      </c>
      <c r="AU48" s="319">
        <f>AT47*0.1</f>
        <v>20</v>
      </c>
      <c r="AW48" s="322" t="s">
        <v>38</v>
      </c>
      <c r="AX48" s="319">
        <f>AX47*1.1</f>
        <v>0</v>
      </c>
      <c r="AY48" s="319">
        <f>AX47*0.1</f>
        <v>0</v>
      </c>
    </row>
    <row r="49" ht="14.25" customHeight="1">
      <c r="E49" s="322" t="s">
        <v>38</v>
      </c>
      <c r="F49" s="319">
        <f t="shared" ref="F49:F53" si="97">F48*1.05</f>
        <v>231</v>
      </c>
      <c r="G49" s="321">
        <f t="shared" ref="G49:G53" si="98">F48*0.05</f>
        <v>11</v>
      </c>
      <c r="H49" s="320"/>
      <c r="I49" s="323" t="s">
        <v>39</v>
      </c>
      <c r="J49" s="319">
        <f t="shared" ref="J49:J53" si="99">J48*1.05</f>
        <v>462</v>
      </c>
      <c r="K49" s="321">
        <f t="shared" ref="K49:K53" si="100">J48*0.05</f>
        <v>22</v>
      </c>
      <c r="L49" s="320"/>
      <c r="M49" s="323" t="s">
        <v>39</v>
      </c>
      <c r="N49" s="319">
        <f t="shared" ref="N49:N53" si="101">N48*1.05</f>
        <v>231</v>
      </c>
      <c r="O49" s="319">
        <f t="shared" ref="O49:O53" si="102">N48*0.05</f>
        <v>11</v>
      </c>
      <c r="Q49" s="322" t="s">
        <v>39</v>
      </c>
      <c r="R49" s="319">
        <f t="shared" ref="R49:R53" si="103">R48*1.05</f>
        <v>231</v>
      </c>
      <c r="S49" s="319">
        <f t="shared" ref="S49:S53" si="104">R48*0.05</f>
        <v>11</v>
      </c>
      <c r="U49" s="322" t="s">
        <v>39</v>
      </c>
      <c r="V49" s="319">
        <f t="shared" ref="V49:V53" si="105">V48*1.05</f>
        <v>231</v>
      </c>
      <c r="W49" s="319">
        <f t="shared" ref="W49:W53" si="106">V48*0.05</f>
        <v>11</v>
      </c>
      <c r="Y49" s="322" t="s">
        <v>39</v>
      </c>
      <c r="Z49" s="319">
        <f t="shared" ref="Z49:Z53" si="107">Z48*1.05</f>
        <v>231</v>
      </c>
      <c r="AA49" s="319">
        <f t="shared" ref="AA49:AA53" si="108">Z48*0.05</f>
        <v>11</v>
      </c>
      <c r="AC49" s="322" t="s">
        <v>39</v>
      </c>
      <c r="AD49" s="319">
        <f t="shared" ref="AD49:AD53" si="109">AD48*1.05</f>
        <v>231</v>
      </c>
      <c r="AE49" s="319">
        <f t="shared" ref="AE49:AE53" si="110">AD48*0.05</f>
        <v>11</v>
      </c>
      <c r="AG49" s="322" t="s">
        <v>39</v>
      </c>
      <c r="AH49" s="319">
        <f t="shared" ref="AH49:AH53" si="111">AH48*1.05</f>
        <v>462</v>
      </c>
      <c r="AI49" s="319">
        <f t="shared" ref="AI49:AI53" si="112">AH48*0.05</f>
        <v>22</v>
      </c>
      <c r="AK49" s="322" t="s">
        <v>39</v>
      </c>
      <c r="AL49" s="319">
        <f t="shared" ref="AL49:AL53" si="113">AL48*1.05</f>
        <v>231</v>
      </c>
      <c r="AM49" s="319">
        <f t="shared" ref="AM49:AM53" si="114">AL48*0.05</f>
        <v>11</v>
      </c>
      <c r="AO49" s="322" t="s">
        <v>39</v>
      </c>
      <c r="AP49" s="319">
        <f t="shared" ref="AP49:AP53" si="115">AP48*1.05</f>
        <v>1155</v>
      </c>
      <c r="AQ49" s="319">
        <f t="shared" ref="AQ49:AQ53" si="116">AP48*0.05</f>
        <v>55</v>
      </c>
      <c r="AS49" s="322" t="s">
        <v>39</v>
      </c>
      <c r="AT49" s="319">
        <f t="shared" ref="AT49:AT53" si="117">AT48*1.05</f>
        <v>231</v>
      </c>
      <c r="AU49" s="319">
        <f t="shared" ref="AU49:AU53" si="118">AT48*0.05</f>
        <v>11</v>
      </c>
      <c r="AW49" s="322" t="s">
        <v>39</v>
      </c>
      <c r="AX49" s="319">
        <f t="shared" ref="AX49:AX53" si="119">AX48*1.05</f>
        <v>0</v>
      </c>
      <c r="AY49" s="319">
        <f t="shared" ref="AY49:AY53" si="120">AX48*0.05</f>
        <v>0</v>
      </c>
    </row>
    <row r="50" ht="14.25" customHeight="1">
      <c r="E50" s="322" t="s">
        <v>39</v>
      </c>
      <c r="F50" s="319">
        <f t="shared" si="97"/>
        <v>242.55</v>
      </c>
      <c r="G50" s="321">
        <f t="shared" si="98"/>
        <v>11.55</v>
      </c>
      <c r="H50" s="320"/>
      <c r="I50" s="323" t="s">
        <v>40</v>
      </c>
      <c r="J50" s="319">
        <f t="shared" si="99"/>
        <v>485.1</v>
      </c>
      <c r="K50" s="321">
        <f t="shared" si="100"/>
        <v>23.1</v>
      </c>
      <c r="L50" s="320"/>
      <c r="M50" s="323" t="s">
        <v>40</v>
      </c>
      <c r="N50" s="319">
        <f t="shared" si="101"/>
        <v>242.55</v>
      </c>
      <c r="O50" s="319">
        <f t="shared" si="102"/>
        <v>11.55</v>
      </c>
      <c r="Q50" s="322" t="s">
        <v>40</v>
      </c>
      <c r="R50" s="319">
        <f t="shared" si="103"/>
        <v>242.55</v>
      </c>
      <c r="S50" s="319">
        <f t="shared" si="104"/>
        <v>11.55</v>
      </c>
      <c r="U50" s="322" t="s">
        <v>40</v>
      </c>
      <c r="V50" s="319">
        <f t="shared" si="105"/>
        <v>242.55</v>
      </c>
      <c r="W50" s="319">
        <f t="shared" si="106"/>
        <v>11.55</v>
      </c>
      <c r="Y50" s="322" t="s">
        <v>40</v>
      </c>
      <c r="Z50" s="319">
        <f t="shared" si="107"/>
        <v>242.55</v>
      </c>
      <c r="AA50" s="319">
        <f t="shared" si="108"/>
        <v>11.55</v>
      </c>
      <c r="AC50" s="322" t="s">
        <v>40</v>
      </c>
      <c r="AD50" s="319">
        <f t="shared" si="109"/>
        <v>242.55</v>
      </c>
      <c r="AE50" s="319">
        <f t="shared" si="110"/>
        <v>11.55</v>
      </c>
      <c r="AG50" s="322" t="s">
        <v>40</v>
      </c>
      <c r="AH50" s="319">
        <f t="shared" si="111"/>
        <v>485.1</v>
      </c>
      <c r="AI50" s="319">
        <f t="shared" si="112"/>
        <v>23.1</v>
      </c>
      <c r="AK50" s="322" t="s">
        <v>40</v>
      </c>
      <c r="AL50" s="319">
        <f t="shared" si="113"/>
        <v>242.55</v>
      </c>
      <c r="AM50" s="319">
        <f t="shared" si="114"/>
        <v>11.55</v>
      </c>
      <c r="AO50" s="322" t="s">
        <v>40</v>
      </c>
      <c r="AP50" s="319">
        <f t="shared" si="115"/>
        <v>1212.75</v>
      </c>
      <c r="AQ50" s="319">
        <f t="shared" si="116"/>
        <v>57.75</v>
      </c>
      <c r="AS50" s="322" t="s">
        <v>40</v>
      </c>
      <c r="AT50" s="319">
        <f t="shared" si="117"/>
        <v>242.55</v>
      </c>
      <c r="AU50" s="319">
        <f t="shared" si="118"/>
        <v>11.55</v>
      </c>
      <c r="AW50" s="322" t="s">
        <v>40</v>
      </c>
      <c r="AX50" s="319">
        <f t="shared" si="119"/>
        <v>0</v>
      </c>
      <c r="AY50" s="319">
        <f t="shared" si="120"/>
        <v>0</v>
      </c>
    </row>
    <row r="51" ht="14.25" customHeight="1">
      <c r="E51" s="322" t="s">
        <v>40</v>
      </c>
      <c r="F51" s="319">
        <f t="shared" si="97"/>
        <v>254.6775</v>
      </c>
      <c r="G51" s="321">
        <f t="shared" si="98"/>
        <v>12.1275</v>
      </c>
      <c r="H51" s="320"/>
      <c r="I51" s="323" t="s">
        <v>41</v>
      </c>
      <c r="J51" s="319">
        <f t="shared" si="99"/>
        <v>509.355</v>
      </c>
      <c r="K51" s="321">
        <f t="shared" si="100"/>
        <v>24.255</v>
      </c>
      <c r="L51" s="320"/>
      <c r="M51" s="323" t="s">
        <v>41</v>
      </c>
      <c r="N51" s="319">
        <f t="shared" si="101"/>
        <v>254.6775</v>
      </c>
      <c r="O51" s="319">
        <f t="shared" si="102"/>
        <v>12.1275</v>
      </c>
      <c r="Q51" s="322" t="s">
        <v>41</v>
      </c>
      <c r="R51" s="319">
        <f t="shared" si="103"/>
        <v>254.6775</v>
      </c>
      <c r="S51" s="319">
        <f t="shared" si="104"/>
        <v>12.1275</v>
      </c>
      <c r="U51" s="322" t="s">
        <v>41</v>
      </c>
      <c r="V51" s="319">
        <f t="shared" si="105"/>
        <v>254.6775</v>
      </c>
      <c r="W51" s="319">
        <f t="shared" si="106"/>
        <v>12.1275</v>
      </c>
      <c r="Y51" s="322" t="s">
        <v>41</v>
      </c>
      <c r="Z51" s="319">
        <f t="shared" si="107"/>
        <v>254.6775</v>
      </c>
      <c r="AA51" s="319">
        <f t="shared" si="108"/>
        <v>12.1275</v>
      </c>
      <c r="AC51" s="322" t="s">
        <v>41</v>
      </c>
      <c r="AD51" s="319">
        <f t="shared" si="109"/>
        <v>254.6775</v>
      </c>
      <c r="AE51" s="319">
        <f t="shared" si="110"/>
        <v>12.1275</v>
      </c>
      <c r="AG51" s="322" t="s">
        <v>41</v>
      </c>
      <c r="AH51" s="319">
        <f t="shared" si="111"/>
        <v>509.355</v>
      </c>
      <c r="AI51" s="319">
        <f t="shared" si="112"/>
        <v>24.255</v>
      </c>
      <c r="AK51" s="322" t="s">
        <v>41</v>
      </c>
      <c r="AL51" s="319">
        <f t="shared" si="113"/>
        <v>254.6775</v>
      </c>
      <c r="AM51" s="319">
        <f t="shared" si="114"/>
        <v>12.1275</v>
      </c>
      <c r="AO51" s="322" t="s">
        <v>41</v>
      </c>
      <c r="AP51" s="319">
        <f t="shared" si="115"/>
        <v>1273.3875</v>
      </c>
      <c r="AQ51" s="319">
        <f t="shared" si="116"/>
        <v>60.6375</v>
      </c>
      <c r="AS51" s="322" t="s">
        <v>41</v>
      </c>
      <c r="AT51" s="319">
        <f t="shared" si="117"/>
        <v>254.6775</v>
      </c>
      <c r="AU51" s="319">
        <f t="shared" si="118"/>
        <v>12.1275</v>
      </c>
      <c r="AW51" s="322" t="s">
        <v>41</v>
      </c>
      <c r="AX51" s="319">
        <f t="shared" si="119"/>
        <v>0</v>
      </c>
      <c r="AY51" s="319">
        <f t="shared" si="120"/>
        <v>0</v>
      </c>
    </row>
    <row r="52" ht="14.25" customHeight="1">
      <c r="E52" s="322" t="s">
        <v>41</v>
      </c>
      <c r="F52" s="319">
        <f t="shared" si="97"/>
        <v>267.411375</v>
      </c>
      <c r="G52" s="321">
        <f t="shared" si="98"/>
        <v>12.733875</v>
      </c>
      <c r="H52" s="320"/>
      <c r="I52" s="323" t="s">
        <v>42</v>
      </c>
      <c r="J52" s="319">
        <f t="shared" si="99"/>
        <v>534.82275</v>
      </c>
      <c r="K52" s="321">
        <f t="shared" si="100"/>
        <v>25.46775</v>
      </c>
      <c r="L52" s="320"/>
      <c r="M52" s="323" t="s">
        <v>42</v>
      </c>
      <c r="N52" s="319">
        <f t="shared" si="101"/>
        <v>267.411375</v>
      </c>
      <c r="O52" s="319">
        <f t="shared" si="102"/>
        <v>12.733875</v>
      </c>
      <c r="Q52" s="322" t="s">
        <v>42</v>
      </c>
      <c r="R52" s="319">
        <f t="shared" si="103"/>
        <v>267.411375</v>
      </c>
      <c r="S52" s="319">
        <f t="shared" si="104"/>
        <v>12.733875</v>
      </c>
      <c r="U52" s="322" t="s">
        <v>42</v>
      </c>
      <c r="V52" s="319">
        <f t="shared" si="105"/>
        <v>267.411375</v>
      </c>
      <c r="W52" s="319">
        <f t="shared" si="106"/>
        <v>12.733875</v>
      </c>
      <c r="Y52" s="322" t="s">
        <v>42</v>
      </c>
      <c r="Z52" s="319">
        <f t="shared" si="107"/>
        <v>267.411375</v>
      </c>
      <c r="AA52" s="319">
        <f t="shared" si="108"/>
        <v>12.733875</v>
      </c>
      <c r="AC52" s="322" t="s">
        <v>42</v>
      </c>
      <c r="AD52" s="319">
        <f t="shared" si="109"/>
        <v>267.411375</v>
      </c>
      <c r="AE52" s="319">
        <f t="shared" si="110"/>
        <v>12.733875</v>
      </c>
      <c r="AG52" s="322" t="s">
        <v>42</v>
      </c>
      <c r="AH52" s="319">
        <f t="shared" si="111"/>
        <v>534.82275</v>
      </c>
      <c r="AI52" s="319">
        <f t="shared" si="112"/>
        <v>25.46775</v>
      </c>
      <c r="AK52" s="322" t="s">
        <v>42</v>
      </c>
      <c r="AL52" s="319">
        <f t="shared" si="113"/>
        <v>267.411375</v>
      </c>
      <c r="AM52" s="319">
        <f t="shared" si="114"/>
        <v>12.733875</v>
      </c>
      <c r="AO52" s="322" t="s">
        <v>42</v>
      </c>
      <c r="AP52" s="319">
        <f t="shared" si="115"/>
        <v>1337.056875</v>
      </c>
      <c r="AQ52" s="319">
        <f t="shared" si="116"/>
        <v>63.669375</v>
      </c>
      <c r="AS52" s="322" t="s">
        <v>42</v>
      </c>
      <c r="AT52" s="319">
        <f t="shared" si="117"/>
        <v>267.411375</v>
      </c>
      <c r="AU52" s="319">
        <f t="shared" si="118"/>
        <v>12.733875</v>
      </c>
      <c r="AW52" s="322" t="s">
        <v>42</v>
      </c>
      <c r="AX52" s="319">
        <f t="shared" si="119"/>
        <v>0</v>
      </c>
      <c r="AY52" s="319">
        <f t="shared" si="120"/>
        <v>0</v>
      </c>
    </row>
    <row r="53" ht="14.25" customHeight="1">
      <c r="E53" s="322" t="s">
        <v>42</v>
      </c>
      <c r="F53" s="319">
        <f t="shared" si="97"/>
        <v>280.7819438</v>
      </c>
      <c r="G53" s="321">
        <f t="shared" si="98"/>
        <v>13.37056875</v>
      </c>
      <c r="H53" s="320"/>
      <c r="I53" s="323" t="s">
        <v>43</v>
      </c>
      <c r="J53" s="319">
        <f t="shared" si="99"/>
        <v>561.5638875</v>
      </c>
      <c r="K53" s="321">
        <f t="shared" si="100"/>
        <v>26.7411375</v>
      </c>
      <c r="L53" s="320"/>
      <c r="M53" s="323" t="s">
        <v>43</v>
      </c>
      <c r="N53" s="319">
        <f t="shared" si="101"/>
        <v>280.7819438</v>
      </c>
      <c r="O53" s="319">
        <f t="shared" si="102"/>
        <v>13.37056875</v>
      </c>
      <c r="Q53" s="322" t="s">
        <v>43</v>
      </c>
      <c r="R53" s="319">
        <f t="shared" si="103"/>
        <v>280.7819438</v>
      </c>
      <c r="S53" s="319">
        <f t="shared" si="104"/>
        <v>13.37056875</v>
      </c>
      <c r="U53" s="322" t="s">
        <v>43</v>
      </c>
      <c r="V53" s="319">
        <f t="shared" si="105"/>
        <v>280.7819438</v>
      </c>
      <c r="W53" s="319">
        <f t="shared" si="106"/>
        <v>13.37056875</v>
      </c>
      <c r="Y53" s="322" t="s">
        <v>43</v>
      </c>
      <c r="Z53" s="319">
        <f t="shared" si="107"/>
        <v>280.7819438</v>
      </c>
      <c r="AA53" s="319">
        <f t="shared" si="108"/>
        <v>13.37056875</v>
      </c>
      <c r="AC53" s="322" t="s">
        <v>43</v>
      </c>
      <c r="AD53" s="319">
        <f t="shared" si="109"/>
        <v>280.7819438</v>
      </c>
      <c r="AE53" s="319">
        <f t="shared" si="110"/>
        <v>13.37056875</v>
      </c>
      <c r="AG53" s="322" t="s">
        <v>43</v>
      </c>
      <c r="AH53" s="319">
        <f t="shared" si="111"/>
        <v>561.5638875</v>
      </c>
      <c r="AI53" s="319">
        <f t="shared" si="112"/>
        <v>26.7411375</v>
      </c>
      <c r="AK53" s="322" t="s">
        <v>43</v>
      </c>
      <c r="AL53" s="319">
        <f t="shared" si="113"/>
        <v>280.7819438</v>
      </c>
      <c r="AM53" s="319">
        <f t="shared" si="114"/>
        <v>13.37056875</v>
      </c>
      <c r="AO53" s="322" t="s">
        <v>43</v>
      </c>
      <c r="AP53" s="319">
        <f t="shared" si="115"/>
        <v>1403.909719</v>
      </c>
      <c r="AQ53" s="319">
        <f t="shared" si="116"/>
        <v>66.85284375</v>
      </c>
      <c r="AS53" s="322" t="s">
        <v>43</v>
      </c>
      <c r="AT53" s="319">
        <f t="shared" si="117"/>
        <v>280.7819438</v>
      </c>
      <c r="AU53" s="319">
        <f t="shared" si="118"/>
        <v>13.37056875</v>
      </c>
      <c r="AW53" s="322" t="s">
        <v>43</v>
      </c>
      <c r="AX53" s="319">
        <f t="shared" si="119"/>
        <v>0</v>
      </c>
      <c r="AY53" s="319">
        <f t="shared" si="120"/>
        <v>0</v>
      </c>
    </row>
    <row r="54" ht="14.25" customHeight="1">
      <c r="E54" s="322"/>
      <c r="F54" s="319"/>
      <c r="G54" s="321"/>
      <c r="H54" s="320"/>
      <c r="I54" s="323"/>
      <c r="J54" s="319"/>
      <c r="K54" s="321"/>
      <c r="L54" s="320"/>
      <c r="M54" s="323"/>
      <c r="N54" s="319"/>
      <c r="O54" s="319"/>
      <c r="Q54" s="322"/>
      <c r="R54" s="319"/>
      <c r="S54" s="319"/>
      <c r="U54" s="322"/>
      <c r="V54" s="319"/>
      <c r="W54" s="319"/>
      <c r="Y54" s="322"/>
      <c r="Z54" s="319"/>
      <c r="AA54" s="319"/>
      <c r="AC54" s="322"/>
      <c r="AD54" s="319"/>
      <c r="AE54" s="319"/>
      <c r="AG54" s="322"/>
      <c r="AH54" s="319"/>
      <c r="AI54" s="319"/>
      <c r="AK54" s="322"/>
      <c r="AL54" s="319"/>
      <c r="AM54" s="319"/>
      <c r="AO54" s="322"/>
      <c r="AP54" s="319"/>
      <c r="AQ54" s="319"/>
      <c r="AS54" s="322"/>
      <c r="AT54" s="319"/>
      <c r="AU54" s="319"/>
      <c r="AW54" s="322"/>
      <c r="AX54" s="319"/>
      <c r="AY54" s="319"/>
    </row>
    <row r="55" ht="14.25" customHeight="1">
      <c r="E55" s="322" t="s">
        <v>37</v>
      </c>
      <c r="F55" s="319">
        <f>SHARES!AM3</f>
        <v>200</v>
      </c>
      <c r="G55" s="321"/>
      <c r="H55" s="320"/>
      <c r="I55" s="323" t="s">
        <v>38</v>
      </c>
      <c r="J55" s="319">
        <f>SHARES!AM4</f>
        <v>600</v>
      </c>
      <c r="K55" s="321"/>
      <c r="L55" s="320"/>
      <c r="M55" s="323" t="s">
        <v>38</v>
      </c>
      <c r="N55" s="319">
        <f>SHARES!AM5</f>
        <v>200</v>
      </c>
      <c r="O55" s="319"/>
      <c r="Q55" s="322" t="s">
        <v>38</v>
      </c>
      <c r="R55" s="319">
        <f>SHARES!AM6</f>
        <v>400</v>
      </c>
      <c r="S55" s="319"/>
      <c r="U55" s="322" t="s">
        <v>38</v>
      </c>
      <c r="V55" s="319">
        <f>SHARES!AM7</f>
        <v>400</v>
      </c>
      <c r="W55" s="319"/>
      <c r="Y55" s="322" t="s">
        <v>38</v>
      </c>
      <c r="Z55" s="319">
        <f>SHARES!AM8</f>
        <v>200</v>
      </c>
      <c r="AA55" s="319"/>
      <c r="AC55" s="322" t="s">
        <v>38</v>
      </c>
      <c r="AD55" s="319">
        <f>SHARES!AM9</f>
        <v>200</v>
      </c>
      <c r="AE55" s="319"/>
      <c r="AG55" s="322" t="s">
        <v>38</v>
      </c>
      <c r="AH55" s="319" t="str">
        <f>SHARES!AM10</f>
        <v/>
      </c>
      <c r="AI55" s="319"/>
      <c r="AK55" s="322" t="s">
        <v>38</v>
      </c>
      <c r="AL55" s="319">
        <f>SHARES!AM11</f>
        <v>200</v>
      </c>
      <c r="AM55" s="319"/>
      <c r="AO55" s="322" t="s">
        <v>38</v>
      </c>
      <c r="AP55" s="319">
        <f>SHARES!AM12</f>
        <v>200</v>
      </c>
      <c r="AQ55" s="319"/>
      <c r="AS55" s="322" t="s">
        <v>38</v>
      </c>
      <c r="AT55" s="319">
        <f>SHARES!AM13</f>
        <v>200</v>
      </c>
      <c r="AU55" s="319"/>
      <c r="AW55" s="322" t="s">
        <v>38</v>
      </c>
      <c r="AX55" s="319" t="str">
        <f>SHARES!AM14</f>
        <v/>
      </c>
      <c r="AY55" s="319"/>
    </row>
    <row r="56" ht="14.25" customHeight="1">
      <c r="E56" s="322" t="s">
        <v>38</v>
      </c>
      <c r="F56" s="319">
        <f>F55*1.1</f>
        <v>220</v>
      </c>
      <c r="G56" s="321">
        <f>F55*0.1</f>
        <v>20</v>
      </c>
      <c r="H56" s="320"/>
      <c r="I56" s="323" t="s">
        <v>39</v>
      </c>
      <c r="J56" s="319">
        <f>J55*1.1</f>
        <v>660</v>
      </c>
      <c r="K56" s="321">
        <f>J55*0.1</f>
        <v>60</v>
      </c>
      <c r="L56" s="320"/>
      <c r="M56" s="323" t="s">
        <v>39</v>
      </c>
      <c r="N56" s="319">
        <f>N55*1.1</f>
        <v>220</v>
      </c>
      <c r="O56" s="319">
        <f>N55*0.1</f>
        <v>20</v>
      </c>
      <c r="Q56" s="322" t="s">
        <v>39</v>
      </c>
      <c r="R56" s="319">
        <f>R55*1.1</f>
        <v>440</v>
      </c>
      <c r="S56" s="319">
        <f>R55*0.1</f>
        <v>40</v>
      </c>
      <c r="U56" s="322" t="s">
        <v>39</v>
      </c>
      <c r="V56" s="319">
        <f>V55*1.1</f>
        <v>440</v>
      </c>
      <c r="W56" s="319">
        <f>V55*0.1</f>
        <v>40</v>
      </c>
      <c r="Y56" s="322" t="s">
        <v>39</v>
      </c>
      <c r="Z56" s="319">
        <f>Z55*1.1</f>
        <v>220</v>
      </c>
      <c r="AA56" s="319">
        <f>Z55*0.1</f>
        <v>20</v>
      </c>
      <c r="AC56" s="322" t="s">
        <v>39</v>
      </c>
      <c r="AD56" s="319">
        <f>AD55*1.1</f>
        <v>220</v>
      </c>
      <c r="AE56" s="319">
        <f>AD55*0.1</f>
        <v>20</v>
      </c>
      <c r="AG56" s="322" t="s">
        <v>39</v>
      </c>
      <c r="AH56" s="319">
        <f>AH55*1.1</f>
        <v>0</v>
      </c>
      <c r="AI56" s="319">
        <f>AH55*0.1</f>
        <v>0</v>
      </c>
      <c r="AK56" s="322" t="s">
        <v>39</v>
      </c>
      <c r="AL56" s="319">
        <f>AL55*1.1</f>
        <v>220</v>
      </c>
      <c r="AM56" s="319">
        <f>AL55*0.1</f>
        <v>20</v>
      </c>
      <c r="AO56" s="322" t="s">
        <v>39</v>
      </c>
      <c r="AP56" s="319">
        <f>AP55*1.1</f>
        <v>220</v>
      </c>
      <c r="AQ56" s="319">
        <f>AP55*0.1</f>
        <v>20</v>
      </c>
      <c r="AS56" s="322" t="s">
        <v>39</v>
      </c>
      <c r="AT56" s="319">
        <f>AT55*1.1</f>
        <v>220</v>
      </c>
      <c r="AU56" s="319">
        <f>AT55*0.1</f>
        <v>20</v>
      </c>
      <c r="AW56" s="322" t="s">
        <v>39</v>
      </c>
      <c r="AX56" s="319">
        <f>AX55*1.1</f>
        <v>0</v>
      </c>
      <c r="AY56" s="319">
        <f>AX55*0.1</f>
        <v>0</v>
      </c>
    </row>
    <row r="57" ht="14.25" customHeight="1">
      <c r="E57" s="322" t="s">
        <v>39</v>
      </c>
      <c r="F57" s="319">
        <f t="shared" ref="F57:F60" si="121">F56*1.05</f>
        <v>231</v>
      </c>
      <c r="G57" s="321">
        <f t="shared" ref="G57:G60" si="122">F56*0.05</f>
        <v>11</v>
      </c>
      <c r="H57" s="320"/>
      <c r="I57" s="323" t="s">
        <v>40</v>
      </c>
      <c r="J57" s="319">
        <f t="shared" ref="J57:J60" si="123">J56*1.05</f>
        <v>693</v>
      </c>
      <c r="K57" s="321">
        <f t="shared" ref="K57:K60" si="124">J56*0.05</f>
        <v>33</v>
      </c>
      <c r="L57" s="320"/>
      <c r="M57" s="323" t="s">
        <v>40</v>
      </c>
      <c r="N57" s="319">
        <f t="shared" ref="N57:N60" si="125">N56*1.05</f>
        <v>231</v>
      </c>
      <c r="O57" s="319">
        <f t="shared" ref="O57:O60" si="126">N56*0.05</f>
        <v>11</v>
      </c>
      <c r="Q57" s="322" t="s">
        <v>40</v>
      </c>
      <c r="R57" s="319">
        <f t="shared" ref="R57:R60" si="127">R56*1.05</f>
        <v>462</v>
      </c>
      <c r="S57" s="319">
        <f t="shared" ref="S57:S60" si="128">R56*0.05</f>
        <v>22</v>
      </c>
      <c r="U57" s="322" t="s">
        <v>40</v>
      </c>
      <c r="V57" s="319">
        <f t="shared" ref="V57:V60" si="129">V56*1.05</f>
        <v>462</v>
      </c>
      <c r="W57" s="319">
        <f t="shared" ref="W57:W60" si="130">V56*0.05</f>
        <v>22</v>
      </c>
      <c r="Y57" s="322" t="s">
        <v>40</v>
      </c>
      <c r="Z57" s="319">
        <f t="shared" ref="Z57:Z60" si="131">Z56*1.05</f>
        <v>231</v>
      </c>
      <c r="AA57" s="319">
        <f t="shared" ref="AA57:AA60" si="132">Z56*0.05</f>
        <v>11</v>
      </c>
      <c r="AC57" s="322" t="s">
        <v>40</v>
      </c>
      <c r="AD57" s="319">
        <f t="shared" ref="AD57:AD60" si="133">AD56*1.05</f>
        <v>231</v>
      </c>
      <c r="AE57" s="319">
        <f t="shared" ref="AE57:AE60" si="134">AD56*0.05</f>
        <v>11</v>
      </c>
      <c r="AG57" s="322" t="s">
        <v>40</v>
      </c>
      <c r="AH57" s="319">
        <f t="shared" ref="AH57:AH60" si="135">AH56*1.05</f>
        <v>0</v>
      </c>
      <c r="AI57" s="319">
        <f t="shared" ref="AI57:AI60" si="136">AH56*0.05</f>
        <v>0</v>
      </c>
      <c r="AK57" s="322" t="s">
        <v>40</v>
      </c>
      <c r="AL57" s="319">
        <f t="shared" ref="AL57:AL60" si="137">AL56*1.05</f>
        <v>231</v>
      </c>
      <c r="AM57" s="319">
        <f t="shared" ref="AM57:AM60" si="138">AL56*0.05</f>
        <v>11</v>
      </c>
      <c r="AO57" s="322" t="s">
        <v>40</v>
      </c>
      <c r="AP57" s="319">
        <f t="shared" ref="AP57:AP60" si="139">AP56*1.05</f>
        <v>231</v>
      </c>
      <c r="AQ57" s="319">
        <f t="shared" ref="AQ57:AQ60" si="140">AP56*0.05</f>
        <v>11</v>
      </c>
      <c r="AS57" s="322" t="s">
        <v>40</v>
      </c>
      <c r="AT57" s="319">
        <f t="shared" ref="AT57:AT60" si="141">AT56*1.05</f>
        <v>231</v>
      </c>
      <c r="AU57" s="319">
        <f t="shared" ref="AU57:AU60" si="142">AT56*0.05</f>
        <v>11</v>
      </c>
      <c r="AW57" s="322" t="s">
        <v>40</v>
      </c>
      <c r="AX57" s="319">
        <f t="shared" ref="AX57:AX60" si="143">AX56*1.05</f>
        <v>0</v>
      </c>
      <c r="AY57" s="319">
        <f t="shared" ref="AY57:AY60" si="144">AX56*0.05</f>
        <v>0</v>
      </c>
    </row>
    <row r="58" ht="14.25" customHeight="1">
      <c r="E58" s="322" t="s">
        <v>40</v>
      </c>
      <c r="F58" s="319">
        <f t="shared" si="121"/>
        <v>242.55</v>
      </c>
      <c r="G58" s="321">
        <f t="shared" si="122"/>
        <v>11.55</v>
      </c>
      <c r="H58" s="320"/>
      <c r="I58" s="323" t="s">
        <v>41</v>
      </c>
      <c r="J58" s="319">
        <f t="shared" si="123"/>
        <v>727.65</v>
      </c>
      <c r="K58" s="321">
        <f t="shared" si="124"/>
        <v>34.65</v>
      </c>
      <c r="L58" s="320"/>
      <c r="M58" s="323" t="s">
        <v>41</v>
      </c>
      <c r="N58" s="319">
        <f t="shared" si="125"/>
        <v>242.55</v>
      </c>
      <c r="O58" s="319">
        <f t="shared" si="126"/>
        <v>11.55</v>
      </c>
      <c r="Q58" s="322" t="s">
        <v>41</v>
      </c>
      <c r="R58" s="319">
        <f t="shared" si="127"/>
        <v>485.1</v>
      </c>
      <c r="S58" s="319">
        <f t="shared" si="128"/>
        <v>23.1</v>
      </c>
      <c r="U58" s="322" t="s">
        <v>41</v>
      </c>
      <c r="V58" s="319">
        <f t="shared" si="129"/>
        <v>485.1</v>
      </c>
      <c r="W58" s="319">
        <f t="shared" si="130"/>
        <v>23.1</v>
      </c>
      <c r="Y58" s="322" t="s">
        <v>41</v>
      </c>
      <c r="Z58" s="319">
        <f t="shared" si="131"/>
        <v>242.55</v>
      </c>
      <c r="AA58" s="319">
        <f t="shared" si="132"/>
        <v>11.55</v>
      </c>
      <c r="AC58" s="322" t="s">
        <v>41</v>
      </c>
      <c r="AD58" s="319">
        <f t="shared" si="133"/>
        <v>242.55</v>
      </c>
      <c r="AE58" s="319">
        <f t="shared" si="134"/>
        <v>11.55</v>
      </c>
      <c r="AG58" s="322" t="s">
        <v>41</v>
      </c>
      <c r="AH58" s="319">
        <f t="shared" si="135"/>
        <v>0</v>
      </c>
      <c r="AI58" s="319">
        <f t="shared" si="136"/>
        <v>0</v>
      </c>
      <c r="AK58" s="322" t="s">
        <v>41</v>
      </c>
      <c r="AL58" s="319">
        <f t="shared" si="137"/>
        <v>242.55</v>
      </c>
      <c r="AM58" s="319">
        <f t="shared" si="138"/>
        <v>11.55</v>
      </c>
      <c r="AO58" s="322" t="s">
        <v>41</v>
      </c>
      <c r="AP58" s="319">
        <f t="shared" si="139"/>
        <v>242.55</v>
      </c>
      <c r="AQ58" s="319">
        <f t="shared" si="140"/>
        <v>11.55</v>
      </c>
      <c r="AS58" s="322" t="s">
        <v>41</v>
      </c>
      <c r="AT58" s="319">
        <f t="shared" si="141"/>
        <v>242.55</v>
      </c>
      <c r="AU58" s="319">
        <f t="shared" si="142"/>
        <v>11.55</v>
      </c>
      <c r="AW58" s="322" t="s">
        <v>41</v>
      </c>
      <c r="AX58" s="319">
        <f t="shared" si="143"/>
        <v>0</v>
      </c>
      <c r="AY58" s="319">
        <f t="shared" si="144"/>
        <v>0</v>
      </c>
    </row>
    <row r="59" ht="14.25" customHeight="1">
      <c r="E59" s="322" t="s">
        <v>41</v>
      </c>
      <c r="F59" s="319">
        <f t="shared" si="121"/>
        <v>254.6775</v>
      </c>
      <c r="G59" s="321">
        <f t="shared" si="122"/>
        <v>12.1275</v>
      </c>
      <c r="H59" s="320"/>
      <c r="I59" s="323" t="s">
        <v>42</v>
      </c>
      <c r="J59" s="319">
        <f t="shared" si="123"/>
        <v>764.0325</v>
      </c>
      <c r="K59" s="321">
        <f t="shared" si="124"/>
        <v>36.3825</v>
      </c>
      <c r="L59" s="320"/>
      <c r="M59" s="323" t="s">
        <v>42</v>
      </c>
      <c r="N59" s="319">
        <f t="shared" si="125"/>
        <v>254.6775</v>
      </c>
      <c r="O59" s="319">
        <f t="shared" si="126"/>
        <v>12.1275</v>
      </c>
      <c r="Q59" s="322" t="s">
        <v>42</v>
      </c>
      <c r="R59" s="319">
        <f t="shared" si="127"/>
        <v>509.355</v>
      </c>
      <c r="S59" s="319">
        <f t="shared" si="128"/>
        <v>24.255</v>
      </c>
      <c r="U59" s="322" t="s">
        <v>42</v>
      </c>
      <c r="V59" s="319">
        <f t="shared" si="129"/>
        <v>509.355</v>
      </c>
      <c r="W59" s="319">
        <f t="shared" si="130"/>
        <v>24.255</v>
      </c>
      <c r="Y59" s="322" t="s">
        <v>42</v>
      </c>
      <c r="Z59" s="319">
        <f t="shared" si="131"/>
        <v>254.6775</v>
      </c>
      <c r="AA59" s="319">
        <f t="shared" si="132"/>
        <v>12.1275</v>
      </c>
      <c r="AC59" s="322" t="s">
        <v>42</v>
      </c>
      <c r="AD59" s="319">
        <f t="shared" si="133"/>
        <v>254.6775</v>
      </c>
      <c r="AE59" s="319">
        <f t="shared" si="134"/>
        <v>12.1275</v>
      </c>
      <c r="AG59" s="322" t="s">
        <v>42</v>
      </c>
      <c r="AH59" s="319">
        <f t="shared" si="135"/>
        <v>0</v>
      </c>
      <c r="AI59" s="319">
        <f t="shared" si="136"/>
        <v>0</v>
      </c>
      <c r="AK59" s="322" t="s">
        <v>42</v>
      </c>
      <c r="AL59" s="319">
        <f t="shared" si="137"/>
        <v>254.6775</v>
      </c>
      <c r="AM59" s="319">
        <f t="shared" si="138"/>
        <v>12.1275</v>
      </c>
      <c r="AO59" s="322" t="s">
        <v>42</v>
      </c>
      <c r="AP59" s="319">
        <f t="shared" si="139"/>
        <v>254.6775</v>
      </c>
      <c r="AQ59" s="319">
        <f t="shared" si="140"/>
        <v>12.1275</v>
      </c>
      <c r="AS59" s="322" t="s">
        <v>42</v>
      </c>
      <c r="AT59" s="319">
        <f t="shared" si="141"/>
        <v>254.6775</v>
      </c>
      <c r="AU59" s="319">
        <f t="shared" si="142"/>
        <v>12.1275</v>
      </c>
      <c r="AW59" s="322" t="s">
        <v>42</v>
      </c>
      <c r="AX59" s="319">
        <f t="shared" si="143"/>
        <v>0</v>
      </c>
      <c r="AY59" s="319">
        <f t="shared" si="144"/>
        <v>0</v>
      </c>
    </row>
    <row r="60" ht="14.25" customHeight="1">
      <c r="E60" s="322" t="s">
        <v>42</v>
      </c>
      <c r="F60" s="319">
        <f t="shared" si="121"/>
        <v>267.411375</v>
      </c>
      <c r="G60" s="321">
        <f t="shared" si="122"/>
        <v>12.733875</v>
      </c>
      <c r="H60" s="320"/>
      <c r="I60" s="323" t="s">
        <v>43</v>
      </c>
      <c r="J60" s="319">
        <f t="shared" si="123"/>
        <v>802.234125</v>
      </c>
      <c r="K60" s="321">
        <f t="shared" si="124"/>
        <v>38.201625</v>
      </c>
      <c r="L60" s="320"/>
      <c r="M60" s="323" t="s">
        <v>43</v>
      </c>
      <c r="N60" s="319">
        <f t="shared" si="125"/>
        <v>267.411375</v>
      </c>
      <c r="O60" s="319">
        <f t="shared" si="126"/>
        <v>12.733875</v>
      </c>
      <c r="Q60" s="322" t="s">
        <v>43</v>
      </c>
      <c r="R60" s="319">
        <f t="shared" si="127"/>
        <v>534.82275</v>
      </c>
      <c r="S60" s="319">
        <f t="shared" si="128"/>
        <v>25.46775</v>
      </c>
      <c r="U60" s="322" t="s">
        <v>43</v>
      </c>
      <c r="V60" s="319">
        <f t="shared" si="129"/>
        <v>534.82275</v>
      </c>
      <c r="W60" s="319">
        <f t="shared" si="130"/>
        <v>25.46775</v>
      </c>
      <c r="Y60" s="322" t="s">
        <v>43</v>
      </c>
      <c r="Z60" s="319">
        <f t="shared" si="131"/>
        <v>267.411375</v>
      </c>
      <c r="AA60" s="319">
        <f t="shared" si="132"/>
        <v>12.733875</v>
      </c>
      <c r="AC60" s="322" t="s">
        <v>43</v>
      </c>
      <c r="AD60" s="319">
        <f t="shared" si="133"/>
        <v>267.411375</v>
      </c>
      <c r="AE60" s="319">
        <f t="shared" si="134"/>
        <v>12.733875</v>
      </c>
      <c r="AG60" s="322" t="s">
        <v>43</v>
      </c>
      <c r="AH60" s="319">
        <f t="shared" si="135"/>
        <v>0</v>
      </c>
      <c r="AI60" s="319">
        <f t="shared" si="136"/>
        <v>0</v>
      </c>
      <c r="AK60" s="322" t="s">
        <v>43</v>
      </c>
      <c r="AL60" s="319">
        <f t="shared" si="137"/>
        <v>267.411375</v>
      </c>
      <c r="AM60" s="319">
        <f t="shared" si="138"/>
        <v>12.733875</v>
      </c>
      <c r="AO60" s="322" t="s">
        <v>43</v>
      </c>
      <c r="AP60" s="319">
        <f t="shared" si="139"/>
        <v>267.411375</v>
      </c>
      <c r="AQ60" s="319">
        <f t="shared" si="140"/>
        <v>12.733875</v>
      </c>
      <c r="AS60" s="322" t="s">
        <v>43</v>
      </c>
      <c r="AT60" s="319">
        <f t="shared" si="141"/>
        <v>267.411375</v>
      </c>
      <c r="AU60" s="319">
        <f t="shared" si="142"/>
        <v>12.733875</v>
      </c>
      <c r="AW60" s="322" t="s">
        <v>43</v>
      </c>
      <c r="AX60" s="319">
        <f t="shared" si="143"/>
        <v>0</v>
      </c>
      <c r="AY60" s="319">
        <f t="shared" si="144"/>
        <v>0</v>
      </c>
    </row>
    <row r="61" ht="14.25" customHeight="1">
      <c r="E61" s="322"/>
      <c r="F61" s="319"/>
      <c r="G61" s="321"/>
      <c r="H61" s="320"/>
      <c r="I61" s="323"/>
      <c r="J61" s="319"/>
      <c r="K61" s="321"/>
      <c r="L61" s="320"/>
      <c r="M61" s="323"/>
      <c r="N61" s="319"/>
      <c r="O61" s="319"/>
      <c r="Q61" s="322"/>
      <c r="R61" s="319"/>
      <c r="S61" s="319"/>
      <c r="U61" s="322"/>
      <c r="V61" s="319"/>
      <c r="W61" s="319"/>
      <c r="Y61" s="322"/>
      <c r="Z61" s="319"/>
      <c r="AA61" s="319"/>
      <c r="AC61" s="322"/>
      <c r="AD61" s="319"/>
      <c r="AE61" s="319"/>
      <c r="AG61" s="322"/>
      <c r="AH61" s="319"/>
      <c r="AI61" s="319"/>
      <c r="AK61" s="322"/>
      <c r="AL61" s="319"/>
      <c r="AM61" s="319"/>
      <c r="AO61" s="322"/>
      <c r="AP61" s="319"/>
      <c r="AQ61" s="319"/>
      <c r="AS61" s="322"/>
      <c r="AT61" s="319"/>
      <c r="AU61" s="319"/>
      <c r="AW61" s="322"/>
      <c r="AX61" s="319"/>
      <c r="AY61" s="319"/>
    </row>
    <row r="62" ht="14.25" customHeight="1">
      <c r="E62" s="322" t="s">
        <v>38</v>
      </c>
      <c r="F62" s="319" t="str">
        <f>SHARES!AT3</f>
        <v/>
      </c>
      <c r="G62" s="321"/>
      <c r="H62" s="320"/>
      <c r="I62" s="323" t="s">
        <v>39</v>
      </c>
      <c r="J62" s="319">
        <f>SHARES!AT4</f>
        <v>400</v>
      </c>
      <c r="K62" s="321"/>
      <c r="L62" s="320"/>
      <c r="M62" s="323" t="s">
        <v>39</v>
      </c>
      <c r="N62" s="319">
        <f>SHARES!AT5</f>
        <v>400</v>
      </c>
      <c r="O62" s="319"/>
      <c r="Q62" s="322" t="s">
        <v>39</v>
      </c>
      <c r="R62" s="319">
        <f>SHARES!AT6</f>
        <v>500</v>
      </c>
      <c r="S62" s="319"/>
      <c r="U62" s="322" t="s">
        <v>39</v>
      </c>
      <c r="V62" s="319">
        <f>SHARES!AT7</f>
        <v>200</v>
      </c>
      <c r="W62" s="319"/>
      <c r="Y62" s="322" t="s">
        <v>39</v>
      </c>
      <c r="Z62" s="319">
        <f>SHARES!AT8</f>
        <v>200</v>
      </c>
      <c r="AA62" s="319"/>
      <c r="AC62" s="322" t="s">
        <v>39</v>
      </c>
      <c r="AD62" s="319">
        <f>SHARES!AT9</f>
        <v>200</v>
      </c>
      <c r="AE62" s="319"/>
      <c r="AG62" s="322" t="s">
        <v>39</v>
      </c>
      <c r="AH62" s="319" t="str">
        <f>SHARES!AT10</f>
        <v/>
      </c>
      <c r="AI62" s="319"/>
      <c r="AK62" s="322" t="s">
        <v>39</v>
      </c>
      <c r="AL62" s="319">
        <f>SHARES!AT11</f>
        <v>200</v>
      </c>
      <c r="AM62" s="319"/>
      <c r="AO62" s="322" t="s">
        <v>39</v>
      </c>
      <c r="AP62" s="319" t="str">
        <f>SHARES!AT12</f>
        <v/>
      </c>
      <c r="AQ62" s="319"/>
      <c r="AS62" s="322" t="s">
        <v>39</v>
      </c>
      <c r="AT62" s="319">
        <f>SHARES!AT13</f>
        <v>200</v>
      </c>
      <c r="AU62" s="319"/>
      <c r="AW62" s="322" t="s">
        <v>39</v>
      </c>
      <c r="AX62" s="319" t="str">
        <f>SHARES!AT14</f>
        <v/>
      </c>
      <c r="AY62" s="319"/>
    </row>
    <row r="63" ht="14.25" customHeight="1">
      <c r="E63" s="322" t="s">
        <v>39</v>
      </c>
      <c r="F63" s="319">
        <f>F62*1.1</f>
        <v>0</v>
      </c>
      <c r="G63" s="321">
        <f>F62*0.1</f>
        <v>0</v>
      </c>
      <c r="H63" s="320"/>
      <c r="I63" s="323" t="s">
        <v>40</v>
      </c>
      <c r="J63" s="319">
        <f>J62*1.1</f>
        <v>440</v>
      </c>
      <c r="K63" s="321">
        <f>J62*0.1</f>
        <v>40</v>
      </c>
      <c r="L63" s="320"/>
      <c r="M63" s="323" t="s">
        <v>40</v>
      </c>
      <c r="N63" s="319">
        <f>N62*1.1</f>
        <v>440</v>
      </c>
      <c r="O63" s="319">
        <f>N62*0.1</f>
        <v>40</v>
      </c>
      <c r="Q63" s="322" t="s">
        <v>40</v>
      </c>
      <c r="R63" s="319">
        <f>R62*1.1</f>
        <v>550</v>
      </c>
      <c r="S63" s="319">
        <f>R62*0.1</f>
        <v>50</v>
      </c>
      <c r="U63" s="322" t="s">
        <v>40</v>
      </c>
      <c r="V63" s="319">
        <f>V62*1.1</f>
        <v>220</v>
      </c>
      <c r="W63" s="319">
        <f>V62*0.1</f>
        <v>20</v>
      </c>
      <c r="Y63" s="322" t="s">
        <v>40</v>
      </c>
      <c r="Z63" s="319">
        <f>Z62*1.1</f>
        <v>220</v>
      </c>
      <c r="AA63" s="319">
        <f>Z62*0.1</f>
        <v>20</v>
      </c>
      <c r="AC63" s="322" t="s">
        <v>40</v>
      </c>
      <c r="AD63" s="319">
        <f>AD62*1.1</f>
        <v>220</v>
      </c>
      <c r="AE63" s="319">
        <f>AD62*0.1</f>
        <v>20</v>
      </c>
      <c r="AG63" s="322" t="s">
        <v>40</v>
      </c>
      <c r="AH63" s="319">
        <f>AH62*1.1</f>
        <v>0</v>
      </c>
      <c r="AI63" s="319">
        <f>AH62*0.1</f>
        <v>0</v>
      </c>
      <c r="AK63" s="322" t="s">
        <v>40</v>
      </c>
      <c r="AL63" s="319">
        <f>AL62*1.1</f>
        <v>220</v>
      </c>
      <c r="AM63" s="319">
        <f>AL62*0.1</f>
        <v>20</v>
      </c>
      <c r="AO63" s="322" t="s">
        <v>40</v>
      </c>
      <c r="AP63" s="319">
        <f>AP62*1.1</f>
        <v>0</v>
      </c>
      <c r="AQ63" s="319">
        <f>AP62*0.1</f>
        <v>0</v>
      </c>
      <c r="AS63" s="322" t="s">
        <v>40</v>
      </c>
      <c r="AT63" s="319">
        <f>AT62*1.1</f>
        <v>220</v>
      </c>
      <c r="AU63" s="319">
        <f>AT62*0.1</f>
        <v>20</v>
      </c>
      <c r="AW63" s="322" t="s">
        <v>40</v>
      </c>
      <c r="AX63" s="319">
        <f>AX62*1.1</f>
        <v>0</v>
      </c>
      <c r="AY63" s="319">
        <f>AX62*0.1</f>
        <v>0</v>
      </c>
    </row>
    <row r="64" ht="14.25" customHeight="1">
      <c r="E64" s="322" t="s">
        <v>40</v>
      </c>
      <c r="F64" s="319">
        <f t="shared" ref="F64:F66" si="145">F63*1.05</f>
        <v>0</v>
      </c>
      <c r="G64" s="321">
        <f t="shared" ref="G64:G66" si="146">F63*0.05</f>
        <v>0</v>
      </c>
      <c r="H64" s="320"/>
      <c r="I64" s="323" t="s">
        <v>41</v>
      </c>
      <c r="J64" s="319">
        <f t="shared" ref="J64:J66" si="147">J63*1.05</f>
        <v>462</v>
      </c>
      <c r="K64" s="321">
        <f t="shared" ref="K64:K66" si="148">J63*0.05</f>
        <v>22</v>
      </c>
      <c r="L64" s="320"/>
      <c r="M64" s="323" t="s">
        <v>41</v>
      </c>
      <c r="N64" s="319">
        <f t="shared" ref="N64:N66" si="149">N63*1.05</f>
        <v>462</v>
      </c>
      <c r="O64" s="319">
        <f t="shared" ref="O64:O66" si="150">N63*0.05</f>
        <v>22</v>
      </c>
      <c r="Q64" s="322" t="s">
        <v>41</v>
      </c>
      <c r="R64" s="319">
        <f t="shared" ref="R64:R66" si="151">R63*1.05</f>
        <v>577.5</v>
      </c>
      <c r="S64" s="319">
        <f t="shared" ref="S64:S66" si="152">R63*0.05</f>
        <v>27.5</v>
      </c>
      <c r="U64" s="322" t="s">
        <v>41</v>
      </c>
      <c r="V64" s="319">
        <f t="shared" ref="V64:V66" si="153">V63*1.05</f>
        <v>231</v>
      </c>
      <c r="W64" s="319">
        <f t="shared" ref="W64:W66" si="154">V63*0.05</f>
        <v>11</v>
      </c>
      <c r="Y64" s="322" t="s">
        <v>41</v>
      </c>
      <c r="Z64" s="319">
        <f t="shared" ref="Z64:Z66" si="155">Z63*1.05</f>
        <v>231</v>
      </c>
      <c r="AA64" s="319">
        <f t="shared" ref="AA64:AA66" si="156">Z63*0.05</f>
        <v>11</v>
      </c>
      <c r="AC64" s="322" t="s">
        <v>41</v>
      </c>
      <c r="AD64" s="319">
        <f t="shared" ref="AD64:AD66" si="157">AD63*1.05</f>
        <v>231</v>
      </c>
      <c r="AE64" s="319">
        <f t="shared" ref="AE64:AE66" si="158">AD63*0.05</f>
        <v>11</v>
      </c>
      <c r="AG64" s="322" t="s">
        <v>41</v>
      </c>
      <c r="AH64" s="319">
        <f t="shared" ref="AH64:AH66" si="159">AH63*1.05</f>
        <v>0</v>
      </c>
      <c r="AI64" s="319">
        <f t="shared" ref="AI64:AI66" si="160">AH63*0.05</f>
        <v>0</v>
      </c>
      <c r="AK64" s="322" t="s">
        <v>41</v>
      </c>
      <c r="AL64" s="319">
        <f t="shared" ref="AL64:AL66" si="161">AL63*1.05</f>
        <v>231</v>
      </c>
      <c r="AM64" s="319">
        <f t="shared" ref="AM64:AM66" si="162">AL63*0.05</f>
        <v>11</v>
      </c>
      <c r="AO64" s="322" t="s">
        <v>41</v>
      </c>
      <c r="AP64" s="319">
        <f t="shared" ref="AP64:AP66" si="163">AP63*1.05</f>
        <v>0</v>
      </c>
      <c r="AQ64" s="319">
        <f t="shared" ref="AQ64:AQ66" si="164">AP63*0.05</f>
        <v>0</v>
      </c>
      <c r="AS64" s="322" t="s">
        <v>41</v>
      </c>
      <c r="AT64" s="319">
        <f t="shared" ref="AT64:AT66" si="165">AT63*1.05</f>
        <v>231</v>
      </c>
      <c r="AU64" s="319">
        <f t="shared" ref="AU64:AU66" si="166">AT63*0.05</f>
        <v>11</v>
      </c>
      <c r="AW64" s="322" t="s">
        <v>41</v>
      </c>
      <c r="AX64" s="319">
        <f t="shared" ref="AX64:AX66" si="167">AX63*1.05</f>
        <v>0</v>
      </c>
      <c r="AY64" s="319">
        <f t="shared" ref="AY64:AY66" si="168">AX63*0.05</f>
        <v>0</v>
      </c>
    </row>
    <row r="65" ht="14.25" customHeight="1">
      <c r="E65" s="322" t="s">
        <v>41</v>
      </c>
      <c r="F65" s="319">
        <f t="shared" si="145"/>
        <v>0</v>
      </c>
      <c r="G65" s="321">
        <f t="shared" si="146"/>
        <v>0</v>
      </c>
      <c r="H65" s="320"/>
      <c r="I65" s="323" t="s">
        <v>42</v>
      </c>
      <c r="J65" s="319">
        <f t="shared" si="147"/>
        <v>485.1</v>
      </c>
      <c r="K65" s="321">
        <f t="shared" si="148"/>
        <v>23.1</v>
      </c>
      <c r="L65" s="320"/>
      <c r="M65" s="323" t="s">
        <v>42</v>
      </c>
      <c r="N65" s="319">
        <f t="shared" si="149"/>
        <v>485.1</v>
      </c>
      <c r="O65" s="319">
        <f t="shared" si="150"/>
        <v>23.1</v>
      </c>
      <c r="Q65" s="322" t="s">
        <v>42</v>
      </c>
      <c r="R65" s="319">
        <f t="shared" si="151"/>
        <v>606.375</v>
      </c>
      <c r="S65" s="319">
        <f t="shared" si="152"/>
        <v>28.875</v>
      </c>
      <c r="U65" s="322" t="s">
        <v>42</v>
      </c>
      <c r="V65" s="319">
        <f t="shared" si="153"/>
        <v>242.55</v>
      </c>
      <c r="W65" s="319">
        <f t="shared" si="154"/>
        <v>11.55</v>
      </c>
      <c r="Y65" s="322" t="s">
        <v>42</v>
      </c>
      <c r="Z65" s="319">
        <f t="shared" si="155"/>
        <v>242.55</v>
      </c>
      <c r="AA65" s="319">
        <f t="shared" si="156"/>
        <v>11.55</v>
      </c>
      <c r="AC65" s="322" t="s">
        <v>42</v>
      </c>
      <c r="AD65" s="319">
        <f t="shared" si="157"/>
        <v>242.55</v>
      </c>
      <c r="AE65" s="319">
        <f t="shared" si="158"/>
        <v>11.55</v>
      </c>
      <c r="AG65" s="322" t="s">
        <v>42</v>
      </c>
      <c r="AH65" s="319">
        <f t="shared" si="159"/>
        <v>0</v>
      </c>
      <c r="AI65" s="319">
        <f t="shared" si="160"/>
        <v>0</v>
      </c>
      <c r="AK65" s="322" t="s">
        <v>42</v>
      </c>
      <c r="AL65" s="319">
        <f t="shared" si="161"/>
        <v>242.55</v>
      </c>
      <c r="AM65" s="319">
        <f t="shared" si="162"/>
        <v>11.55</v>
      </c>
      <c r="AO65" s="322" t="s">
        <v>42</v>
      </c>
      <c r="AP65" s="319">
        <f t="shared" si="163"/>
        <v>0</v>
      </c>
      <c r="AQ65" s="319">
        <f t="shared" si="164"/>
        <v>0</v>
      </c>
      <c r="AS65" s="322" t="s">
        <v>42</v>
      </c>
      <c r="AT65" s="319">
        <f t="shared" si="165"/>
        <v>242.55</v>
      </c>
      <c r="AU65" s="319">
        <f t="shared" si="166"/>
        <v>11.55</v>
      </c>
      <c r="AW65" s="322" t="s">
        <v>42</v>
      </c>
      <c r="AX65" s="319">
        <f t="shared" si="167"/>
        <v>0</v>
      </c>
      <c r="AY65" s="319">
        <f t="shared" si="168"/>
        <v>0</v>
      </c>
    </row>
    <row r="66" ht="14.25" customHeight="1">
      <c r="E66" s="322" t="s">
        <v>42</v>
      </c>
      <c r="F66" s="319">
        <f t="shared" si="145"/>
        <v>0</v>
      </c>
      <c r="G66" s="321">
        <f t="shared" si="146"/>
        <v>0</v>
      </c>
      <c r="H66" s="320"/>
      <c r="I66" s="323" t="s">
        <v>43</v>
      </c>
      <c r="J66" s="319">
        <f t="shared" si="147"/>
        <v>509.355</v>
      </c>
      <c r="K66" s="321">
        <f t="shared" si="148"/>
        <v>24.255</v>
      </c>
      <c r="L66" s="320"/>
      <c r="M66" s="323" t="s">
        <v>43</v>
      </c>
      <c r="N66" s="319">
        <f t="shared" si="149"/>
        <v>509.355</v>
      </c>
      <c r="O66" s="319">
        <f t="shared" si="150"/>
        <v>24.255</v>
      </c>
      <c r="Q66" s="322" t="s">
        <v>43</v>
      </c>
      <c r="R66" s="319">
        <f t="shared" si="151"/>
        <v>636.69375</v>
      </c>
      <c r="S66" s="319">
        <f t="shared" si="152"/>
        <v>30.31875</v>
      </c>
      <c r="U66" s="322" t="s">
        <v>43</v>
      </c>
      <c r="V66" s="319">
        <f t="shared" si="153"/>
        <v>254.6775</v>
      </c>
      <c r="W66" s="319">
        <f t="shared" si="154"/>
        <v>12.1275</v>
      </c>
      <c r="Y66" s="322" t="s">
        <v>43</v>
      </c>
      <c r="Z66" s="319">
        <f t="shared" si="155"/>
        <v>254.6775</v>
      </c>
      <c r="AA66" s="319">
        <f t="shared" si="156"/>
        <v>12.1275</v>
      </c>
      <c r="AC66" s="322" t="s">
        <v>43</v>
      </c>
      <c r="AD66" s="319">
        <f t="shared" si="157"/>
        <v>254.6775</v>
      </c>
      <c r="AE66" s="319">
        <f t="shared" si="158"/>
        <v>12.1275</v>
      </c>
      <c r="AG66" s="322" t="s">
        <v>43</v>
      </c>
      <c r="AH66" s="319">
        <f t="shared" si="159"/>
        <v>0</v>
      </c>
      <c r="AI66" s="319">
        <f t="shared" si="160"/>
        <v>0</v>
      </c>
      <c r="AK66" s="322" t="s">
        <v>43</v>
      </c>
      <c r="AL66" s="319">
        <f t="shared" si="161"/>
        <v>254.6775</v>
      </c>
      <c r="AM66" s="319">
        <f t="shared" si="162"/>
        <v>12.1275</v>
      </c>
      <c r="AO66" s="322" t="s">
        <v>43</v>
      </c>
      <c r="AP66" s="319">
        <f t="shared" si="163"/>
        <v>0</v>
      </c>
      <c r="AQ66" s="319">
        <f t="shared" si="164"/>
        <v>0</v>
      </c>
      <c r="AS66" s="322" t="s">
        <v>43</v>
      </c>
      <c r="AT66" s="319">
        <f t="shared" si="165"/>
        <v>254.6775</v>
      </c>
      <c r="AU66" s="319">
        <f t="shared" si="166"/>
        <v>12.1275</v>
      </c>
      <c r="AW66" s="322" t="s">
        <v>43</v>
      </c>
      <c r="AX66" s="319">
        <f t="shared" si="167"/>
        <v>0</v>
      </c>
      <c r="AY66" s="319">
        <f t="shared" si="168"/>
        <v>0</v>
      </c>
    </row>
    <row r="67" ht="14.25" customHeight="1">
      <c r="E67" s="322"/>
      <c r="F67" s="319"/>
      <c r="G67" s="321"/>
      <c r="H67" s="320"/>
      <c r="I67" s="323"/>
      <c r="J67" s="319"/>
      <c r="K67" s="321"/>
      <c r="L67" s="320"/>
      <c r="M67" s="323"/>
      <c r="N67" s="319"/>
      <c r="O67" s="319"/>
      <c r="Q67" s="322"/>
      <c r="R67" s="319"/>
      <c r="S67" s="319"/>
      <c r="U67" s="322"/>
      <c r="V67" s="319"/>
      <c r="W67" s="319"/>
      <c r="Y67" s="322"/>
      <c r="Z67" s="319"/>
      <c r="AA67" s="319"/>
      <c r="AC67" s="322"/>
      <c r="AD67" s="319"/>
      <c r="AE67" s="319"/>
      <c r="AG67" s="322"/>
      <c r="AH67" s="319"/>
      <c r="AI67" s="319"/>
      <c r="AK67" s="322"/>
      <c r="AL67" s="319"/>
      <c r="AM67" s="319"/>
      <c r="AO67" s="322"/>
      <c r="AP67" s="319"/>
      <c r="AQ67" s="319"/>
      <c r="AS67" s="322"/>
      <c r="AT67" s="319"/>
      <c r="AU67" s="319"/>
      <c r="AW67" s="322"/>
      <c r="AX67" s="319"/>
      <c r="AY67" s="319"/>
    </row>
    <row r="68" ht="14.25" customHeight="1">
      <c r="E68" s="322" t="s">
        <v>39</v>
      </c>
      <c r="F68" s="319">
        <f>SHARES!BA3</f>
        <v>0</v>
      </c>
      <c r="G68" s="321"/>
      <c r="H68" s="320"/>
      <c r="I68" s="323" t="s">
        <v>40</v>
      </c>
      <c r="J68" s="319">
        <f>SHARES!BA4</f>
        <v>600</v>
      </c>
      <c r="K68" s="321"/>
      <c r="L68" s="320"/>
      <c r="M68" s="323" t="s">
        <v>40</v>
      </c>
      <c r="N68" s="319">
        <f>SHARES!BA5</f>
        <v>200</v>
      </c>
      <c r="O68" s="319"/>
      <c r="Q68" s="322" t="s">
        <v>40</v>
      </c>
      <c r="R68" s="319">
        <f>SHARES!BA6</f>
        <v>400</v>
      </c>
      <c r="S68" s="319"/>
      <c r="U68" s="322" t="s">
        <v>40</v>
      </c>
      <c r="V68" s="319">
        <f>SHARES!BA7</f>
        <v>200</v>
      </c>
      <c r="W68" s="319"/>
      <c r="Y68" s="322" t="s">
        <v>40</v>
      </c>
      <c r="Z68" s="319">
        <f>SHARES!BA8</f>
        <v>0</v>
      </c>
      <c r="AA68" s="319"/>
      <c r="AC68" s="322" t="s">
        <v>40</v>
      </c>
      <c r="AD68" s="319">
        <f>SHARES!BA9</f>
        <v>0</v>
      </c>
      <c r="AE68" s="319"/>
      <c r="AG68" s="322" t="s">
        <v>40</v>
      </c>
      <c r="AH68" s="319">
        <f>SHARES!BA10</f>
        <v>0</v>
      </c>
      <c r="AI68" s="319"/>
      <c r="AK68" s="322" t="s">
        <v>40</v>
      </c>
      <c r="AL68" s="319">
        <f>SHARES!BA11</f>
        <v>200</v>
      </c>
      <c r="AM68" s="319"/>
      <c r="AO68" s="322" t="s">
        <v>40</v>
      </c>
      <c r="AP68" s="319">
        <f>SHARES!BA12</f>
        <v>0</v>
      </c>
      <c r="AQ68" s="319"/>
      <c r="AS68" s="322" t="s">
        <v>40</v>
      </c>
      <c r="AT68" s="319">
        <f>SHARES!BA13</f>
        <v>0</v>
      </c>
      <c r="AU68" s="319"/>
      <c r="AW68" s="322" t="s">
        <v>40</v>
      </c>
      <c r="AX68" s="319">
        <f>SHARES!BA14</f>
        <v>0</v>
      </c>
      <c r="AY68" s="319"/>
    </row>
    <row r="69" ht="14.25" customHeight="1">
      <c r="E69" s="322" t="s">
        <v>40</v>
      </c>
      <c r="F69" s="319">
        <f>F68*1.1</f>
        <v>0</v>
      </c>
      <c r="G69" s="321">
        <f>F68*0.1</f>
        <v>0</v>
      </c>
      <c r="H69" s="320"/>
      <c r="I69" s="323" t="s">
        <v>41</v>
      </c>
      <c r="J69" s="319">
        <f>J68*1.1</f>
        <v>660</v>
      </c>
      <c r="K69" s="321">
        <f>J68*0.1</f>
        <v>60</v>
      </c>
      <c r="L69" s="320"/>
      <c r="M69" s="323" t="s">
        <v>41</v>
      </c>
      <c r="N69" s="319">
        <f>N68*1.1</f>
        <v>220</v>
      </c>
      <c r="O69" s="319">
        <f>N68*0.1</f>
        <v>20</v>
      </c>
      <c r="Q69" s="322" t="s">
        <v>41</v>
      </c>
      <c r="R69" s="319">
        <f>R68*1.1</f>
        <v>440</v>
      </c>
      <c r="S69" s="319">
        <f>R68*0.1</f>
        <v>40</v>
      </c>
      <c r="U69" s="322" t="s">
        <v>41</v>
      </c>
      <c r="V69" s="319">
        <f>V68*1.1</f>
        <v>220</v>
      </c>
      <c r="W69" s="319">
        <f>V68*0.1</f>
        <v>20</v>
      </c>
      <c r="Y69" s="322" t="s">
        <v>41</v>
      </c>
      <c r="Z69" s="319">
        <f>Z68*1.1</f>
        <v>0</v>
      </c>
      <c r="AA69" s="319">
        <f>Z68*0.1</f>
        <v>0</v>
      </c>
      <c r="AC69" s="322" t="s">
        <v>41</v>
      </c>
      <c r="AD69" s="319">
        <f>AD68*1.1</f>
        <v>0</v>
      </c>
      <c r="AE69" s="319">
        <f>AD68*0.1</f>
        <v>0</v>
      </c>
      <c r="AG69" s="322" t="s">
        <v>41</v>
      </c>
      <c r="AH69" s="319">
        <f>AH68*1.1</f>
        <v>0</v>
      </c>
      <c r="AI69" s="319">
        <f>AH68*0.1</f>
        <v>0</v>
      </c>
      <c r="AK69" s="322" t="s">
        <v>41</v>
      </c>
      <c r="AL69" s="319">
        <f>AL68*1.1</f>
        <v>220</v>
      </c>
      <c r="AM69" s="319">
        <f>AL68*0.1</f>
        <v>20</v>
      </c>
      <c r="AO69" s="322" t="s">
        <v>41</v>
      </c>
      <c r="AP69" s="319">
        <f>AP68*1.1</f>
        <v>0</v>
      </c>
      <c r="AQ69" s="319">
        <f>AP68*0.1</f>
        <v>0</v>
      </c>
      <c r="AS69" s="322" t="s">
        <v>41</v>
      </c>
      <c r="AT69" s="319">
        <f>AT68*1.1</f>
        <v>0</v>
      </c>
      <c r="AU69" s="319">
        <f>AT68*0.1</f>
        <v>0</v>
      </c>
      <c r="AW69" s="322" t="s">
        <v>41</v>
      </c>
      <c r="AX69" s="319">
        <f>AX68*1.1</f>
        <v>0</v>
      </c>
      <c r="AY69" s="319">
        <f>AX68*0.1</f>
        <v>0</v>
      </c>
    </row>
    <row r="70" ht="14.25" customHeight="1">
      <c r="E70" s="322" t="s">
        <v>41</v>
      </c>
      <c r="F70" s="319">
        <f t="shared" ref="F70:F71" si="169">F69*1.05</f>
        <v>0</v>
      </c>
      <c r="G70" s="321">
        <f t="shared" ref="G70:G71" si="170">F69*0.05</f>
        <v>0</v>
      </c>
      <c r="H70" s="320"/>
      <c r="I70" s="323" t="s">
        <v>42</v>
      </c>
      <c r="J70" s="319">
        <f t="shared" ref="J70:J71" si="171">J69*1.05</f>
        <v>693</v>
      </c>
      <c r="K70" s="321">
        <f t="shared" ref="K70:K71" si="172">J69*0.05</f>
        <v>33</v>
      </c>
      <c r="L70" s="320"/>
      <c r="M70" s="323" t="s">
        <v>42</v>
      </c>
      <c r="N70" s="319">
        <f t="shared" ref="N70:N71" si="173">N69*1.05</f>
        <v>231</v>
      </c>
      <c r="O70" s="319">
        <f t="shared" ref="O70:O71" si="174">N69*0.05</f>
        <v>11</v>
      </c>
      <c r="Q70" s="322" t="s">
        <v>42</v>
      </c>
      <c r="R70" s="319">
        <f t="shared" ref="R70:R71" si="175">R69*1.05</f>
        <v>462</v>
      </c>
      <c r="S70" s="319">
        <f t="shared" ref="S70:S71" si="176">R69*0.05</f>
        <v>22</v>
      </c>
      <c r="U70" s="322" t="s">
        <v>42</v>
      </c>
      <c r="V70" s="319">
        <f t="shared" ref="V70:V71" si="177">V69*1.05</f>
        <v>231</v>
      </c>
      <c r="W70" s="319">
        <f t="shared" ref="W70:W71" si="178">V69*0.05</f>
        <v>11</v>
      </c>
      <c r="Y70" s="322" t="s">
        <v>42</v>
      </c>
      <c r="Z70" s="319">
        <f t="shared" ref="Z70:Z71" si="179">Z69*1.05</f>
        <v>0</v>
      </c>
      <c r="AA70" s="319">
        <f t="shared" ref="AA70:AA71" si="180">Z69*0.05</f>
        <v>0</v>
      </c>
      <c r="AC70" s="322" t="s">
        <v>42</v>
      </c>
      <c r="AD70" s="319">
        <f t="shared" ref="AD70:AD71" si="181">AD69*1.05</f>
        <v>0</v>
      </c>
      <c r="AE70" s="319">
        <f t="shared" ref="AE70:AE71" si="182">AD69*0.05</f>
        <v>0</v>
      </c>
      <c r="AG70" s="322" t="s">
        <v>42</v>
      </c>
      <c r="AH70" s="319">
        <f t="shared" ref="AH70:AH71" si="183">AH69*1.05</f>
        <v>0</v>
      </c>
      <c r="AI70" s="319">
        <f t="shared" ref="AI70:AI71" si="184">AH69*0.05</f>
        <v>0</v>
      </c>
      <c r="AK70" s="322" t="s">
        <v>42</v>
      </c>
      <c r="AL70" s="319">
        <f t="shared" ref="AL70:AL71" si="185">AL69*1.05</f>
        <v>231</v>
      </c>
      <c r="AM70" s="319">
        <f t="shared" ref="AM70:AM71" si="186">AL69*0.05</f>
        <v>11</v>
      </c>
      <c r="AO70" s="322" t="s">
        <v>42</v>
      </c>
      <c r="AP70" s="319">
        <f t="shared" ref="AP70:AP71" si="187">AP69*1.05</f>
        <v>0</v>
      </c>
      <c r="AQ70" s="319">
        <f t="shared" ref="AQ70:AQ71" si="188">AP69*0.05</f>
        <v>0</v>
      </c>
      <c r="AS70" s="322" t="s">
        <v>42</v>
      </c>
      <c r="AT70" s="319">
        <f t="shared" ref="AT70:AT71" si="189">AT69*1.05</f>
        <v>0</v>
      </c>
      <c r="AU70" s="319">
        <f t="shared" ref="AU70:AU71" si="190">AT69*0.05</f>
        <v>0</v>
      </c>
      <c r="AW70" s="322" t="s">
        <v>42</v>
      </c>
      <c r="AX70" s="319">
        <f t="shared" ref="AX70:AX71" si="191">AX69*1.05</f>
        <v>0</v>
      </c>
      <c r="AY70" s="319">
        <f t="shared" ref="AY70:AY71" si="192">AX69*0.05</f>
        <v>0</v>
      </c>
    </row>
    <row r="71" ht="14.25" customHeight="1">
      <c r="E71" s="322" t="s">
        <v>42</v>
      </c>
      <c r="F71" s="319">
        <f t="shared" si="169"/>
        <v>0</v>
      </c>
      <c r="G71" s="321">
        <f t="shared" si="170"/>
        <v>0</v>
      </c>
      <c r="H71" s="320"/>
      <c r="I71" s="323" t="s">
        <v>43</v>
      </c>
      <c r="J71" s="319">
        <f t="shared" si="171"/>
        <v>727.65</v>
      </c>
      <c r="K71" s="321">
        <f t="shared" si="172"/>
        <v>34.65</v>
      </c>
      <c r="L71" s="320"/>
      <c r="M71" s="323" t="s">
        <v>43</v>
      </c>
      <c r="N71" s="319">
        <f t="shared" si="173"/>
        <v>242.55</v>
      </c>
      <c r="O71" s="319">
        <f t="shared" si="174"/>
        <v>11.55</v>
      </c>
      <c r="Q71" s="322" t="s">
        <v>43</v>
      </c>
      <c r="R71" s="319">
        <f t="shared" si="175"/>
        <v>485.1</v>
      </c>
      <c r="S71" s="319">
        <f t="shared" si="176"/>
        <v>23.1</v>
      </c>
      <c r="U71" s="322" t="s">
        <v>43</v>
      </c>
      <c r="V71" s="319">
        <f t="shared" si="177"/>
        <v>242.55</v>
      </c>
      <c r="W71" s="319">
        <f t="shared" si="178"/>
        <v>11.55</v>
      </c>
      <c r="Y71" s="322" t="s">
        <v>43</v>
      </c>
      <c r="Z71" s="319">
        <f t="shared" si="179"/>
        <v>0</v>
      </c>
      <c r="AA71" s="319">
        <f t="shared" si="180"/>
        <v>0</v>
      </c>
      <c r="AC71" s="322" t="s">
        <v>43</v>
      </c>
      <c r="AD71" s="319">
        <f t="shared" si="181"/>
        <v>0</v>
      </c>
      <c r="AE71" s="319">
        <f t="shared" si="182"/>
        <v>0</v>
      </c>
      <c r="AG71" s="322" t="s">
        <v>43</v>
      </c>
      <c r="AH71" s="319">
        <f t="shared" si="183"/>
        <v>0</v>
      </c>
      <c r="AI71" s="319">
        <f t="shared" si="184"/>
        <v>0</v>
      </c>
      <c r="AK71" s="322" t="s">
        <v>43</v>
      </c>
      <c r="AL71" s="319">
        <f t="shared" si="185"/>
        <v>242.55</v>
      </c>
      <c r="AM71" s="319">
        <f t="shared" si="186"/>
        <v>11.55</v>
      </c>
      <c r="AO71" s="322" t="s">
        <v>43</v>
      </c>
      <c r="AP71" s="319">
        <f t="shared" si="187"/>
        <v>0</v>
      </c>
      <c r="AQ71" s="319">
        <f t="shared" si="188"/>
        <v>0</v>
      </c>
      <c r="AS71" s="322" t="s">
        <v>43</v>
      </c>
      <c r="AT71" s="319">
        <f t="shared" si="189"/>
        <v>0</v>
      </c>
      <c r="AU71" s="319">
        <f t="shared" si="190"/>
        <v>0</v>
      </c>
      <c r="AW71" s="322" t="s">
        <v>43</v>
      </c>
      <c r="AX71" s="319">
        <f t="shared" si="191"/>
        <v>0</v>
      </c>
      <c r="AY71" s="319">
        <f t="shared" si="192"/>
        <v>0</v>
      </c>
    </row>
    <row r="72" ht="14.25" customHeight="1">
      <c r="E72" s="322"/>
      <c r="F72" s="319"/>
      <c r="G72" s="321"/>
      <c r="H72" s="320"/>
      <c r="I72" s="323"/>
      <c r="J72" s="319"/>
      <c r="K72" s="321"/>
      <c r="L72" s="320"/>
      <c r="M72" s="323"/>
      <c r="N72" s="319"/>
      <c r="O72" s="319"/>
      <c r="Q72" s="322"/>
      <c r="R72" s="319"/>
      <c r="S72" s="319"/>
      <c r="U72" s="322"/>
      <c r="V72" s="319"/>
      <c r="W72" s="319"/>
      <c r="Y72" s="322"/>
      <c r="Z72" s="319"/>
      <c r="AA72" s="319"/>
      <c r="AC72" s="322"/>
      <c r="AD72" s="319"/>
      <c r="AE72" s="319"/>
      <c r="AG72" s="322"/>
      <c r="AH72" s="319"/>
      <c r="AI72" s="319"/>
      <c r="AK72" s="322"/>
      <c r="AL72" s="319"/>
      <c r="AM72" s="319"/>
      <c r="AO72" s="322"/>
      <c r="AP72" s="319"/>
      <c r="AQ72" s="319"/>
      <c r="AS72" s="322"/>
      <c r="AT72" s="319"/>
      <c r="AU72" s="319"/>
      <c r="AW72" s="322"/>
      <c r="AX72" s="319"/>
      <c r="AY72" s="319"/>
    </row>
    <row r="73" ht="14.25" customHeight="1">
      <c r="E73" s="322" t="s">
        <v>40</v>
      </c>
      <c r="F73" s="319">
        <f>SHARES!BH3</f>
        <v>200</v>
      </c>
      <c r="G73" s="321"/>
      <c r="H73" s="320"/>
      <c r="I73" s="322" t="s">
        <v>40</v>
      </c>
      <c r="J73" s="319">
        <f>SHARES!BH4</f>
        <v>400</v>
      </c>
      <c r="K73" s="321"/>
      <c r="L73" s="320"/>
      <c r="M73" s="322" t="s">
        <v>40</v>
      </c>
      <c r="N73" s="319">
        <f>SHARES!BH5</f>
        <v>200</v>
      </c>
      <c r="O73" s="319"/>
      <c r="Q73" s="322" t="s">
        <v>40</v>
      </c>
      <c r="R73" s="319">
        <f>SHARES!BH6</f>
        <v>400</v>
      </c>
      <c r="S73" s="319"/>
      <c r="U73" s="322" t="s">
        <v>40</v>
      </c>
      <c r="V73" s="319">
        <f>SHARES!BH7</f>
        <v>200</v>
      </c>
      <c r="W73" s="319"/>
      <c r="Y73" s="322" t="s">
        <v>40</v>
      </c>
      <c r="Z73" s="319">
        <f>SHARES!BH8</f>
        <v>200</v>
      </c>
      <c r="AA73" s="319"/>
      <c r="AC73" s="322" t="s">
        <v>41</v>
      </c>
      <c r="AD73" s="319">
        <f>SHARES!BH9</f>
        <v>0</v>
      </c>
      <c r="AE73" s="319"/>
      <c r="AG73" s="322" t="s">
        <v>41</v>
      </c>
      <c r="AH73" s="319">
        <f>SHARES!BH10</f>
        <v>400</v>
      </c>
      <c r="AI73" s="319"/>
      <c r="AK73" s="322" t="s">
        <v>41</v>
      </c>
      <c r="AL73" s="319">
        <f>SHARES!BH11</f>
        <v>200</v>
      </c>
      <c r="AM73" s="319"/>
      <c r="AO73" s="322" t="s">
        <v>41</v>
      </c>
      <c r="AP73" s="319">
        <f>SHARES!BH12</f>
        <v>0</v>
      </c>
      <c r="AQ73" s="319"/>
      <c r="AS73" s="322" t="s">
        <v>41</v>
      </c>
      <c r="AT73" s="319">
        <f>SHARES!BH13</f>
        <v>200</v>
      </c>
      <c r="AU73" s="319"/>
      <c r="AW73" s="322" t="s">
        <v>41</v>
      </c>
      <c r="AX73" s="319">
        <f>SHARES!BH14</f>
        <v>200</v>
      </c>
      <c r="AY73" s="319"/>
    </row>
    <row r="74" ht="14.25" customHeight="1">
      <c r="E74" s="322" t="s">
        <v>41</v>
      </c>
      <c r="F74" s="319">
        <f>F73*1.1</f>
        <v>220</v>
      </c>
      <c r="G74" s="321">
        <f>F73*0.1</f>
        <v>20</v>
      </c>
      <c r="H74" s="320"/>
      <c r="I74" s="322" t="s">
        <v>41</v>
      </c>
      <c r="J74" s="319">
        <f>J73*1.1</f>
        <v>440</v>
      </c>
      <c r="K74" s="321">
        <f>J73*0.1</f>
        <v>40</v>
      </c>
      <c r="L74" s="320"/>
      <c r="M74" s="322" t="s">
        <v>41</v>
      </c>
      <c r="N74" s="319">
        <f>N73*1.1</f>
        <v>220</v>
      </c>
      <c r="O74" s="319">
        <f>N73*0.1</f>
        <v>20</v>
      </c>
      <c r="Q74" s="322" t="s">
        <v>41</v>
      </c>
      <c r="R74" s="319">
        <f>R73*1.1</f>
        <v>440</v>
      </c>
      <c r="S74" s="319">
        <f>R73*0.1</f>
        <v>40</v>
      </c>
      <c r="U74" s="322" t="s">
        <v>41</v>
      </c>
      <c r="V74" s="319">
        <f>V73*1.1</f>
        <v>220</v>
      </c>
      <c r="W74" s="319">
        <f>V73*0.1</f>
        <v>20</v>
      </c>
      <c r="Y74" s="322" t="s">
        <v>41</v>
      </c>
      <c r="Z74" s="319">
        <f>Z73*1.1</f>
        <v>220</v>
      </c>
      <c r="AA74" s="319">
        <f>Z73*0.1</f>
        <v>20</v>
      </c>
      <c r="AC74" s="322" t="s">
        <v>42</v>
      </c>
      <c r="AD74" s="319">
        <f>AD73*1.1</f>
        <v>0</v>
      </c>
      <c r="AE74" s="319">
        <f>AD73*0.1</f>
        <v>0</v>
      </c>
      <c r="AG74" s="322" t="s">
        <v>42</v>
      </c>
      <c r="AH74" s="319">
        <f>AH73*1.1</f>
        <v>440</v>
      </c>
      <c r="AI74" s="319">
        <f>AH73*0.1</f>
        <v>40</v>
      </c>
      <c r="AK74" s="322" t="s">
        <v>42</v>
      </c>
      <c r="AL74" s="319">
        <f>AL73*1.1</f>
        <v>220</v>
      </c>
      <c r="AM74" s="319">
        <f>AL73*0.1</f>
        <v>20</v>
      </c>
      <c r="AO74" s="322" t="s">
        <v>42</v>
      </c>
      <c r="AP74" s="319">
        <f>AP73*1.1</f>
        <v>0</v>
      </c>
      <c r="AQ74" s="319">
        <f>AP73*0.1</f>
        <v>0</v>
      </c>
      <c r="AS74" s="322" t="s">
        <v>42</v>
      </c>
      <c r="AT74" s="319">
        <f>AT73*1.1</f>
        <v>220</v>
      </c>
      <c r="AU74" s="319">
        <f>AT73*0.1</f>
        <v>20</v>
      </c>
      <c r="AW74" s="322" t="s">
        <v>42</v>
      </c>
      <c r="AX74" s="319">
        <f>AX73*1.1</f>
        <v>220</v>
      </c>
      <c r="AY74" s="319">
        <f>AX73*0.1</f>
        <v>20</v>
      </c>
    </row>
    <row r="75" ht="14.25" customHeight="1">
      <c r="E75" s="322" t="s">
        <v>42</v>
      </c>
      <c r="F75" s="319">
        <f>F74*1.05</f>
        <v>231</v>
      </c>
      <c r="G75" s="321">
        <f>F74*0.05</f>
        <v>11</v>
      </c>
      <c r="H75" s="320"/>
      <c r="I75" s="322" t="s">
        <v>42</v>
      </c>
      <c r="J75" s="319">
        <f>J74*1.05</f>
        <v>462</v>
      </c>
      <c r="K75" s="321">
        <f>J74*0.05</f>
        <v>22</v>
      </c>
      <c r="L75" s="320"/>
      <c r="M75" s="322" t="s">
        <v>42</v>
      </c>
      <c r="N75" s="319">
        <f>N74*1.05</f>
        <v>231</v>
      </c>
      <c r="O75" s="319">
        <f>N74*0.05</f>
        <v>11</v>
      </c>
      <c r="Q75" s="322" t="s">
        <v>42</v>
      </c>
      <c r="R75" s="319">
        <f>R74*1.05</f>
        <v>462</v>
      </c>
      <c r="S75" s="319">
        <f>R74*0.05</f>
        <v>22</v>
      </c>
      <c r="U75" s="322" t="s">
        <v>42</v>
      </c>
      <c r="V75" s="319">
        <f>V74*1.05</f>
        <v>231</v>
      </c>
      <c r="W75" s="319">
        <f>V74*0.05</f>
        <v>11</v>
      </c>
      <c r="Y75" s="322" t="s">
        <v>42</v>
      </c>
      <c r="Z75" s="319">
        <f>Z74*1.05</f>
        <v>231</v>
      </c>
      <c r="AA75" s="319">
        <f>Z74*0.05</f>
        <v>11</v>
      </c>
      <c r="AC75" s="322" t="s">
        <v>43</v>
      </c>
      <c r="AD75" s="319">
        <f>AD74*1.05</f>
        <v>0</v>
      </c>
      <c r="AE75" s="319">
        <f>AD74*0.05</f>
        <v>0</v>
      </c>
      <c r="AG75" s="322" t="s">
        <v>43</v>
      </c>
      <c r="AH75" s="319">
        <f>AH74*1.05</f>
        <v>462</v>
      </c>
      <c r="AI75" s="319">
        <f>AH74*0.05</f>
        <v>22</v>
      </c>
      <c r="AK75" s="322" t="s">
        <v>43</v>
      </c>
      <c r="AL75" s="319">
        <f>AL74*1.05</f>
        <v>231</v>
      </c>
      <c r="AM75" s="319">
        <f>AL74*0.05</f>
        <v>11</v>
      </c>
      <c r="AO75" s="322" t="s">
        <v>43</v>
      </c>
      <c r="AP75" s="319">
        <f>AP74*1.05</f>
        <v>0</v>
      </c>
      <c r="AQ75" s="319">
        <f>AP74*0.05</f>
        <v>0</v>
      </c>
      <c r="AS75" s="322" t="s">
        <v>43</v>
      </c>
      <c r="AT75" s="319">
        <f>AT74*1.05</f>
        <v>231</v>
      </c>
      <c r="AU75" s="319">
        <f>AT74*0.05</f>
        <v>11</v>
      </c>
      <c r="AW75" s="322" t="s">
        <v>43</v>
      </c>
      <c r="AX75" s="319">
        <f>AX74*1.05</f>
        <v>231</v>
      </c>
      <c r="AY75" s="319">
        <f>AX74*0.05</f>
        <v>11</v>
      </c>
    </row>
    <row r="76" ht="14.25" customHeight="1">
      <c r="E76" s="322"/>
      <c r="F76" s="319"/>
      <c r="G76" s="321"/>
      <c r="H76" s="320"/>
      <c r="I76" s="323"/>
      <c r="J76" s="319"/>
      <c r="K76" s="321"/>
      <c r="L76" s="320"/>
      <c r="M76" s="323"/>
      <c r="N76" s="319"/>
      <c r="O76" s="319"/>
      <c r="Q76" s="322"/>
      <c r="R76" s="319"/>
      <c r="S76" s="319"/>
      <c r="U76" s="322"/>
      <c r="V76" s="319"/>
      <c r="W76" s="319"/>
      <c r="Y76" s="322"/>
      <c r="Z76" s="319"/>
      <c r="AA76" s="319"/>
      <c r="AC76" s="322"/>
      <c r="AD76" s="319"/>
      <c r="AE76" s="319"/>
      <c r="AG76" s="322"/>
      <c r="AH76" s="319"/>
      <c r="AI76" s="319"/>
      <c r="AK76" s="322"/>
      <c r="AL76" s="319"/>
      <c r="AM76" s="319"/>
      <c r="AO76" s="322"/>
      <c r="AP76" s="319"/>
      <c r="AQ76" s="319"/>
      <c r="AS76" s="322"/>
      <c r="AT76" s="319"/>
      <c r="AU76" s="319"/>
      <c r="AW76" s="322"/>
      <c r="AX76" s="319"/>
      <c r="AY76" s="319"/>
    </row>
    <row r="77" ht="14.25" customHeight="1">
      <c r="E77" s="322" t="s">
        <v>41</v>
      </c>
      <c r="F77" s="319" t="str">
        <f>SHARES!BO3</f>
        <v/>
      </c>
      <c r="G77" s="321"/>
      <c r="H77" s="320"/>
      <c r="I77" s="322" t="s">
        <v>41</v>
      </c>
      <c r="J77" s="319">
        <f>SHARES!BO4</f>
        <v>500</v>
      </c>
      <c r="K77" s="321"/>
      <c r="L77" s="320"/>
      <c r="M77" s="322" t="s">
        <v>41</v>
      </c>
      <c r="N77" s="319" t="str">
        <f>SHARES!BO5</f>
        <v/>
      </c>
      <c r="O77" s="319"/>
      <c r="Q77" s="322" t="s">
        <v>41</v>
      </c>
      <c r="R77" s="319" t="str">
        <f>SHARES!BO6</f>
        <v/>
      </c>
      <c r="S77" s="319"/>
      <c r="U77" s="322" t="s">
        <v>41</v>
      </c>
      <c r="V77" s="319" t="str">
        <f>SHARES!BO8</f>
        <v/>
      </c>
      <c r="W77" s="319"/>
      <c r="Y77" s="322" t="s">
        <v>41</v>
      </c>
      <c r="Z77" s="319" t="str">
        <f>SHARES!BO9</f>
        <v/>
      </c>
      <c r="AA77" s="319"/>
      <c r="AC77" s="322" t="s">
        <v>41</v>
      </c>
      <c r="AD77" s="319" t="str">
        <f>SHARES!BO10</f>
        <v/>
      </c>
      <c r="AE77" s="319"/>
      <c r="AG77" s="322" t="s">
        <v>41</v>
      </c>
      <c r="AH77" s="319" t="str">
        <f>SHARES!BO11</f>
        <v/>
      </c>
      <c r="AI77" s="319"/>
      <c r="AK77" s="322" t="s">
        <v>41</v>
      </c>
      <c r="AL77" s="319" t="str">
        <f>SHARES!BO12</f>
        <v/>
      </c>
      <c r="AM77" s="319"/>
      <c r="AO77" s="322" t="s">
        <v>41</v>
      </c>
      <c r="AP77" s="319" t="str">
        <f>SHARES!BO12</f>
        <v/>
      </c>
      <c r="AQ77" s="319"/>
      <c r="AS77" s="322" t="s">
        <v>41</v>
      </c>
      <c r="AT77" s="319">
        <f>SHARES!BO13</f>
        <v>200</v>
      </c>
      <c r="AU77" s="319"/>
      <c r="AW77" s="322" t="s">
        <v>41</v>
      </c>
      <c r="AX77" s="319" t="str">
        <f>SHARES!BO14</f>
        <v/>
      </c>
      <c r="AY77" s="319"/>
    </row>
    <row r="78" ht="14.25" customHeight="1">
      <c r="E78" s="322" t="s">
        <v>42</v>
      </c>
      <c r="F78" s="319">
        <f>F77*1</f>
        <v>0</v>
      </c>
      <c r="G78" s="321">
        <f>F77*0</f>
        <v>0</v>
      </c>
      <c r="H78" s="320"/>
      <c r="I78" s="322" t="s">
        <v>42</v>
      </c>
      <c r="J78" s="319">
        <f>J77*0</f>
        <v>0</v>
      </c>
      <c r="K78" s="321">
        <f>J77*0</f>
        <v>0</v>
      </c>
      <c r="L78" s="320"/>
      <c r="M78" s="322" t="s">
        <v>42</v>
      </c>
      <c r="N78" s="319">
        <f>N77*1</f>
        <v>0</v>
      </c>
      <c r="O78" s="324">
        <v>0.0</v>
      </c>
      <c r="Q78" s="322" t="s">
        <v>43</v>
      </c>
      <c r="R78" s="319">
        <f>R77*1</f>
        <v>0</v>
      </c>
      <c r="S78" s="319">
        <f>R77*0</f>
        <v>0</v>
      </c>
      <c r="U78" s="322" t="s">
        <v>43</v>
      </c>
      <c r="V78" s="319">
        <f>V77*1</f>
        <v>0</v>
      </c>
      <c r="W78" s="319">
        <f>V77*0</f>
        <v>0</v>
      </c>
      <c r="Y78" s="322" t="s">
        <v>42</v>
      </c>
      <c r="Z78" s="319">
        <f>Z77*1</f>
        <v>0</v>
      </c>
      <c r="AA78" s="319">
        <f>Z77*0</f>
        <v>0</v>
      </c>
      <c r="AC78" s="322" t="s">
        <v>42</v>
      </c>
      <c r="AD78" s="319">
        <f>AD77*1</f>
        <v>0</v>
      </c>
      <c r="AE78" s="319">
        <f>AD77*0</f>
        <v>0</v>
      </c>
      <c r="AG78" s="322" t="s">
        <v>42</v>
      </c>
      <c r="AH78" s="319">
        <f>AH77*1</f>
        <v>0</v>
      </c>
      <c r="AI78" s="319">
        <f>AH77*0</f>
        <v>0</v>
      </c>
      <c r="AK78" s="322" t="s">
        <v>42</v>
      </c>
      <c r="AL78" s="319">
        <f>AL77*1</f>
        <v>0</v>
      </c>
      <c r="AM78" s="319">
        <f>AL77*0</f>
        <v>0</v>
      </c>
      <c r="AO78" s="322" t="s">
        <v>42</v>
      </c>
      <c r="AP78" s="319">
        <f>AP77*1</f>
        <v>0</v>
      </c>
      <c r="AQ78" s="319">
        <f>AP77*0</f>
        <v>0</v>
      </c>
      <c r="AS78" s="322" t="s">
        <v>42</v>
      </c>
      <c r="AT78" s="319">
        <f>AT77*1</f>
        <v>200</v>
      </c>
      <c r="AU78" s="319">
        <f>AT77*0</f>
        <v>0</v>
      </c>
      <c r="AW78" s="322" t="s">
        <v>42</v>
      </c>
      <c r="AX78" s="319">
        <f>AX77*1</f>
        <v>0</v>
      </c>
      <c r="AY78" s="319">
        <f>AX77*0</f>
        <v>0</v>
      </c>
    </row>
    <row r="79" ht="14.25" customHeight="1">
      <c r="E79" s="322"/>
      <c r="F79" s="319"/>
      <c r="G79" s="321"/>
      <c r="H79" s="320"/>
      <c r="I79" s="322"/>
      <c r="J79" s="319"/>
      <c r="K79" s="321"/>
      <c r="L79" s="320"/>
      <c r="M79" s="322"/>
      <c r="N79" s="319"/>
      <c r="O79" s="319"/>
      <c r="Q79" s="322"/>
      <c r="R79" s="319"/>
      <c r="S79" s="319"/>
      <c r="U79" s="322"/>
      <c r="V79" s="319"/>
      <c r="W79" s="319"/>
      <c r="Y79" s="322"/>
      <c r="Z79" s="319"/>
      <c r="AA79" s="319"/>
      <c r="AC79" s="322"/>
      <c r="AD79" s="319"/>
      <c r="AE79" s="319"/>
      <c r="AG79" s="322"/>
      <c r="AH79" s="319"/>
      <c r="AI79" s="319"/>
      <c r="AK79" s="322"/>
      <c r="AL79" s="319"/>
      <c r="AM79" s="319"/>
      <c r="AO79" s="322"/>
      <c r="AP79" s="319"/>
      <c r="AQ79" s="319"/>
      <c r="AS79" s="322"/>
      <c r="AT79" s="319"/>
      <c r="AU79" s="319"/>
      <c r="AW79" s="322"/>
      <c r="AX79" s="319"/>
      <c r="AY79" s="319"/>
    </row>
    <row r="80" ht="14.25" customHeight="1">
      <c r="E80" s="322" t="s">
        <v>42</v>
      </c>
      <c r="F80" s="319" t="str">
        <f>SHARES!BR3</f>
        <v/>
      </c>
      <c r="G80" s="321">
        <f>F79*0.1</f>
        <v>0</v>
      </c>
      <c r="H80" s="320"/>
      <c r="I80" s="322" t="s">
        <v>42</v>
      </c>
      <c r="J80" s="319">
        <f>SHARES!BR4</f>
        <v>500</v>
      </c>
      <c r="K80" s="321">
        <f>J79*0.1</f>
        <v>0</v>
      </c>
      <c r="L80" s="320"/>
      <c r="M80" s="322" t="s">
        <v>42</v>
      </c>
      <c r="N80" s="319">
        <f>SHARES!BR5</f>
        <v>500</v>
      </c>
      <c r="O80" s="324">
        <v>0.0</v>
      </c>
      <c r="Q80" s="322" t="s">
        <v>42</v>
      </c>
      <c r="R80" s="319" t="str">
        <f>SHARES!BR6</f>
        <v/>
      </c>
      <c r="S80" s="319">
        <f>R79*0.1</f>
        <v>0</v>
      </c>
      <c r="U80" s="322" t="s">
        <v>42</v>
      </c>
      <c r="V80" s="319" t="str">
        <f>SHARES!BR7</f>
        <v/>
      </c>
      <c r="W80" s="319">
        <f>V79*0.1</f>
        <v>0</v>
      </c>
      <c r="Y80" s="322" t="s">
        <v>42</v>
      </c>
      <c r="Z80" s="319" t="str">
        <f>SHARES!BR8</f>
        <v/>
      </c>
      <c r="AA80" s="319">
        <f>Z79*0.1</f>
        <v>0</v>
      </c>
      <c r="AC80" s="322" t="s">
        <v>42</v>
      </c>
      <c r="AD80" s="319" t="str">
        <f>SHARES!BR9</f>
        <v/>
      </c>
      <c r="AE80" s="319">
        <f>AD79*0.1</f>
        <v>0</v>
      </c>
      <c r="AG80" s="322" t="s">
        <v>42</v>
      </c>
      <c r="AH80" s="319" t="str">
        <f>SHARES!BR10</f>
        <v/>
      </c>
      <c r="AI80" s="319">
        <f>AH79*0.1</f>
        <v>0</v>
      </c>
      <c r="AK80" s="322" t="s">
        <v>42</v>
      </c>
      <c r="AL80" s="319" t="str">
        <f>SHARES!BR11</f>
        <v/>
      </c>
      <c r="AM80" s="319">
        <f>AL79*0.1</f>
        <v>0</v>
      </c>
      <c r="AO80" s="322" t="s">
        <v>42</v>
      </c>
      <c r="AP80" s="319" t="str">
        <f>SHARES!BR12</f>
        <v/>
      </c>
      <c r="AQ80" s="319">
        <f>AP79*0.1</f>
        <v>0</v>
      </c>
      <c r="AS80" s="322" t="s">
        <v>42</v>
      </c>
      <c r="AT80" s="319" t="str">
        <f>SHARES!BR13</f>
        <v/>
      </c>
      <c r="AU80" s="319">
        <f>AT79*0.1</f>
        <v>0</v>
      </c>
      <c r="AW80" s="322" t="s">
        <v>42</v>
      </c>
      <c r="AX80" s="319" t="str">
        <f>SHARES!BR14</f>
        <v/>
      </c>
      <c r="AY80" s="319">
        <f>AX79*0.1</f>
        <v>0</v>
      </c>
    </row>
    <row r="81" ht="14.25" customHeight="1">
      <c r="E81" s="322"/>
      <c r="F81" s="319"/>
      <c r="G81" s="321"/>
      <c r="H81" s="320"/>
      <c r="I81" s="323"/>
      <c r="J81" s="319"/>
      <c r="K81" s="321"/>
      <c r="L81" s="320"/>
      <c r="M81" s="323"/>
      <c r="N81" s="319"/>
      <c r="O81" s="319"/>
      <c r="Q81" s="322"/>
      <c r="R81" s="319"/>
      <c r="S81" s="319"/>
      <c r="U81" s="322"/>
      <c r="V81" s="319"/>
      <c r="W81" s="319"/>
      <c r="Y81" s="322"/>
      <c r="Z81" s="319"/>
      <c r="AA81" s="319"/>
      <c r="AC81" s="322"/>
      <c r="AD81" s="319"/>
      <c r="AE81" s="319"/>
      <c r="AG81" s="322"/>
      <c r="AH81" s="319"/>
      <c r="AI81" s="319"/>
      <c r="AK81" s="322"/>
      <c r="AL81" s="319"/>
      <c r="AM81" s="319"/>
      <c r="AO81" s="322"/>
      <c r="AP81" s="319"/>
      <c r="AQ81" s="319"/>
      <c r="AS81" s="322"/>
      <c r="AT81" s="319"/>
      <c r="AU81" s="319"/>
      <c r="AW81" s="322"/>
      <c r="AX81" s="319"/>
      <c r="AY81" s="319"/>
    </row>
    <row r="82" ht="14.25" customHeight="1">
      <c r="E82" s="322" t="s">
        <v>15</v>
      </c>
      <c r="F82" s="319">
        <f>F14+F25+F36+F45+F53+F60+F66+F71+F75+F78+F80</f>
        <v>2374.949055</v>
      </c>
      <c r="G82" s="321"/>
      <c r="H82" s="320"/>
      <c r="I82" s="323" t="s">
        <v>15</v>
      </c>
      <c r="J82" s="319">
        <f>J14+J25+J36+J45+J53+J60+J66+J71+J75+J78+J80</f>
        <v>5980.059153</v>
      </c>
      <c r="K82" s="321"/>
      <c r="L82" s="320"/>
      <c r="M82" s="323" t="s">
        <v>15</v>
      </c>
      <c r="N82" s="319">
        <f>N14+N25+N36+N45+N53+N60+N66+N71+N75+N78+N80</f>
        <v>3301.813858</v>
      </c>
      <c r="O82" s="319"/>
      <c r="Q82" s="322" t="s">
        <v>15</v>
      </c>
      <c r="R82" s="319">
        <f>R14+R25+R36+R45+R53+R60+R66+R71+R75+R78+R80</f>
        <v>3328.821775</v>
      </c>
      <c r="S82" s="319"/>
      <c r="U82" s="322" t="s">
        <v>15</v>
      </c>
      <c r="V82" s="319">
        <f>V14+V25+V36+V45+V53+V60+V66+V71+V75+V78+V80</f>
        <v>2814.547733</v>
      </c>
      <c r="W82" s="319"/>
      <c r="Y82" s="322" t="s">
        <v>15</v>
      </c>
      <c r="Z82" s="319">
        <f>Z14+Z25+Z36+Z45+Z53+Z60+Z66+Z71+Z75+Z78+Z80</f>
        <v>1995.024265</v>
      </c>
      <c r="AA82" s="319"/>
      <c r="AC82" s="322" t="s">
        <v>15</v>
      </c>
      <c r="AD82" s="319">
        <f>AD14+AD25+AD36+AD45+AD53+AD60+AD66+AD71+AD75+AD78+AD80</f>
        <v>2073.586358</v>
      </c>
      <c r="AE82" s="319"/>
      <c r="AG82" s="322" t="s">
        <v>15</v>
      </c>
      <c r="AH82" s="319">
        <f>AH14+AH25+AH36+AH45+AH53+AH60+AH66+AH71+AH75+AH78+AH80</f>
        <v>2512.410144</v>
      </c>
      <c r="AI82" s="319"/>
      <c r="AK82" s="322" t="s">
        <v>15</v>
      </c>
      <c r="AL82" s="319">
        <f>AL14+AL25+AL36+AL45+AL53+AL60+AL66+AL71+AL75+AL78+AL80</f>
        <v>1896.282057</v>
      </c>
      <c r="AM82" s="319"/>
      <c r="AO82" s="322" t="s">
        <v>15</v>
      </c>
      <c r="AP82" s="319">
        <f>AP14+AP25+AP36+AP45+AP53+AP60+AP66+AP71+AP75+AP78+AP80</f>
        <v>1671.321094</v>
      </c>
      <c r="AQ82" s="319"/>
      <c r="AS82" s="322" t="s">
        <v>15</v>
      </c>
      <c r="AT82" s="319">
        <f>AT14+AT25+AT36+AT45+AT53+AT60+AT66+AT71+AT75+AT78+AT80</f>
        <v>1233.870819</v>
      </c>
      <c r="AU82" s="319"/>
      <c r="AW82" s="322" t="s">
        <v>15</v>
      </c>
      <c r="AX82" s="319">
        <f>AX14+AX25+AX36+AX45+AX53+AX60+AX66+AX71+AX75+AX78+AX80</f>
        <v>231</v>
      </c>
      <c r="AY82" s="319"/>
    </row>
    <row r="83" ht="14.25" customHeight="1">
      <c r="E83" s="322" t="s">
        <v>71</v>
      </c>
      <c r="F83" s="37">
        <f>F84/200</f>
        <v>8</v>
      </c>
      <c r="G83" s="321"/>
      <c r="H83" s="320"/>
      <c r="I83" s="323" t="s">
        <v>71</v>
      </c>
      <c r="J83" s="37">
        <f>J84/200</f>
        <v>24.5</v>
      </c>
      <c r="K83" s="321"/>
      <c r="L83" s="320"/>
      <c r="M83" s="323" t="s">
        <v>71</v>
      </c>
      <c r="N83" s="37">
        <f>N84/200</f>
        <v>12.5</v>
      </c>
      <c r="O83" s="319"/>
      <c r="Q83" s="322" t="s">
        <v>71</v>
      </c>
      <c r="R83" s="37">
        <f>R84/200</f>
        <v>12.5</v>
      </c>
      <c r="S83" s="319"/>
      <c r="U83" s="322" t="s">
        <v>71</v>
      </c>
      <c r="V83" s="37">
        <f>V84/200</f>
        <v>10</v>
      </c>
      <c r="W83" s="319"/>
      <c r="Y83" s="322" t="s">
        <v>71</v>
      </c>
      <c r="Z83" s="37">
        <f>Z84/200</f>
        <v>7</v>
      </c>
      <c r="AA83" s="319"/>
      <c r="AC83" s="322" t="s">
        <v>71</v>
      </c>
      <c r="AD83" s="37">
        <f>AD84/200</f>
        <v>7</v>
      </c>
      <c r="AE83" s="319"/>
      <c r="AG83" s="322" t="s">
        <v>71</v>
      </c>
      <c r="AH83" s="37">
        <f>AH84/200</f>
        <v>9</v>
      </c>
      <c r="AI83" s="319"/>
      <c r="AK83" s="322" t="s">
        <v>71</v>
      </c>
      <c r="AL83" s="37">
        <f>AL84/200</f>
        <v>7</v>
      </c>
      <c r="AM83" s="319"/>
      <c r="AO83" s="322" t="s">
        <v>71</v>
      </c>
      <c r="AP83" s="37">
        <f>AP84/200</f>
        <v>6</v>
      </c>
      <c r="AQ83" s="319"/>
      <c r="AS83" s="322" t="s">
        <v>71</v>
      </c>
      <c r="AT83" s="37">
        <f>AT84/200</f>
        <v>5</v>
      </c>
      <c r="AU83" s="319"/>
      <c r="AW83" s="322" t="s">
        <v>71</v>
      </c>
      <c r="AX83" s="37">
        <f>AX84/200</f>
        <v>1</v>
      </c>
      <c r="AY83" s="319"/>
    </row>
    <row r="84" ht="14.25" customHeight="1">
      <c r="E84" s="322" t="s">
        <v>72</v>
      </c>
      <c r="F84" s="326">
        <f>F4+F16+F28+F38+F47+F55+F62+F68+F73+F77 +F80</f>
        <v>1600</v>
      </c>
      <c r="G84" s="327"/>
      <c r="H84" s="328"/>
      <c r="I84" s="323" t="s">
        <v>72</v>
      </c>
      <c r="J84" s="326">
        <f>J4+J16+J28+J38+J47+J55+J62+J68+J73+J77 +J80</f>
        <v>4900</v>
      </c>
      <c r="K84" s="327"/>
      <c r="L84" s="328"/>
      <c r="M84" s="323" t="s">
        <v>72</v>
      </c>
      <c r="N84" s="326">
        <f>N4+N16+N28+N38+N47+N55+N62+N68+N73+N77 +N80</f>
        <v>2500</v>
      </c>
      <c r="O84" s="37"/>
      <c r="Q84" s="322" t="s">
        <v>72</v>
      </c>
      <c r="R84" s="326">
        <f>R4+R16+R28+R38+R47+R55+R62+R68+R73+R77 +R80</f>
        <v>2500</v>
      </c>
      <c r="S84" s="37"/>
      <c r="U84" s="322" t="s">
        <v>72</v>
      </c>
      <c r="V84" s="326">
        <f>V4+V16+V28+V38+V47+V55+V62+V68+V73+V77 +V80</f>
        <v>2000</v>
      </c>
      <c r="W84" s="37"/>
      <c r="Y84" s="322" t="s">
        <v>72</v>
      </c>
      <c r="Z84" s="326">
        <f>Z4+Z16+Z28+Z38+Z47+Z55+Z62+Z68+Z73+Z77 +Z80</f>
        <v>1400</v>
      </c>
      <c r="AA84" s="37"/>
      <c r="AC84" s="322" t="s">
        <v>72</v>
      </c>
      <c r="AD84" s="326">
        <f>AD4+AD16+AD28+AD38+AD47+AD55+AD62+AD68+AD73+AD77 +AD80</f>
        <v>1400</v>
      </c>
      <c r="AE84" s="37"/>
      <c r="AG84" s="322" t="s">
        <v>72</v>
      </c>
      <c r="AH84" s="326">
        <f>AH4+AH16+AH28+AH38+AH47+AH55+AH62+AH68+AH73+AH77 +AH80</f>
        <v>1800</v>
      </c>
      <c r="AI84" s="37"/>
      <c r="AK84" s="322" t="s">
        <v>72</v>
      </c>
      <c r="AL84" s="326">
        <f>AL4+AL16+AL28+AL38+AL47+AL55+AL62+AL68+AL73+AL77 +AL80</f>
        <v>1400</v>
      </c>
      <c r="AM84" s="37"/>
      <c r="AO84" s="322" t="s">
        <v>72</v>
      </c>
      <c r="AP84" s="326">
        <f>AP4+AP16+AP28+AP38+AP47+AP55+AP62+AP68+AP73+AP77 +AP80</f>
        <v>1200</v>
      </c>
      <c r="AQ84" s="37"/>
      <c r="AS84" s="322" t="s">
        <v>72</v>
      </c>
      <c r="AT84" s="326">
        <f>AT4+AT16+AT28+AT38+AT47+AT55+AT62+AT68+AT73+AT77 +AT80</f>
        <v>1000</v>
      </c>
      <c r="AU84" s="37"/>
      <c r="AW84" s="322" t="s">
        <v>72</v>
      </c>
      <c r="AX84" s="326">
        <f>AX4+AX16+AX28+AX38+AX47+AX55+AX62+AX68+AX73+AX77 +AX80</f>
        <v>200</v>
      </c>
      <c r="AY84" s="37"/>
    </row>
    <row r="85" ht="14.25" customHeight="1">
      <c r="A85" s="329" t="s">
        <v>73</v>
      </c>
      <c r="B85" s="330">
        <f t="shared" ref="B85:B90" si="193">SUM(V85,Z85,AD85,AH85,R85,F85,J85,N85,AL85,AP85,AT85,AX85 )</f>
        <v>7513.686312</v>
      </c>
      <c r="E85" s="322" t="s">
        <v>74</v>
      </c>
      <c r="F85" s="331">
        <f>F82-F84</f>
        <v>774.9490555</v>
      </c>
      <c r="G85" s="321">
        <f>SUM( (F85 * 100) / F84 )</f>
        <v>48.43431597</v>
      </c>
      <c r="H85" s="320"/>
      <c r="I85" s="323" t="s">
        <v>74</v>
      </c>
      <c r="J85" s="331">
        <f>J82-J84</f>
        <v>1080.059153</v>
      </c>
      <c r="K85" s="321">
        <f>SUM( (J85 * 100) / J84 )</f>
        <v>22.04202354</v>
      </c>
      <c r="L85" s="320"/>
      <c r="M85" s="323" t="s">
        <v>74</v>
      </c>
      <c r="N85" s="331">
        <f>N82-N84</f>
        <v>801.8138578</v>
      </c>
      <c r="O85" s="319">
        <f>SUM( (N85 * 100) / N84 )</f>
        <v>32.07255431</v>
      </c>
      <c r="Q85" s="322" t="s">
        <v>74</v>
      </c>
      <c r="R85" s="331">
        <f>R82-R84</f>
        <v>828.8217753</v>
      </c>
      <c r="S85" s="321">
        <f>SUM( (R85 * 100) / R84 )</f>
        <v>33.15287101</v>
      </c>
      <c r="U85" s="322" t="s">
        <v>74</v>
      </c>
      <c r="V85" s="331">
        <f>V82-V84</f>
        <v>814.5477328</v>
      </c>
      <c r="W85" s="321">
        <f>SUM( (V85 * 100) / V84 )</f>
        <v>40.72738664</v>
      </c>
      <c r="Y85" s="322" t="s">
        <v>74</v>
      </c>
      <c r="Z85" s="331">
        <f>Z82-Z84</f>
        <v>595.0242648</v>
      </c>
      <c r="AA85" s="321">
        <f>SUM( (Z85 * 100) / Z84 )</f>
        <v>42.5017332</v>
      </c>
      <c r="AC85" s="322" t="s">
        <v>74</v>
      </c>
      <c r="AD85" s="331">
        <f>AD82-AD84</f>
        <v>673.5863578</v>
      </c>
      <c r="AE85" s="321">
        <f>SUM( (AD85 * 100) / AD84 )</f>
        <v>48.11331127</v>
      </c>
      <c r="AG85" s="322" t="s">
        <v>74</v>
      </c>
      <c r="AH85" s="331">
        <f>AH82-AH84</f>
        <v>712.4101442</v>
      </c>
      <c r="AI85" s="321">
        <f>SUM( (AH85 * 100) / AH84 )</f>
        <v>39.57834135</v>
      </c>
      <c r="AK85" s="322" t="s">
        <v>74</v>
      </c>
      <c r="AL85" s="331">
        <f>AL82-AL84</f>
        <v>496.2820573</v>
      </c>
      <c r="AM85" s="321">
        <f>SUM( (AL85 * 100) / AL84 )</f>
        <v>35.44871838</v>
      </c>
      <c r="AO85" s="322" t="s">
        <v>74</v>
      </c>
      <c r="AP85" s="331">
        <f>AP82-AP84</f>
        <v>471.3210938</v>
      </c>
      <c r="AQ85" s="321">
        <f>SUM( (AP85 * 100) / AP84 )</f>
        <v>39.27675781</v>
      </c>
      <c r="AS85" s="322" t="s">
        <v>74</v>
      </c>
      <c r="AT85" s="331">
        <f>AT82-AT84</f>
        <v>233.8708188</v>
      </c>
      <c r="AU85" s="321">
        <f>SUM( (AT85 * 100) / AT84 )</f>
        <v>23.38708188</v>
      </c>
      <c r="AW85" s="322" t="s">
        <v>74</v>
      </c>
      <c r="AX85" s="331">
        <f>AX82-AX84</f>
        <v>31</v>
      </c>
      <c r="AY85" s="321">
        <f>SUM( (AX85 * 100) / AX84 )</f>
        <v>15.5</v>
      </c>
    </row>
    <row r="86" ht="14.25" customHeight="1">
      <c r="A86" s="332">
        <f>SHAREOUT!J17</f>
        <v>16467</v>
      </c>
      <c r="B86" s="330">
        <f t="shared" si="193"/>
        <v>2960.347676</v>
      </c>
      <c r="C86" s="333"/>
      <c r="D86" s="334"/>
      <c r="E86" s="318" t="s">
        <v>75</v>
      </c>
      <c r="F86" s="331">
        <f>INSURANCE!F85</f>
        <v>324.9544289</v>
      </c>
      <c r="G86" s="331"/>
      <c r="H86" s="335"/>
      <c r="I86" s="336" t="s">
        <v>75</v>
      </c>
      <c r="J86" s="337">
        <f>INSURANCE!J85</f>
        <v>373.5681789</v>
      </c>
      <c r="K86" s="337"/>
      <c r="L86" s="335"/>
      <c r="M86" s="318" t="s">
        <v>75</v>
      </c>
      <c r="N86" s="331">
        <f>INSURANCE!N85</f>
        <v>373.5681789</v>
      </c>
      <c r="O86" s="331"/>
      <c r="P86" s="338"/>
      <c r="Q86" s="318" t="s">
        <v>75</v>
      </c>
      <c r="R86" s="331">
        <f>INSURANCE!R85</f>
        <v>302.9220752</v>
      </c>
      <c r="S86" s="331"/>
      <c r="T86" s="338"/>
      <c r="U86" s="318" t="s">
        <v>75</v>
      </c>
      <c r="V86" s="331">
        <f>INSURANCE!V85</f>
        <v>373.5681789</v>
      </c>
      <c r="W86" s="331"/>
      <c r="X86" s="338"/>
      <c r="Y86" s="318" t="s">
        <v>75</v>
      </c>
      <c r="Z86" s="331">
        <f>INSURANCE!Z85</f>
        <v>297.5121324</v>
      </c>
      <c r="AA86" s="331"/>
      <c r="AB86" s="338"/>
      <c r="AC86" s="318" t="s">
        <v>75</v>
      </c>
      <c r="AD86" s="331">
        <f>INSURANCE!AD85</f>
        <v>352.2931789</v>
      </c>
      <c r="AE86" s="331"/>
      <c r="AF86" s="338"/>
      <c r="AG86" s="318" t="s">
        <v>75</v>
      </c>
      <c r="AH86" s="331">
        <f>INSURANCE!AH85</f>
        <v>191.7882263</v>
      </c>
      <c r="AI86" s="331"/>
      <c r="AJ86" s="338"/>
      <c r="AK86" s="318" t="s">
        <v>75</v>
      </c>
      <c r="AL86" s="331">
        <f>INSURANCE!AL85</f>
        <v>248.1410287</v>
      </c>
      <c r="AM86" s="331"/>
      <c r="AN86" s="338"/>
      <c r="AO86" s="318" t="s">
        <v>75</v>
      </c>
      <c r="AP86" s="331">
        <f>INSURANCE!AP85</f>
        <v>89.59665938</v>
      </c>
      <c r="AQ86" s="331"/>
      <c r="AR86" s="338"/>
      <c r="AS86" s="318" t="s">
        <v>75</v>
      </c>
      <c r="AT86" s="331">
        <f>INSURANCE!AT85</f>
        <v>16.93540938</v>
      </c>
      <c r="AU86" s="331"/>
      <c r="AV86" s="338"/>
      <c r="AW86" s="318" t="s">
        <v>75</v>
      </c>
      <c r="AX86" s="331">
        <f>INSURANCE!AX85</f>
        <v>15.5</v>
      </c>
      <c r="AY86" s="331"/>
      <c r="AZ86" s="338"/>
      <c r="BA86" s="338"/>
      <c r="BB86" s="338"/>
      <c r="BC86" s="338"/>
      <c r="BD86" s="338"/>
      <c r="BE86" s="338"/>
      <c r="BF86" s="338"/>
      <c r="BG86" s="338"/>
      <c r="BH86" s="338"/>
      <c r="BI86" s="338"/>
      <c r="BJ86" s="338"/>
      <c r="BK86" s="338"/>
      <c r="BL86" s="338"/>
      <c r="BM86" s="338"/>
      <c r="BN86" s="338"/>
      <c r="BO86" s="338"/>
      <c r="BP86" s="338"/>
      <c r="BQ86" s="338"/>
      <c r="BR86" s="338"/>
      <c r="BS86" s="338"/>
      <c r="BT86" s="338"/>
      <c r="BU86" s="338"/>
      <c r="BV86" s="338"/>
      <c r="BW86" s="338"/>
      <c r="BX86" s="338"/>
      <c r="BY86" s="338"/>
      <c r="BZ86" s="338"/>
      <c r="CA86" s="338"/>
      <c r="CB86" s="338"/>
      <c r="CC86" s="338"/>
      <c r="CD86" s="338"/>
      <c r="CE86" s="338"/>
      <c r="CF86" s="338"/>
      <c r="CG86" s="338"/>
      <c r="CH86" s="338"/>
      <c r="CI86" s="338"/>
      <c r="CJ86" s="338"/>
      <c r="CK86" s="338"/>
      <c r="CL86" s="338"/>
      <c r="CM86" s="338"/>
      <c r="CN86" s="338"/>
      <c r="CO86" s="338"/>
      <c r="CP86" s="338"/>
      <c r="CQ86" s="338"/>
      <c r="CR86" s="338"/>
      <c r="CS86" s="338"/>
      <c r="CT86" s="338"/>
      <c r="CU86" s="338"/>
      <c r="CV86" s="338"/>
      <c r="CW86" s="338"/>
      <c r="CX86" s="338"/>
      <c r="CY86" s="338"/>
      <c r="CZ86" s="338"/>
      <c r="DA86" s="338"/>
      <c r="DB86" s="338"/>
      <c r="DC86" s="338"/>
      <c r="DD86" s="338"/>
      <c r="DE86" s="338"/>
      <c r="DF86" s="338"/>
      <c r="DG86" s="338"/>
      <c r="DH86" s="338"/>
      <c r="DI86" s="338"/>
      <c r="DJ86" s="338"/>
      <c r="DK86" s="338"/>
    </row>
    <row r="87" ht="14.25" customHeight="1">
      <c r="A87" s="332" t="s">
        <v>76</v>
      </c>
      <c r="B87" s="330">
        <f t="shared" si="193"/>
        <v>7700</v>
      </c>
      <c r="C87" s="333"/>
      <c r="D87" s="334"/>
      <c r="E87" s="318" t="s">
        <v>77</v>
      </c>
      <c r="F87" s="331">
        <f>SHARES!BW3</f>
        <v>700</v>
      </c>
      <c r="G87" s="331"/>
      <c r="H87" s="335"/>
      <c r="I87" s="336" t="s">
        <v>77</v>
      </c>
      <c r="J87" s="337">
        <f>SHARES!BW4</f>
        <v>900</v>
      </c>
      <c r="K87" s="337"/>
      <c r="L87" s="335"/>
      <c r="M87" s="318" t="s">
        <v>77</v>
      </c>
      <c r="N87" s="331">
        <f>SHARES!BW5</f>
        <v>900</v>
      </c>
      <c r="O87" s="331"/>
      <c r="P87" s="338"/>
      <c r="Q87" s="318" t="s">
        <v>77</v>
      </c>
      <c r="R87" s="331">
        <f>SHARES!BW6</f>
        <v>800</v>
      </c>
      <c r="S87" s="331"/>
      <c r="T87" s="338"/>
      <c r="U87" s="318" t="s">
        <v>77</v>
      </c>
      <c r="V87" s="331">
        <f>SHARES!BW7</f>
        <v>900</v>
      </c>
      <c r="W87" s="331"/>
      <c r="X87" s="338"/>
      <c r="Y87" s="318" t="s">
        <v>77</v>
      </c>
      <c r="Z87" s="331">
        <f>SHARES!BW8</f>
        <v>700</v>
      </c>
      <c r="AA87" s="331"/>
      <c r="AB87" s="338"/>
      <c r="AC87" s="318" t="s">
        <v>77</v>
      </c>
      <c r="AD87" s="331">
        <f>SHARES!BW9</f>
        <v>800</v>
      </c>
      <c r="AE87" s="331"/>
      <c r="AF87" s="338"/>
      <c r="AG87" s="318" t="s">
        <v>77</v>
      </c>
      <c r="AH87" s="331">
        <f>SHARES!BW10</f>
        <v>500</v>
      </c>
      <c r="AI87" s="331"/>
      <c r="AJ87" s="338"/>
      <c r="AK87" s="318" t="s">
        <v>77</v>
      </c>
      <c r="AL87" s="331">
        <f>SHARES!BW11</f>
        <v>700</v>
      </c>
      <c r="AM87" s="331"/>
      <c r="AN87" s="338"/>
      <c r="AO87" s="318" t="s">
        <v>77</v>
      </c>
      <c r="AP87" s="331">
        <f>SHARES!BW12</f>
        <v>300</v>
      </c>
      <c r="AQ87" s="331"/>
      <c r="AR87" s="338"/>
      <c r="AS87" s="318" t="s">
        <v>77</v>
      </c>
      <c r="AT87" s="331">
        <f>SHARES!BW13</f>
        <v>400</v>
      </c>
      <c r="AU87" s="331"/>
      <c r="AV87" s="338"/>
      <c r="AW87" s="318" t="s">
        <v>77</v>
      </c>
      <c r="AX87" s="331">
        <f>SHARES!BW14</f>
        <v>100</v>
      </c>
      <c r="AY87" s="331"/>
      <c r="AZ87" s="338"/>
      <c r="BA87" s="338"/>
      <c r="BB87" s="338"/>
      <c r="BC87" s="338"/>
      <c r="BD87" s="338"/>
      <c r="BE87" s="338"/>
      <c r="BF87" s="338"/>
      <c r="BG87" s="338"/>
      <c r="BH87" s="338"/>
      <c r="BI87" s="338"/>
      <c r="BJ87" s="338"/>
      <c r="BK87" s="338"/>
      <c r="BL87" s="338"/>
      <c r="BM87" s="338"/>
      <c r="BN87" s="338"/>
      <c r="BO87" s="338"/>
      <c r="BP87" s="338"/>
      <c r="BQ87" s="338"/>
      <c r="BR87" s="338"/>
      <c r="BS87" s="338"/>
      <c r="BT87" s="338"/>
      <c r="BU87" s="338"/>
      <c r="BV87" s="338"/>
      <c r="BW87" s="338"/>
      <c r="BX87" s="338"/>
      <c r="BY87" s="338"/>
      <c r="BZ87" s="338"/>
      <c r="CA87" s="338"/>
      <c r="CB87" s="338"/>
      <c r="CC87" s="338"/>
      <c r="CD87" s="338"/>
      <c r="CE87" s="338"/>
      <c r="CF87" s="338"/>
      <c r="CG87" s="338"/>
      <c r="CH87" s="338"/>
      <c r="CI87" s="338"/>
      <c r="CJ87" s="338"/>
      <c r="CK87" s="338"/>
      <c r="CL87" s="338"/>
      <c r="CM87" s="338"/>
      <c r="CN87" s="338"/>
      <c r="CO87" s="338"/>
      <c r="CP87" s="338"/>
      <c r="CQ87" s="338"/>
      <c r="CR87" s="338"/>
      <c r="CS87" s="338"/>
      <c r="CT87" s="338"/>
      <c r="CU87" s="338"/>
      <c r="CV87" s="338"/>
      <c r="CW87" s="338"/>
      <c r="CX87" s="338"/>
      <c r="CY87" s="338"/>
      <c r="CZ87" s="338"/>
      <c r="DA87" s="338"/>
      <c r="DB87" s="338"/>
      <c r="DC87" s="338"/>
      <c r="DD87" s="338"/>
      <c r="DE87" s="338"/>
      <c r="DF87" s="338"/>
      <c r="DG87" s="338"/>
      <c r="DH87" s="338"/>
      <c r="DI87" s="338"/>
      <c r="DJ87" s="338"/>
      <c r="DK87" s="338"/>
    </row>
    <row r="88" ht="14.25" customHeight="1">
      <c r="A88" s="332" t="s">
        <v>78</v>
      </c>
      <c r="B88" s="330">
        <f t="shared" si="193"/>
        <v>37113.68631</v>
      </c>
      <c r="C88" s="333"/>
      <c r="D88" s="334"/>
      <c r="E88" s="322" t="s">
        <v>79</v>
      </c>
      <c r="F88" s="339">
        <f>F82 + F87</f>
        <v>3074.949055</v>
      </c>
      <c r="G88" s="340"/>
      <c r="H88" s="311"/>
      <c r="I88" s="341" t="s">
        <v>79</v>
      </c>
      <c r="J88" s="342">
        <f>J82 + J87</f>
        <v>6880.059153</v>
      </c>
      <c r="K88" s="338"/>
      <c r="L88" s="311"/>
      <c r="M88" s="322" t="s">
        <v>79</v>
      </c>
      <c r="N88" s="339">
        <f>N82 + N87</f>
        <v>4201.813858</v>
      </c>
      <c r="O88" s="340"/>
      <c r="P88" s="338"/>
      <c r="Q88" s="322" t="s">
        <v>79</v>
      </c>
      <c r="R88" s="339">
        <f>R82 + R87</f>
        <v>4128.821775</v>
      </c>
      <c r="S88" s="340"/>
      <c r="T88" s="338"/>
      <c r="U88" s="322" t="s">
        <v>79</v>
      </c>
      <c r="V88" s="339">
        <f>V82 + V87</f>
        <v>3714.547733</v>
      </c>
      <c r="W88" s="340"/>
      <c r="X88" s="338"/>
      <c r="Y88" s="322" t="s">
        <v>79</v>
      </c>
      <c r="Z88" s="339">
        <f>Z82 + Z87</f>
        <v>2695.024265</v>
      </c>
      <c r="AA88" s="340"/>
      <c r="AB88" s="338"/>
      <c r="AC88" s="322" t="s">
        <v>79</v>
      </c>
      <c r="AD88" s="339">
        <f>AD82 +AD87</f>
        <v>2873.586358</v>
      </c>
      <c r="AE88" s="340"/>
      <c r="AF88" s="338"/>
      <c r="AG88" s="322" t="s">
        <v>79</v>
      </c>
      <c r="AH88" s="339">
        <f>AH82 + AH87</f>
        <v>3012.410144</v>
      </c>
      <c r="AI88" s="340"/>
      <c r="AJ88" s="338"/>
      <c r="AK88" s="322" t="s">
        <v>79</v>
      </c>
      <c r="AL88" s="339">
        <f>AL82 + AL87</f>
        <v>2596.282057</v>
      </c>
      <c r="AM88" s="340"/>
      <c r="AN88" s="338"/>
      <c r="AO88" s="322" t="s">
        <v>79</v>
      </c>
      <c r="AP88" s="339">
        <f>AP82 + AP87</f>
        <v>1971.321094</v>
      </c>
      <c r="AQ88" s="340"/>
      <c r="AR88" s="338"/>
      <c r="AS88" s="322" t="s">
        <v>79</v>
      </c>
      <c r="AT88" s="339">
        <f>AT82 + AT87</f>
        <v>1633.870819</v>
      </c>
      <c r="AU88" s="340"/>
      <c r="AV88" s="338"/>
      <c r="AW88" s="322" t="s">
        <v>79</v>
      </c>
      <c r="AX88" s="339">
        <f>AX82 +AX87</f>
        <v>331</v>
      </c>
      <c r="AY88" s="340"/>
      <c r="AZ88" s="338"/>
      <c r="BA88" s="338"/>
      <c r="BB88" s="338"/>
      <c r="BC88" s="338"/>
      <c r="BD88" s="338"/>
      <c r="BE88" s="338"/>
      <c r="BF88" s="338"/>
      <c r="BG88" s="338"/>
      <c r="BH88" s="338"/>
      <c r="BI88" s="338"/>
      <c r="BJ88" s="338"/>
      <c r="BK88" s="338"/>
      <c r="BL88" s="338"/>
      <c r="BM88" s="338"/>
      <c r="BN88" s="338"/>
      <c r="BO88" s="338"/>
      <c r="BP88" s="338"/>
      <c r="BQ88" s="338"/>
      <c r="BR88" s="338"/>
      <c r="BS88" s="338"/>
      <c r="BT88" s="338"/>
      <c r="BU88" s="338"/>
      <c r="BV88" s="338"/>
      <c r="BW88" s="338"/>
      <c r="BX88" s="338"/>
      <c r="BY88" s="338"/>
      <c r="BZ88" s="338"/>
      <c r="CA88" s="338"/>
      <c r="CB88" s="338"/>
      <c r="CC88" s="338"/>
      <c r="CD88" s="338"/>
      <c r="CE88" s="338"/>
      <c r="CF88" s="338"/>
      <c r="CG88" s="338"/>
      <c r="CH88" s="338"/>
      <c r="CI88" s="338"/>
      <c r="CJ88" s="338"/>
      <c r="CK88" s="338"/>
      <c r="CL88" s="338"/>
      <c r="CM88" s="338"/>
      <c r="CN88" s="338"/>
      <c r="CO88" s="338"/>
      <c r="CP88" s="338"/>
      <c r="CQ88" s="338"/>
      <c r="CR88" s="338"/>
      <c r="CS88" s="338"/>
      <c r="CT88" s="338"/>
      <c r="CU88" s="338"/>
      <c r="CV88" s="338"/>
      <c r="CW88" s="338"/>
      <c r="CX88" s="338"/>
      <c r="CY88" s="338"/>
      <c r="CZ88" s="338"/>
      <c r="DA88" s="338"/>
      <c r="DB88" s="338"/>
      <c r="DC88" s="338"/>
      <c r="DD88" s="338"/>
      <c r="DE88" s="338"/>
      <c r="DF88" s="338"/>
      <c r="DG88" s="338"/>
      <c r="DH88" s="338"/>
      <c r="DI88" s="338"/>
      <c r="DJ88" s="338"/>
      <c r="DK88" s="338"/>
    </row>
    <row r="89" ht="14.25" customHeight="1">
      <c r="A89" s="332" t="s">
        <v>13</v>
      </c>
      <c r="B89" s="330">
        <f t="shared" si="193"/>
        <v>22294.59562</v>
      </c>
      <c r="C89" s="333"/>
      <c r="D89" s="334"/>
      <c r="E89" s="322" t="s">
        <v>80</v>
      </c>
      <c r="F89" s="343">
        <f>'LOAN BALANCES'!CV6</f>
        <v>5312.275236</v>
      </c>
      <c r="G89" s="340"/>
      <c r="H89" s="311"/>
      <c r="I89" s="341" t="s">
        <v>80</v>
      </c>
      <c r="J89" s="344">
        <f>'LOAN BALANCES'!CV7</f>
        <v>0</v>
      </c>
      <c r="K89" s="338"/>
      <c r="L89" s="311"/>
      <c r="M89" s="322" t="s">
        <v>80</v>
      </c>
      <c r="N89" s="343">
        <f>'LOAN BALANCES'!CV8</f>
        <v>1685.997264</v>
      </c>
      <c r="O89" s="340"/>
      <c r="P89" s="338"/>
      <c r="Q89" s="322" t="s">
        <v>80</v>
      </c>
      <c r="R89" s="343">
        <f>'LOAN BALANCES'!CV9</f>
        <v>-4.421403984</v>
      </c>
      <c r="S89" s="340"/>
      <c r="T89" s="338"/>
      <c r="U89" s="322" t="s">
        <v>80</v>
      </c>
      <c r="V89" s="343">
        <f>'LOAN BALANCES'!CV10</f>
        <v>3724.572041</v>
      </c>
      <c r="W89" s="340"/>
      <c r="X89" s="338"/>
      <c r="Y89" s="322" t="s">
        <v>80</v>
      </c>
      <c r="Z89" s="343">
        <f>'LOAN BALANCES'!CV11</f>
        <v>2762.074298</v>
      </c>
      <c r="AA89" s="340"/>
      <c r="AB89" s="338"/>
      <c r="AC89" s="322" t="s">
        <v>80</v>
      </c>
      <c r="AD89" s="343">
        <f>'LOAN BALANCES'!CV12</f>
        <v>606.9151994</v>
      </c>
      <c r="AE89" s="340"/>
      <c r="AF89" s="338"/>
      <c r="AG89" s="322" t="s">
        <v>80</v>
      </c>
      <c r="AH89" s="343">
        <f>'LOAN BALANCES'!CV13</f>
        <v>3011.610747</v>
      </c>
      <c r="AI89" s="340"/>
      <c r="AJ89" s="338"/>
      <c r="AK89" s="322" t="s">
        <v>80</v>
      </c>
      <c r="AL89" s="343">
        <f>'LOAN BALANCES'!CV14</f>
        <v>3329.270365</v>
      </c>
      <c r="AM89" s="340"/>
      <c r="AN89" s="338"/>
      <c r="AO89" s="322" t="s">
        <v>80</v>
      </c>
      <c r="AP89" s="343">
        <f>'LOAN BALANCES'!CV15</f>
        <v>1969.683125</v>
      </c>
      <c r="AQ89" s="340"/>
      <c r="AR89" s="338"/>
      <c r="AS89" s="322" t="s">
        <v>80</v>
      </c>
      <c r="AT89" s="343">
        <f>'LOAN BALANCES'!CV16</f>
        <v>-103.38125</v>
      </c>
      <c r="AU89" s="340"/>
      <c r="AV89" s="338"/>
      <c r="AW89" s="322" t="s">
        <v>80</v>
      </c>
      <c r="AX89" s="343">
        <f>'LOAN BALANCES'!CV17</f>
        <v>0</v>
      </c>
      <c r="AY89" s="340"/>
      <c r="AZ89" s="338"/>
      <c r="BA89" s="338"/>
      <c r="BB89" s="338"/>
      <c r="BC89" s="338"/>
      <c r="BD89" s="338"/>
      <c r="BE89" s="338"/>
      <c r="BF89" s="338"/>
      <c r="BG89" s="338"/>
      <c r="BH89" s="338"/>
      <c r="BI89" s="338"/>
      <c r="BJ89" s="338"/>
      <c r="BK89" s="338"/>
      <c r="BL89" s="338"/>
      <c r="BM89" s="338"/>
      <c r="BN89" s="338"/>
      <c r="BO89" s="338"/>
      <c r="BP89" s="338"/>
      <c r="BQ89" s="338"/>
      <c r="BR89" s="338"/>
      <c r="BS89" s="338"/>
      <c r="BT89" s="338"/>
      <c r="BU89" s="338"/>
      <c r="BV89" s="338"/>
      <c r="BW89" s="338"/>
      <c r="BX89" s="338"/>
      <c r="BY89" s="338"/>
      <c r="BZ89" s="338"/>
      <c r="CA89" s="338"/>
      <c r="CB89" s="338"/>
      <c r="CC89" s="338"/>
      <c r="CD89" s="338"/>
      <c r="CE89" s="338"/>
      <c r="CF89" s="338"/>
      <c r="CG89" s="338"/>
      <c r="CH89" s="338"/>
      <c r="CI89" s="338"/>
      <c r="CJ89" s="338"/>
      <c r="CK89" s="338"/>
      <c r="CL89" s="338"/>
      <c r="CM89" s="338"/>
      <c r="CN89" s="338"/>
      <c r="CO89" s="338"/>
      <c r="CP89" s="338"/>
      <c r="CQ89" s="338"/>
      <c r="CR89" s="338"/>
      <c r="CS89" s="338"/>
      <c r="CT89" s="338"/>
      <c r="CU89" s="338"/>
      <c r="CV89" s="338"/>
      <c r="CW89" s="338"/>
      <c r="CX89" s="338"/>
      <c r="CY89" s="338"/>
      <c r="CZ89" s="338"/>
      <c r="DA89" s="338"/>
      <c r="DB89" s="338"/>
      <c r="DC89" s="338"/>
      <c r="DD89" s="338"/>
      <c r="DE89" s="338"/>
      <c r="DF89" s="338"/>
      <c r="DG89" s="338"/>
      <c r="DH89" s="338"/>
      <c r="DI89" s="338"/>
      <c r="DJ89" s="338"/>
      <c r="DK89" s="338"/>
    </row>
    <row r="90" ht="14.25" customHeight="1">
      <c r="A90" s="345" t="s">
        <v>81</v>
      </c>
      <c r="B90" s="346">
        <f t="shared" si="193"/>
        <v>14819.09069</v>
      </c>
      <c r="C90" s="347"/>
      <c r="D90" s="348"/>
      <c r="E90" s="322" t="s">
        <v>82</v>
      </c>
      <c r="F90" s="349">
        <f>F88-F89</f>
        <v>-2237.326181</v>
      </c>
      <c r="G90" s="37"/>
      <c r="H90" s="350"/>
      <c r="I90" s="351" t="s">
        <v>82</v>
      </c>
      <c r="J90" s="352">
        <f>J88-J89</f>
        <v>6880.059153</v>
      </c>
      <c r="K90" s="353"/>
      <c r="L90" s="350"/>
      <c r="M90" s="322" t="s">
        <v>82</v>
      </c>
      <c r="N90" s="349">
        <f>N88-N89</f>
        <v>2515.816594</v>
      </c>
      <c r="O90" s="37"/>
      <c r="P90" s="353"/>
      <c r="Q90" s="322" t="s">
        <v>82</v>
      </c>
      <c r="R90" s="349">
        <f>R88-R89</f>
        <v>4133.243179</v>
      </c>
      <c r="S90" s="37"/>
      <c r="T90" s="353"/>
      <c r="U90" s="322" t="s">
        <v>82</v>
      </c>
      <c r="V90" s="349">
        <f>V88-V89</f>
        <v>-10.02430771</v>
      </c>
      <c r="W90" s="37"/>
      <c r="X90" s="353"/>
      <c r="Y90" s="322" t="s">
        <v>82</v>
      </c>
      <c r="Z90" s="349">
        <f>Z88-Z89</f>
        <v>-67.05003271</v>
      </c>
      <c r="AA90" s="37"/>
      <c r="AB90" s="353"/>
      <c r="AC90" s="322" t="s">
        <v>82</v>
      </c>
      <c r="AD90" s="349">
        <f>AD88-AD89</f>
        <v>2266.671158</v>
      </c>
      <c r="AE90" s="37"/>
      <c r="AF90" s="353"/>
      <c r="AG90" s="322" t="s">
        <v>82</v>
      </c>
      <c r="AH90" s="349">
        <f>AH88-AH89</f>
        <v>0.7993973594</v>
      </c>
      <c r="AI90" s="37"/>
      <c r="AJ90" s="353"/>
      <c r="AK90" s="322" t="s">
        <v>82</v>
      </c>
      <c r="AL90" s="349">
        <f>AL88-AL89</f>
        <v>-732.9883074</v>
      </c>
      <c r="AM90" s="37"/>
      <c r="AN90" s="353"/>
      <c r="AO90" s="322" t="s">
        <v>82</v>
      </c>
      <c r="AP90" s="349">
        <f>AP88-AP89</f>
        <v>1.63796875</v>
      </c>
      <c r="AQ90" s="37"/>
      <c r="AR90" s="353"/>
      <c r="AS90" s="322" t="s">
        <v>82</v>
      </c>
      <c r="AT90" s="349">
        <f>AT88-AT89</f>
        <v>1737.252069</v>
      </c>
      <c r="AU90" s="37"/>
      <c r="AV90" s="353"/>
      <c r="AW90" s="322" t="s">
        <v>82</v>
      </c>
      <c r="AX90" s="349">
        <f>AX88-AX89</f>
        <v>331</v>
      </c>
      <c r="AY90" s="37"/>
      <c r="AZ90" s="353"/>
      <c r="BB90" s="329" t="s">
        <v>83</v>
      </c>
      <c r="BC90" s="329">
        <v>6940.0</v>
      </c>
    </row>
    <row r="91" ht="14.25" customHeight="1">
      <c r="D91" s="354"/>
      <c r="E91" s="329" t="s">
        <v>84</v>
      </c>
      <c r="I91" s="329" t="s">
        <v>85</v>
      </c>
      <c r="M91" s="329" t="s">
        <v>86</v>
      </c>
      <c r="Q91" s="329" t="s">
        <v>87</v>
      </c>
      <c r="U91" s="329" t="s">
        <v>88</v>
      </c>
      <c r="Y91" s="329" t="s">
        <v>89</v>
      </c>
      <c r="AC91" s="329" t="s">
        <v>90</v>
      </c>
      <c r="AG91" s="329" t="s">
        <v>91</v>
      </c>
      <c r="AK91" s="329" t="s">
        <v>92</v>
      </c>
      <c r="AO91" s="329" t="s">
        <v>93</v>
      </c>
      <c r="AS91" s="329" t="s">
        <v>94</v>
      </c>
      <c r="AW91" s="329" t="s">
        <v>29</v>
      </c>
      <c r="BB91" s="329" t="s">
        <v>95</v>
      </c>
      <c r="BC91" s="329">
        <v>17062.0</v>
      </c>
    </row>
    <row r="92" ht="14.25" customHeight="1">
      <c r="D92" s="354"/>
    </row>
    <row r="93" ht="14.25" customHeight="1">
      <c r="A93" s="329" t="s">
        <v>96</v>
      </c>
      <c r="B93" s="349">
        <f>(B88 - (B89+B90 ) )</f>
        <v>0</v>
      </c>
      <c r="D93" s="354"/>
    </row>
    <row r="94" ht="14.25" customHeight="1">
      <c r="D94" s="354"/>
    </row>
    <row r="95" ht="14.25" customHeight="1">
      <c r="D95" s="354"/>
    </row>
    <row r="96" ht="14.25" customHeight="1">
      <c r="D96" s="354"/>
    </row>
    <row r="97" ht="14.25" customHeight="1">
      <c r="D97" s="354"/>
    </row>
    <row r="98" ht="14.25" customHeight="1">
      <c r="D98" s="354"/>
    </row>
    <row r="99" ht="14.25" customHeight="1">
      <c r="D99" s="354"/>
    </row>
    <row r="100" ht="14.25" customHeight="1">
      <c r="D100" s="354"/>
    </row>
    <row r="101" ht="14.25" customHeight="1">
      <c r="D101" s="354"/>
    </row>
    <row r="102" ht="14.25" customHeight="1">
      <c r="D102" s="354"/>
    </row>
    <row r="103" ht="14.25" customHeight="1">
      <c r="D103" s="354"/>
    </row>
    <row r="104" ht="14.25" customHeight="1">
      <c r="D104" s="354"/>
    </row>
    <row r="105" ht="14.25" customHeight="1">
      <c r="D105" s="354"/>
    </row>
    <row r="106" ht="14.25" customHeight="1">
      <c r="D106" s="354"/>
    </row>
    <row r="107" ht="14.25" customHeight="1">
      <c r="D107" s="354"/>
    </row>
    <row r="108" ht="14.25" customHeight="1">
      <c r="D108" s="354"/>
    </row>
    <row r="109" ht="14.25" customHeight="1">
      <c r="D109" s="354"/>
    </row>
    <row r="110" ht="14.25" customHeight="1">
      <c r="D110" s="354"/>
    </row>
    <row r="111" ht="14.25" customHeight="1">
      <c r="D111" s="354"/>
    </row>
    <row r="112" ht="14.25" customHeight="1">
      <c r="D112" s="354"/>
    </row>
    <row r="113" ht="14.25" customHeight="1">
      <c r="D113" s="354"/>
    </row>
    <row r="114" ht="14.25" customHeight="1">
      <c r="D114" s="354"/>
    </row>
    <row r="115" ht="14.25" customHeight="1">
      <c r="D115" s="354"/>
    </row>
    <row r="116" ht="14.25" customHeight="1">
      <c r="D116" s="354"/>
    </row>
    <row r="117" ht="14.25" customHeight="1">
      <c r="D117" s="354"/>
    </row>
    <row r="118" ht="14.25" customHeight="1">
      <c r="D118" s="354"/>
    </row>
    <row r="119" ht="14.25" customHeight="1">
      <c r="D119" s="354"/>
    </row>
    <row r="120" ht="14.25" customHeight="1">
      <c r="D120" s="354"/>
    </row>
    <row r="121" ht="14.25" customHeight="1">
      <c r="D121" s="354"/>
    </row>
    <row r="122" ht="14.25" customHeight="1">
      <c r="D122" s="354"/>
    </row>
    <row r="123" ht="14.25" customHeight="1">
      <c r="D123" s="354"/>
    </row>
    <row r="124" ht="14.25" customHeight="1">
      <c r="D124" s="354"/>
    </row>
    <row r="125" ht="14.25" customHeight="1">
      <c r="D125" s="354"/>
    </row>
    <row r="126" ht="14.25" customHeight="1">
      <c r="D126" s="354"/>
    </row>
    <row r="127" ht="14.25" customHeight="1">
      <c r="D127" s="354"/>
    </row>
    <row r="128" ht="14.25" customHeight="1">
      <c r="D128" s="354"/>
    </row>
    <row r="129" ht="14.25" customHeight="1">
      <c r="D129" s="354"/>
    </row>
    <row r="130" ht="14.25" customHeight="1">
      <c r="D130" s="354"/>
    </row>
    <row r="131" ht="14.25" customHeight="1">
      <c r="D131" s="354"/>
    </row>
    <row r="132" ht="14.25" customHeight="1">
      <c r="D132" s="354"/>
    </row>
    <row r="133" ht="14.25" customHeight="1">
      <c r="D133" s="354"/>
    </row>
    <row r="134" ht="14.25" customHeight="1">
      <c r="D134" s="354"/>
    </row>
    <row r="135" ht="14.25" customHeight="1">
      <c r="D135" s="354"/>
    </row>
    <row r="136" ht="14.25" customHeight="1">
      <c r="D136" s="354"/>
    </row>
    <row r="137" ht="14.25" customHeight="1">
      <c r="D137" s="354"/>
    </row>
    <row r="138" ht="14.25" customHeight="1">
      <c r="D138" s="354"/>
    </row>
    <row r="139" ht="14.25" customHeight="1">
      <c r="D139" s="354"/>
    </row>
    <row r="140" ht="14.25" customHeight="1">
      <c r="D140" s="354"/>
    </row>
    <row r="141" ht="14.25" customHeight="1">
      <c r="D141" s="354"/>
    </row>
    <row r="142" ht="14.25" customHeight="1">
      <c r="D142" s="354"/>
    </row>
    <row r="143" ht="14.25" customHeight="1">
      <c r="D143" s="354"/>
    </row>
    <row r="144" ht="14.25" customHeight="1">
      <c r="D144" s="354"/>
    </row>
    <row r="145" ht="14.25" customHeight="1">
      <c r="D145" s="354"/>
    </row>
    <row r="146" ht="14.25" customHeight="1">
      <c r="D146" s="354"/>
    </row>
    <row r="147" ht="14.25" customHeight="1">
      <c r="D147" s="354"/>
    </row>
    <row r="148" ht="14.25" customHeight="1">
      <c r="D148" s="354"/>
    </row>
    <row r="149" ht="14.25" customHeight="1">
      <c r="D149" s="354"/>
    </row>
    <row r="150" ht="14.25" customHeight="1">
      <c r="D150" s="354"/>
    </row>
    <row r="151" ht="14.25" customHeight="1">
      <c r="D151" s="354"/>
    </row>
    <row r="152" ht="14.25" customHeight="1">
      <c r="D152" s="354"/>
    </row>
    <row r="153" ht="14.25" customHeight="1">
      <c r="D153" s="354"/>
    </row>
    <row r="154" ht="14.25" customHeight="1">
      <c r="D154" s="354"/>
    </row>
    <row r="155" ht="14.25" customHeight="1">
      <c r="D155" s="354"/>
    </row>
    <row r="156" ht="14.25" customHeight="1">
      <c r="D156" s="354"/>
    </row>
    <row r="157" ht="14.25" customHeight="1">
      <c r="D157" s="354"/>
    </row>
    <row r="158" ht="14.25" customHeight="1">
      <c r="D158" s="354"/>
    </row>
    <row r="159" ht="14.25" customHeight="1">
      <c r="D159" s="354"/>
    </row>
    <row r="160" ht="14.25" customHeight="1">
      <c r="D160" s="354"/>
    </row>
    <row r="161" ht="14.25" customHeight="1">
      <c r="D161" s="354"/>
    </row>
    <row r="162" ht="14.25" customHeight="1">
      <c r="D162" s="354"/>
    </row>
    <row r="163" ht="14.25" customHeight="1">
      <c r="D163" s="354"/>
    </row>
    <row r="164" ht="14.25" customHeight="1">
      <c r="D164" s="354"/>
    </row>
    <row r="165" ht="14.25" customHeight="1">
      <c r="D165" s="354"/>
    </row>
    <row r="166" ht="14.25" customHeight="1">
      <c r="D166" s="354"/>
    </row>
    <row r="167" ht="14.25" customHeight="1">
      <c r="D167" s="354"/>
    </row>
    <row r="168" ht="14.25" customHeight="1">
      <c r="D168" s="354"/>
    </row>
    <row r="169" ht="14.25" customHeight="1">
      <c r="D169" s="354"/>
    </row>
    <row r="170" ht="14.25" customHeight="1">
      <c r="D170" s="354"/>
    </row>
    <row r="171" ht="14.25" customHeight="1">
      <c r="D171" s="354"/>
    </row>
    <row r="172" ht="14.25" customHeight="1">
      <c r="D172" s="354"/>
    </row>
    <row r="173" ht="14.25" customHeight="1">
      <c r="D173" s="354"/>
    </row>
    <row r="174" ht="14.25" customHeight="1">
      <c r="D174" s="354"/>
    </row>
    <row r="175" ht="14.25" customHeight="1">
      <c r="D175" s="354"/>
    </row>
    <row r="176" ht="14.25" customHeight="1">
      <c r="D176" s="354"/>
    </row>
    <row r="177" ht="14.25" customHeight="1">
      <c r="D177" s="354"/>
    </row>
    <row r="178" ht="14.25" customHeight="1">
      <c r="D178" s="354"/>
    </row>
    <row r="179" ht="14.25" customHeight="1">
      <c r="D179" s="354"/>
    </row>
    <row r="180" ht="14.25" customHeight="1">
      <c r="D180" s="354"/>
    </row>
    <row r="181" ht="14.25" customHeight="1">
      <c r="D181" s="354"/>
    </row>
    <row r="182" ht="14.25" customHeight="1">
      <c r="D182" s="354"/>
    </row>
    <row r="183" ht="14.25" customHeight="1">
      <c r="D183" s="354"/>
    </row>
    <row r="184" ht="14.25" customHeight="1">
      <c r="D184" s="354"/>
    </row>
    <row r="185" ht="14.25" customHeight="1">
      <c r="D185" s="354"/>
    </row>
    <row r="186" ht="14.25" customHeight="1">
      <c r="D186" s="354"/>
    </row>
    <row r="187" ht="14.25" customHeight="1">
      <c r="D187" s="354"/>
    </row>
    <row r="188" ht="14.25" customHeight="1">
      <c r="D188" s="354"/>
    </row>
    <row r="189" ht="14.25" customHeight="1">
      <c r="D189" s="354"/>
    </row>
    <row r="190" ht="14.25" customHeight="1">
      <c r="D190" s="354"/>
    </row>
    <row r="191" ht="14.25" customHeight="1">
      <c r="D191" s="354"/>
    </row>
    <row r="192" ht="14.25" customHeight="1">
      <c r="D192" s="354"/>
    </row>
    <row r="193" ht="14.25" customHeight="1">
      <c r="D193" s="354"/>
    </row>
    <row r="194" ht="14.25" customHeight="1">
      <c r="D194" s="354"/>
    </row>
    <row r="195" ht="14.25" customHeight="1">
      <c r="D195" s="354"/>
    </row>
    <row r="196" ht="14.25" customHeight="1">
      <c r="D196" s="354"/>
    </row>
    <row r="197" ht="14.25" customHeight="1">
      <c r="D197" s="354"/>
    </row>
    <row r="198" ht="14.25" customHeight="1">
      <c r="D198" s="354"/>
    </row>
    <row r="199" ht="14.25" customHeight="1">
      <c r="D199" s="354"/>
    </row>
    <row r="200" ht="14.25" customHeight="1">
      <c r="D200" s="354"/>
    </row>
    <row r="201" ht="14.25" customHeight="1">
      <c r="D201" s="354"/>
    </row>
    <row r="202" ht="14.25" customHeight="1">
      <c r="D202" s="354"/>
    </row>
    <row r="203" ht="14.25" customHeight="1">
      <c r="D203" s="354"/>
    </row>
    <row r="204" ht="14.25" customHeight="1">
      <c r="D204" s="354"/>
    </row>
    <row r="205" ht="14.25" customHeight="1">
      <c r="D205" s="354"/>
    </row>
    <row r="206" ht="14.25" customHeight="1">
      <c r="D206" s="354"/>
    </row>
    <row r="207" ht="14.25" customHeight="1">
      <c r="D207" s="354"/>
    </row>
    <row r="208" ht="14.25" customHeight="1">
      <c r="D208" s="354"/>
    </row>
    <row r="209" ht="14.25" customHeight="1">
      <c r="D209" s="354"/>
    </row>
    <row r="210" ht="14.25" customHeight="1">
      <c r="D210" s="354"/>
    </row>
    <row r="211" ht="14.25" customHeight="1">
      <c r="D211" s="354"/>
    </row>
    <row r="212" ht="14.25" customHeight="1">
      <c r="D212" s="354"/>
    </row>
    <row r="213" ht="14.25" customHeight="1">
      <c r="D213" s="354"/>
    </row>
    <row r="214" ht="14.25" customHeight="1">
      <c r="D214" s="354"/>
    </row>
    <row r="215" ht="14.25" customHeight="1">
      <c r="D215" s="354"/>
    </row>
    <row r="216" ht="14.25" customHeight="1">
      <c r="D216" s="354"/>
    </row>
    <row r="217" ht="14.25" customHeight="1">
      <c r="D217" s="354"/>
    </row>
    <row r="218" ht="14.25" customHeight="1">
      <c r="D218" s="354"/>
    </row>
    <row r="219" ht="14.25" customHeight="1">
      <c r="D219" s="354"/>
    </row>
    <row r="220" ht="14.25" customHeight="1">
      <c r="D220" s="354"/>
    </row>
    <row r="221" ht="14.25" customHeight="1">
      <c r="D221" s="354"/>
    </row>
    <row r="222" ht="14.25" customHeight="1">
      <c r="D222" s="354"/>
    </row>
    <row r="223" ht="14.25" customHeight="1">
      <c r="D223" s="354"/>
    </row>
    <row r="224" ht="14.25" customHeight="1">
      <c r="D224" s="354"/>
    </row>
    <row r="225" ht="14.25" customHeight="1">
      <c r="D225" s="354"/>
    </row>
    <row r="226" ht="14.25" customHeight="1">
      <c r="D226" s="354"/>
    </row>
    <row r="227" ht="14.25" customHeight="1">
      <c r="D227" s="354"/>
    </row>
    <row r="228" ht="14.25" customHeight="1">
      <c r="D228" s="354"/>
    </row>
    <row r="229" ht="14.25" customHeight="1">
      <c r="D229" s="354"/>
    </row>
    <row r="230" ht="14.25" customHeight="1">
      <c r="D230" s="354"/>
    </row>
    <row r="231" ht="14.25" customHeight="1">
      <c r="D231" s="354"/>
    </row>
    <row r="232" ht="14.25" customHeight="1">
      <c r="D232" s="354"/>
    </row>
    <row r="233" ht="14.25" customHeight="1">
      <c r="D233" s="354"/>
    </row>
    <row r="234" ht="14.25" customHeight="1">
      <c r="D234" s="354"/>
    </row>
    <row r="235" ht="14.25" customHeight="1">
      <c r="D235" s="354"/>
    </row>
    <row r="236" ht="14.25" customHeight="1">
      <c r="D236" s="354"/>
    </row>
    <row r="237" ht="14.25" customHeight="1">
      <c r="D237" s="354"/>
    </row>
    <row r="238" ht="14.25" customHeight="1">
      <c r="D238" s="354"/>
    </row>
    <row r="239" ht="14.25" customHeight="1">
      <c r="D239" s="354"/>
    </row>
    <row r="240" ht="14.25" customHeight="1">
      <c r="D240" s="354"/>
    </row>
    <row r="241" ht="14.25" customHeight="1">
      <c r="D241" s="354"/>
    </row>
    <row r="242" ht="14.25" customHeight="1">
      <c r="D242" s="354"/>
    </row>
    <row r="243" ht="14.25" customHeight="1">
      <c r="D243" s="354"/>
    </row>
    <row r="244" ht="14.25" customHeight="1">
      <c r="D244" s="354"/>
    </row>
    <row r="245" ht="14.25" customHeight="1">
      <c r="D245" s="354"/>
    </row>
    <row r="246" ht="14.25" customHeight="1">
      <c r="D246" s="354"/>
    </row>
    <row r="247" ht="14.25" customHeight="1">
      <c r="D247" s="354"/>
    </row>
    <row r="248" ht="14.25" customHeight="1">
      <c r="D248" s="354"/>
    </row>
    <row r="249" ht="14.25" customHeight="1">
      <c r="D249" s="354"/>
    </row>
    <row r="250" ht="14.25" customHeight="1">
      <c r="D250" s="354"/>
    </row>
    <row r="251" ht="14.25" customHeight="1">
      <c r="D251" s="354"/>
    </row>
    <row r="252" ht="14.25" customHeight="1">
      <c r="D252" s="354"/>
    </row>
    <row r="253" ht="14.25" customHeight="1">
      <c r="D253" s="354"/>
    </row>
    <row r="254" ht="14.25" customHeight="1">
      <c r="D254" s="354"/>
    </row>
    <row r="255" ht="14.25" customHeight="1">
      <c r="D255" s="354"/>
    </row>
    <row r="256" ht="14.25" customHeight="1">
      <c r="D256" s="354"/>
    </row>
    <row r="257" ht="14.25" customHeight="1">
      <c r="D257" s="354"/>
    </row>
    <row r="258" ht="14.25" customHeight="1">
      <c r="D258" s="354"/>
    </row>
    <row r="259" ht="14.25" customHeight="1">
      <c r="D259" s="354"/>
    </row>
    <row r="260" ht="14.25" customHeight="1">
      <c r="D260" s="354"/>
    </row>
    <row r="261" ht="14.25" customHeight="1">
      <c r="D261" s="354"/>
    </row>
    <row r="262" ht="14.25" customHeight="1">
      <c r="D262" s="354"/>
    </row>
    <row r="263" ht="14.25" customHeight="1">
      <c r="D263" s="354"/>
    </row>
    <row r="264" ht="14.25" customHeight="1">
      <c r="D264" s="354"/>
    </row>
    <row r="265" ht="14.25" customHeight="1">
      <c r="D265" s="354"/>
    </row>
    <row r="266" ht="14.25" customHeight="1">
      <c r="D266" s="354"/>
    </row>
    <row r="267" ht="14.25" customHeight="1">
      <c r="D267" s="354"/>
    </row>
    <row r="268" ht="14.25" customHeight="1">
      <c r="D268" s="354"/>
    </row>
    <row r="269" ht="14.25" customHeight="1">
      <c r="D269" s="354"/>
    </row>
    <row r="270" ht="14.25" customHeight="1">
      <c r="D270" s="354"/>
    </row>
    <row r="271" ht="14.25" customHeight="1">
      <c r="D271" s="354"/>
    </row>
    <row r="272" ht="14.25" customHeight="1">
      <c r="D272" s="354"/>
    </row>
    <row r="273" ht="14.25" customHeight="1">
      <c r="D273" s="354"/>
    </row>
    <row r="274" ht="14.25" customHeight="1">
      <c r="D274" s="354"/>
    </row>
    <row r="275" ht="14.25" customHeight="1">
      <c r="D275" s="354"/>
    </row>
    <row r="276" ht="14.25" customHeight="1">
      <c r="D276" s="354"/>
    </row>
    <row r="277" ht="14.25" customHeight="1">
      <c r="D277" s="354"/>
    </row>
    <row r="278" ht="14.25" customHeight="1">
      <c r="D278" s="354"/>
    </row>
    <row r="279" ht="14.25" customHeight="1">
      <c r="D279" s="354"/>
    </row>
    <row r="280" ht="14.25" customHeight="1">
      <c r="D280" s="354"/>
    </row>
    <row r="281" ht="14.25" customHeight="1">
      <c r="D281" s="354"/>
    </row>
    <row r="282" ht="14.25" customHeight="1">
      <c r="D282" s="354"/>
    </row>
    <row r="283" ht="14.25" customHeight="1">
      <c r="D283" s="354"/>
    </row>
    <row r="284" ht="14.25" customHeight="1">
      <c r="D284" s="354"/>
    </row>
    <row r="285" ht="14.25" customHeight="1">
      <c r="D285" s="354"/>
    </row>
    <row r="286" ht="14.25" customHeight="1">
      <c r="D286" s="354"/>
    </row>
    <row r="287" ht="14.25" customHeight="1">
      <c r="D287" s="354"/>
    </row>
    <row r="288" ht="14.25" customHeight="1">
      <c r="D288" s="354"/>
    </row>
    <row r="289" ht="14.25" customHeight="1">
      <c r="D289" s="354"/>
    </row>
    <row r="290" ht="14.25" customHeight="1">
      <c r="D290" s="354"/>
    </row>
  </sheetData>
  <conditionalFormatting sqref="F90 J90 N90 R90 V90 Z90 AD90 AH90 AL90 AP90 AT90 AX90 B93">
    <cfRule type="cellIs" dxfId="2" priority="1" operator="greaterThanOrEqual">
      <formula>0</formula>
    </cfRule>
  </conditionalFormatting>
  <conditionalFormatting sqref="F90 J90 N90 R90 V90 Z90 AD90 AH90 AL90 AP90 AT90 AX90 B93">
    <cfRule type="cellIs" dxfId="3" priority="2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5" width="12.86"/>
  </cols>
  <sheetData>
    <row r="1" ht="14.25" customHeight="1">
      <c r="E1" s="310" t="s">
        <v>57</v>
      </c>
      <c r="F1" s="181"/>
      <c r="G1" s="181"/>
      <c r="H1" s="311"/>
      <c r="I1" s="310" t="s">
        <v>58</v>
      </c>
      <c r="J1" s="181"/>
      <c r="K1" s="181"/>
      <c r="L1" s="311"/>
      <c r="M1" s="310" t="s">
        <v>59</v>
      </c>
      <c r="N1" s="181"/>
      <c r="O1" s="181"/>
      <c r="P1" s="181"/>
      <c r="Q1" s="310" t="s">
        <v>60</v>
      </c>
      <c r="R1" s="181"/>
      <c r="S1" s="181"/>
      <c r="T1" s="181"/>
      <c r="U1" s="310" t="s">
        <v>61</v>
      </c>
      <c r="V1" s="181"/>
      <c r="W1" s="181"/>
      <c r="X1" s="181"/>
      <c r="Y1" s="310" t="s">
        <v>62</v>
      </c>
      <c r="Z1" s="181"/>
      <c r="AA1" s="181"/>
      <c r="AB1" s="181"/>
      <c r="AC1" s="310" t="s">
        <v>63</v>
      </c>
      <c r="AD1" s="181"/>
      <c r="AE1" s="181"/>
      <c r="AF1" s="181"/>
      <c r="AG1" s="310" t="s">
        <v>64</v>
      </c>
      <c r="AH1" s="181"/>
      <c r="AI1" s="181"/>
      <c r="AJ1" s="181"/>
      <c r="AK1" s="310" t="s">
        <v>65</v>
      </c>
      <c r="AL1" s="181"/>
      <c r="AM1" s="181"/>
      <c r="AN1" s="181"/>
      <c r="AO1" s="310" t="s">
        <v>66</v>
      </c>
      <c r="AP1" s="181"/>
      <c r="AQ1" s="181"/>
      <c r="AR1" s="181"/>
      <c r="AS1" s="310" t="s">
        <v>67</v>
      </c>
      <c r="AT1" s="181"/>
      <c r="AU1" s="181"/>
      <c r="AV1" s="181"/>
      <c r="AW1" s="310" t="s">
        <v>68</v>
      </c>
      <c r="AX1" s="181"/>
      <c r="AY1" s="181"/>
      <c r="AZ1" s="181"/>
    </row>
    <row r="2" ht="14.25" customHeight="1">
      <c r="E2" s="312"/>
      <c r="F2" s="313" t="s">
        <v>69</v>
      </c>
      <c r="G2" s="314" t="s">
        <v>70</v>
      </c>
      <c r="H2" s="315"/>
      <c r="I2" s="316"/>
      <c r="J2" s="313" t="s">
        <v>69</v>
      </c>
      <c r="K2" s="317" t="s">
        <v>70</v>
      </c>
      <c r="L2" s="315"/>
      <c r="M2" s="316"/>
      <c r="N2" s="313" t="s">
        <v>69</v>
      </c>
      <c r="O2" s="314" t="s">
        <v>70</v>
      </c>
      <c r="P2" s="181"/>
      <c r="Q2" s="312"/>
      <c r="R2" s="313" t="s">
        <v>69</v>
      </c>
      <c r="S2" s="314" t="s">
        <v>70</v>
      </c>
      <c r="T2" s="181"/>
      <c r="U2" s="312"/>
      <c r="V2" s="313" t="s">
        <v>69</v>
      </c>
      <c r="W2" s="314" t="s">
        <v>70</v>
      </c>
      <c r="X2" s="181"/>
      <c r="Y2" s="312"/>
      <c r="Z2" s="313" t="s">
        <v>69</v>
      </c>
      <c r="AA2" s="314" t="s">
        <v>70</v>
      </c>
      <c r="AB2" s="181"/>
      <c r="AC2" s="312"/>
      <c r="AD2" s="313" t="s">
        <v>69</v>
      </c>
      <c r="AE2" s="314" t="s">
        <v>70</v>
      </c>
      <c r="AF2" s="181"/>
      <c r="AG2" s="312"/>
      <c r="AH2" s="313" t="s">
        <v>69</v>
      </c>
      <c r="AI2" s="314" t="s">
        <v>70</v>
      </c>
      <c r="AJ2" s="181"/>
      <c r="AK2" s="312"/>
      <c r="AL2" s="313" t="s">
        <v>69</v>
      </c>
      <c r="AM2" s="314" t="s">
        <v>70</v>
      </c>
      <c r="AN2" s="181"/>
      <c r="AO2" s="312"/>
      <c r="AP2" s="313" t="s">
        <v>69</v>
      </c>
      <c r="AQ2" s="314" t="s">
        <v>70</v>
      </c>
      <c r="AR2" s="181"/>
      <c r="AS2" s="312"/>
      <c r="AT2" s="313" t="s">
        <v>69</v>
      </c>
      <c r="AU2" s="314" t="s">
        <v>70</v>
      </c>
      <c r="AV2" s="181"/>
      <c r="AW2" s="312"/>
      <c r="AX2" s="313" t="s">
        <v>69</v>
      </c>
      <c r="AY2" s="314" t="s">
        <v>70</v>
      </c>
      <c r="AZ2" s="181"/>
    </row>
    <row r="3" ht="14.25" customHeight="1">
      <c r="E3" s="312"/>
      <c r="F3" s="314"/>
      <c r="G3" s="314"/>
      <c r="H3" s="315"/>
      <c r="I3" s="316"/>
      <c r="J3" s="314"/>
      <c r="K3" s="317"/>
      <c r="L3" s="315"/>
      <c r="M3" s="316"/>
      <c r="N3" s="314"/>
      <c r="O3" s="314"/>
      <c r="Q3" s="312"/>
      <c r="R3" s="314"/>
      <c r="S3" s="314"/>
      <c r="U3" s="312"/>
      <c r="V3" s="314"/>
      <c r="W3" s="314"/>
      <c r="Y3" s="312"/>
      <c r="Z3" s="314"/>
      <c r="AA3" s="314"/>
      <c r="AC3" s="312"/>
      <c r="AD3" s="314"/>
      <c r="AE3" s="314"/>
      <c r="AG3" s="312"/>
      <c r="AH3" s="314"/>
      <c r="AI3" s="314"/>
      <c r="AK3" s="312"/>
      <c r="AL3" s="314"/>
      <c r="AM3" s="314"/>
      <c r="AO3" s="312"/>
      <c r="AP3" s="314"/>
      <c r="AQ3" s="314"/>
      <c r="AS3" s="312"/>
      <c r="AT3" s="314"/>
      <c r="AU3" s="314"/>
      <c r="AW3" s="312"/>
      <c r="AX3" s="314"/>
      <c r="AY3" s="314"/>
    </row>
    <row r="4" ht="14.25" customHeight="1">
      <c r="E4" s="318" t="s">
        <v>33</v>
      </c>
      <c r="F4" s="319">
        <f>SHARES!C3</f>
        <v>100</v>
      </c>
      <c r="G4" s="319"/>
      <c r="H4" s="320"/>
      <c r="I4" s="318" t="s">
        <v>33</v>
      </c>
      <c r="J4" s="319">
        <f>SHARES!C4</f>
        <v>100</v>
      </c>
      <c r="K4" s="321"/>
      <c r="L4" s="320"/>
      <c r="M4" s="318" t="s">
        <v>33</v>
      </c>
      <c r="N4" s="319">
        <f>SHARES!C5</f>
        <v>100</v>
      </c>
      <c r="O4" s="319"/>
      <c r="Q4" s="318" t="s">
        <v>33</v>
      </c>
      <c r="R4" s="319">
        <f>SHARES!C6</f>
        <v>0</v>
      </c>
      <c r="S4" s="319"/>
      <c r="U4" s="318" t="s">
        <v>33</v>
      </c>
      <c r="V4" s="319">
        <f>SHARES!C7</f>
        <v>100</v>
      </c>
      <c r="W4" s="319"/>
      <c r="Y4" s="318" t="s">
        <v>33</v>
      </c>
      <c r="Z4" s="319">
        <f>SHARES!C8</f>
        <v>100</v>
      </c>
      <c r="AA4" s="319"/>
      <c r="AC4" s="318" t="s">
        <v>33</v>
      </c>
      <c r="AD4" s="319">
        <f>SHARES!C9</f>
        <v>100</v>
      </c>
      <c r="AE4" s="319"/>
      <c r="AG4" s="322" t="s">
        <v>34</v>
      </c>
      <c r="AH4" s="319">
        <f>SHARES!C10</f>
        <v>0</v>
      </c>
      <c r="AI4" s="319"/>
      <c r="AK4" s="322" t="s">
        <v>34</v>
      </c>
      <c r="AL4" s="319">
        <f>SHARES!C11</f>
        <v>0</v>
      </c>
      <c r="AM4" s="319"/>
      <c r="AO4" s="322" t="s">
        <v>34</v>
      </c>
      <c r="AP4" s="319">
        <f>SHARES!C12</f>
        <v>0</v>
      </c>
      <c r="AQ4" s="319"/>
      <c r="AS4" s="322" t="s">
        <v>34</v>
      </c>
      <c r="AT4" s="319">
        <f>SHARES!C13</f>
        <v>0</v>
      </c>
      <c r="AU4" s="319"/>
      <c r="AW4" s="322" t="s">
        <v>34</v>
      </c>
      <c r="AX4" s="319" t="str">
        <f>SHARES!C14</f>
        <v/>
      </c>
      <c r="AY4" s="319"/>
    </row>
    <row r="5" ht="14.25" customHeight="1">
      <c r="E5" s="322" t="s">
        <v>34</v>
      </c>
      <c r="F5" s="319">
        <f>F4*1.1</f>
        <v>110</v>
      </c>
      <c r="G5" s="319">
        <f>F4*0.1</f>
        <v>10</v>
      </c>
      <c r="H5" s="320"/>
      <c r="I5" s="322" t="s">
        <v>34</v>
      </c>
      <c r="J5" s="319">
        <f>J4*1.1</f>
        <v>110</v>
      </c>
      <c r="K5" s="321">
        <f>J4*0.1</f>
        <v>10</v>
      </c>
      <c r="L5" s="320"/>
      <c r="M5" s="322" t="s">
        <v>34</v>
      </c>
      <c r="N5" s="319">
        <f>N4*1.1</f>
        <v>110</v>
      </c>
      <c r="O5" s="319">
        <f>N4*0.1</f>
        <v>10</v>
      </c>
      <c r="Q5" s="322" t="s">
        <v>34</v>
      </c>
      <c r="R5" s="319">
        <f>R4*1.1</f>
        <v>0</v>
      </c>
      <c r="S5" s="319">
        <f>R4*0.1</f>
        <v>0</v>
      </c>
      <c r="U5" s="322" t="s">
        <v>34</v>
      </c>
      <c r="V5" s="319">
        <f>V4*1.1</f>
        <v>110</v>
      </c>
      <c r="W5" s="319">
        <f>V4*0.1</f>
        <v>10</v>
      </c>
      <c r="Y5" s="322" t="s">
        <v>34</v>
      </c>
      <c r="Z5" s="319">
        <f>Z4*1.1</f>
        <v>110</v>
      </c>
      <c r="AA5" s="319">
        <f>Z4*0.1</f>
        <v>10</v>
      </c>
      <c r="AC5" s="322" t="s">
        <v>34</v>
      </c>
      <c r="AD5" s="319">
        <f>AD4*1.1</f>
        <v>110</v>
      </c>
      <c r="AE5" s="319">
        <f>AD4*0.1</f>
        <v>10</v>
      </c>
      <c r="AG5" s="322" t="s">
        <v>32</v>
      </c>
      <c r="AH5" s="319">
        <f>AH4*1.1</f>
        <v>0</v>
      </c>
      <c r="AI5" s="319">
        <f>AH4*0.1</f>
        <v>0</v>
      </c>
      <c r="AK5" s="322" t="s">
        <v>32</v>
      </c>
      <c r="AL5" s="319">
        <f>AL4*1.1</f>
        <v>0</v>
      </c>
      <c r="AM5" s="319">
        <f>AL4*0.1</f>
        <v>0</v>
      </c>
      <c r="AO5" s="322" t="s">
        <v>32</v>
      </c>
      <c r="AP5" s="319">
        <f>AP4*1.1</f>
        <v>0</v>
      </c>
      <c r="AQ5" s="319">
        <f>AP4*0.1</f>
        <v>0</v>
      </c>
      <c r="AS5" s="322" t="s">
        <v>32</v>
      </c>
      <c r="AT5" s="319">
        <f>AT4*1.1</f>
        <v>0</v>
      </c>
      <c r="AU5" s="319">
        <f>AT4*0.1</f>
        <v>0</v>
      </c>
      <c r="AW5" s="322" t="s">
        <v>32</v>
      </c>
      <c r="AX5" s="319">
        <f>AX4*1.1</f>
        <v>0</v>
      </c>
      <c r="AY5" s="319">
        <f>AX4*0.1</f>
        <v>0</v>
      </c>
    </row>
    <row r="6" ht="14.25" customHeight="1">
      <c r="E6" s="322" t="s">
        <v>32</v>
      </c>
      <c r="F6" s="319">
        <f t="shared" ref="F6:F14" si="1">F5*1.05</f>
        <v>115.5</v>
      </c>
      <c r="G6" s="319">
        <f t="shared" ref="G6:G14" si="2">F5*0.05</f>
        <v>5.5</v>
      </c>
      <c r="H6" s="320"/>
      <c r="I6" s="322" t="s">
        <v>32</v>
      </c>
      <c r="J6" s="319">
        <f t="shared" ref="J6:J14" si="3">J5*1.05</f>
        <v>115.5</v>
      </c>
      <c r="K6" s="321">
        <f t="shared" ref="K6:K14" si="4">J5*0.05</f>
        <v>5.5</v>
      </c>
      <c r="L6" s="320"/>
      <c r="M6" s="322" t="s">
        <v>32</v>
      </c>
      <c r="N6" s="319">
        <f t="shared" ref="N6:N14" si="5">N5*1.05</f>
        <v>115.5</v>
      </c>
      <c r="O6" s="319">
        <f t="shared" ref="O6:O14" si="6">N5*0.05</f>
        <v>5.5</v>
      </c>
      <c r="Q6" s="322" t="s">
        <v>32</v>
      </c>
      <c r="R6" s="319">
        <f t="shared" ref="R6:R14" si="7">R5*1.05</f>
        <v>0</v>
      </c>
      <c r="S6" s="319">
        <f t="shared" ref="S6:S14" si="8">R5*0.05</f>
        <v>0</v>
      </c>
      <c r="U6" s="322" t="s">
        <v>32</v>
      </c>
      <c r="V6" s="319">
        <f t="shared" ref="V6:V14" si="9">V5*1.05</f>
        <v>115.5</v>
      </c>
      <c r="W6" s="319">
        <f t="shared" ref="W6:W14" si="10">V5*0.05</f>
        <v>5.5</v>
      </c>
      <c r="Y6" s="322" t="s">
        <v>32</v>
      </c>
      <c r="Z6" s="319">
        <f t="shared" ref="Z6:Z14" si="11">Z5*1.05</f>
        <v>115.5</v>
      </c>
      <c r="AA6" s="319">
        <f t="shared" ref="AA6:AA14" si="12">Z5*0.05</f>
        <v>5.5</v>
      </c>
      <c r="AC6" s="322" t="s">
        <v>32</v>
      </c>
      <c r="AD6" s="319">
        <f t="shared" ref="AD6:AD14" si="13">AD5*1.05</f>
        <v>115.5</v>
      </c>
      <c r="AE6" s="319">
        <f t="shared" ref="AE6:AE14" si="14">AD5*0.05</f>
        <v>5.5</v>
      </c>
      <c r="AG6" s="322" t="s">
        <v>35</v>
      </c>
      <c r="AH6" s="319">
        <f t="shared" ref="AH6:AH14" si="15">AH5*1.05</f>
        <v>0</v>
      </c>
      <c r="AI6" s="319">
        <f t="shared" ref="AI6:AI14" si="16">AH5*0.05</f>
        <v>0</v>
      </c>
      <c r="AK6" s="322" t="s">
        <v>35</v>
      </c>
      <c r="AL6" s="319">
        <f t="shared" ref="AL6:AL14" si="17">AL5*1.05</f>
        <v>0</v>
      </c>
      <c r="AM6" s="319">
        <f t="shared" ref="AM6:AM14" si="18">AL5*0.05</f>
        <v>0</v>
      </c>
      <c r="AO6" s="322" t="s">
        <v>35</v>
      </c>
      <c r="AP6" s="319">
        <f t="shared" ref="AP6:AP14" si="19">AP5*1.05</f>
        <v>0</v>
      </c>
      <c r="AQ6" s="319">
        <f t="shared" ref="AQ6:AQ14" si="20">AP5*0.05</f>
        <v>0</v>
      </c>
      <c r="AS6" s="322" t="s">
        <v>35</v>
      </c>
      <c r="AT6" s="319">
        <f t="shared" ref="AT6:AT14" si="21">AT5*1.05</f>
        <v>0</v>
      </c>
      <c r="AU6" s="319">
        <f t="shared" ref="AU6:AU14" si="22">AT5*0.05</f>
        <v>0</v>
      </c>
      <c r="AW6" s="322" t="s">
        <v>35</v>
      </c>
      <c r="AX6" s="319">
        <f t="shared" ref="AX6:AX14" si="23">AX5*1.05</f>
        <v>0</v>
      </c>
      <c r="AY6" s="319">
        <f t="shared" ref="AY6:AY14" si="24">AX5*0.05</f>
        <v>0</v>
      </c>
    </row>
    <row r="7" ht="14.25" customHeight="1">
      <c r="E7" s="322" t="s">
        <v>35</v>
      </c>
      <c r="F7" s="319">
        <f t="shared" si="1"/>
        <v>121.275</v>
      </c>
      <c r="G7" s="319">
        <f t="shared" si="2"/>
        <v>5.775</v>
      </c>
      <c r="H7" s="320"/>
      <c r="I7" s="322" t="s">
        <v>35</v>
      </c>
      <c r="J7" s="319">
        <f t="shared" si="3"/>
        <v>121.275</v>
      </c>
      <c r="K7" s="321">
        <f t="shared" si="4"/>
        <v>5.775</v>
      </c>
      <c r="L7" s="320"/>
      <c r="M7" s="322" t="s">
        <v>35</v>
      </c>
      <c r="N7" s="319">
        <f t="shared" si="5"/>
        <v>121.275</v>
      </c>
      <c r="O7" s="319">
        <f t="shared" si="6"/>
        <v>5.775</v>
      </c>
      <c r="Q7" s="322" t="s">
        <v>35</v>
      </c>
      <c r="R7" s="319">
        <f t="shared" si="7"/>
        <v>0</v>
      </c>
      <c r="S7" s="319">
        <f t="shared" si="8"/>
        <v>0</v>
      </c>
      <c r="U7" s="322" t="s">
        <v>35</v>
      </c>
      <c r="V7" s="319">
        <f t="shared" si="9"/>
        <v>121.275</v>
      </c>
      <c r="W7" s="319">
        <f t="shared" si="10"/>
        <v>5.775</v>
      </c>
      <c r="Y7" s="322" t="s">
        <v>35</v>
      </c>
      <c r="Z7" s="319">
        <f t="shared" si="11"/>
        <v>121.275</v>
      </c>
      <c r="AA7" s="319">
        <f t="shared" si="12"/>
        <v>5.775</v>
      </c>
      <c r="AC7" s="322" t="s">
        <v>35</v>
      </c>
      <c r="AD7" s="319">
        <f t="shared" si="13"/>
        <v>121.275</v>
      </c>
      <c r="AE7" s="319">
        <f t="shared" si="14"/>
        <v>5.775</v>
      </c>
      <c r="AG7" s="322" t="s">
        <v>36</v>
      </c>
      <c r="AH7" s="319">
        <f t="shared" si="15"/>
        <v>0</v>
      </c>
      <c r="AI7" s="319">
        <f t="shared" si="16"/>
        <v>0</v>
      </c>
      <c r="AK7" s="322" t="s">
        <v>36</v>
      </c>
      <c r="AL7" s="319">
        <f t="shared" si="17"/>
        <v>0</v>
      </c>
      <c r="AM7" s="319">
        <f t="shared" si="18"/>
        <v>0</v>
      </c>
      <c r="AO7" s="322" t="s">
        <v>36</v>
      </c>
      <c r="AP7" s="319">
        <f t="shared" si="19"/>
        <v>0</v>
      </c>
      <c r="AQ7" s="319">
        <f t="shared" si="20"/>
        <v>0</v>
      </c>
      <c r="AS7" s="322" t="s">
        <v>36</v>
      </c>
      <c r="AT7" s="319">
        <f t="shared" si="21"/>
        <v>0</v>
      </c>
      <c r="AU7" s="319">
        <f t="shared" si="22"/>
        <v>0</v>
      </c>
      <c r="AW7" s="322" t="s">
        <v>36</v>
      </c>
      <c r="AX7" s="319">
        <f t="shared" si="23"/>
        <v>0</v>
      </c>
      <c r="AY7" s="319">
        <f t="shared" si="24"/>
        <v>0</v>
      </c>
    </row>
    <row r="8" ht="14.25" customHeight="1">
      <c r="E8" s="322" t="s">
        <v>36</v>
      </c>
      <c r="F8" s="319">
        <f t="shared" si="1"/>
        <v>127.33875</v>
      </c>
      <c r="G8" s="319">
        <f t="shared" si="2"/>
        <v>6.06375</v>
      </c>
      <c r="H8" s="320"/>
      <c r="I8" s="322" t="s">
        <v>36</v>
      </c>
      <c r="J8" s="319">
        <f t="shared" si="3"/>
        <v>127.33875</v>
      </c>
      <c r="K8" s="321">
        <f t="shared" si="4"/>
        <v>6.06375</v>
      </c>
      <c r="L8" s="320"/>
      <c r="M8" s="322" t="s">
        <v>36</v>
      </c>
      <c r="N8" s="319">
        <f t="shared" si="5"/>
        <v>127.33875</v>
      </c>
      <c r="O8" s="319">
        <f t="shared" si="6"/>
        <v>6.06375</v>
      </c>
      <c r="Q8" s="322" t="s">
        <v>36</v>
      </c>
      <c r="R8" s="319">
        <f t="shared" si="7"/>
        <v>0</v>
      </c>
      <c r="S8" s="319">
        <f t="shared" si="8"/>
        <v>0</v>
      </c>
      <c r="U8" s="322" t="s">
        <v>36</v>
      </c>
      <c r="V8" s="319">
        <f t="shared" si="9"/>
        <v>127.33875</v>
      </c>
      <c r="W8" s="319">
        <f t="shared" si="10"/>
        <v>6.06375</v>
      </c>
      <c r="Y8" s="322" t="s">
        <v>36</v>
      </c>
      <c r="Z8" s="319">
        <f t="shared" si="11"/>
        <v>127.33875</v>
      </c>
      <c r="AA8" s="319">
        <f t="shared" si="12"/>
        <v>6.06375</v>
      </c>
      <c r="AC8" s="322" t="s">
        <v>36</v>
      </c>
      <c r="AD8" s="319">
        <f t="shared" si="13"/>
        <v>127.33875</v>
      </c>
      <c r="AE8" s="319">
        <f t="shared" si="14"/>
        <v>6.06375</v>
      </c>
      <c r="AG8" s="322" t="s">
        <v>37</v>
      </c>
      <c r="AH8" s="319">
        <f t="shared" si="15"/>
        <v>0</v>
      </c>
      <c r="AI8" s="319">
        <f t="shared" si="16"/>
        <v>0</v>
      </c>
      <c r="AK8" s="322" t="s">
        <v>37</v>
      </c>
      <c r="AL8" s="319">
        <f t="shared" si="17"/>
        <v>0</v>
      </c>
      <c r="AM8" s="319">
        <f t="shared" si="18"/>
        <v>0</v>
      </c>
      <c r="AO8" s="322" t="s">
        <v>37</v>
      </c>
      <c r="AP8" s="319">
        <f t="shared" si="19"/>
        <v>0</v>
      </c>
      <c r="AQ8" s="319">
        <f t="shared" si="20"/>
        <v>0</v>
      </c>
      <c r="AS8" s="322" t="s">
        <v>37</v>
      </c>
      <c r="AT8" s="319">
        <f t="shared" si="21"/>
        <v>0</v>
      </c>
      <c r="AU8" s="319">
        <f t="shared" si="22"/>
        <v>0</v>
      </c>
      <c r="AW8" s="322" t="s">
        <v>37</v>
      </c>
      <c r="AX8" s="319">
        <f t="shared" si="23"/>
        <v>0</v>
      </c>
      <c r="AY8" s="319">
        <f t="shared" si="24"/>
        <v>0</v>
      </c>
    </row>
    <row r="9" ht="14.25" customHeight="1">
      <c r="E9" s="322" t="s">
        <v>37</v>
      </c>
      <c r="F9" s="319">
        <f t="shared" si="1"/>
        <v>133.7056875</v>
      </c>
      <c r="G9" s="319">
        <f t="shared" si="2"/>
        <v>6.3669375</v>
      </c>
      <c r="H9" s="320"/>
      <c r="I9" s="322" t="s">
        <v>37</v>
      </c>
      <c r="J9" s="319">
        <f t="shared" si="3"/>
        <v>133.7056875</v>
      </c>
      <c r="K9" s="321">
        <f t="shared" si="4"/>
        <v>6.3669375</v>
      </c>
      <c r="L9" s="320"/>
      <c r="M9" s="322" t="s">
        <v>37</v>
      </c>
      <c r="N9" s="319">
        <f t="shared" si="5"/>
        <v>133.7056875</v>
      </c>
      <c r="O9" s="319">
        <f t="shared" si="6"/>
        <v>6.3669375</v>
      </c>
      <c r="Q9" s="322" t="s">
        <v>37</v>
      </c>
      <c r="R9" s="319">
        <f t="shared" si="7"/>
        <v>0</v>
      </c>
      <c r="S9" s="319">
        <f t="shared" si="8"/>
        <v>0</v>
      </c>
      <c r="U9" s="322" t="s">
        <v>37</v>
      </c>
      <c r="V9" s="319">
        <f t="shared" si="9"/>
        <v>133.7056875</v>
      </c>
      <c r="W9" s="319">
        <f t="shared" si="10"/>
        <v>6.3669375</v>
      </c>
      <c r="Y9" s="322" t="s">
        <v>37</v>
      </c>
      <c r="Z9" s="319">
        <f t="shared" si="11"/>
        <v>133.7056875</v>
      </c>
      <c r="AA9" s="319">
        <f t="shared" si="12"/>
        <v>6.3669375</v>
      </c>
      <c r="AC9" s="322" t="s">
        <v>37</v>
      </c>
      <c r="AD9" s="319">
        <f t="shared" si="13"/>
        <v>133.7056875</v>
      </c>
      <c r="AE9" s="319">
        <f t="shared" si="14"/>
        <v>6.3669375</v>
      </c>
      <c r="AG9" s="322" t="s">
        <v>38</v>
      </c>
      <c r="AH9" s="319">
        <f t="shared" si="15"/>
        <v>0</v>
      </c>
      <c r="AI9" s="319">
        <f t="shared" si="16"/>
        <v>0</v>
      </c>
      <c r="AK9" s="322" t="s">
        <v>38</v>
      </c>
      <c r="AL9" s="319">
        <f t="shared" si="17"/>
        <v>0</v>
      </c>
      <c r="AM9" s="319">
        <f t="shared" si="18"/>
        <v>0</v>
      </c>
      <c r="AO9" s="322" t="s">
        <v>38</v>
      </c>
      <c r="AP9" s="319">
        <f t="shared" si="19"/>
        <v>0</v>
      </c>
      <c r="AQ9" s="319">
        <f t="shared" si="20"/>
        <v>0</v>
      </c>
      <c r="AS9" s="322" t="s">
        <v>38</v>
      </c>
      <c r="AT9" s="319">
        <f t="shared" si="21"/>
        <v>0</v>
      </c>
      <c r="AU9" s="319">
        <f t="shared" si="22"/>
        <v>0</v>
      </c>
      <c r="AW9" s="322" t="s">
        <v>38</v>
      </c>
      <c r="AX9" s="319">
        <f t="shared" si="23"/>
        <v>0</v>
      </c>
      <c r="AY9" s="319">
        <f t="shared" si="24"/>
        <v>0</v>
      </c>
    </row>
    <row r="10" ht="14.25" customHeight="1">
      <c r="E10" s="322" t="s">
        <v>38</v>
      </c>
      <c r="F10" s="319">
        <f t="shared" si="1"/>
        <v>140.3909719</v>
      </c>
      <c r="G10" s="319">
        <f t="shared" si="2"/>
        <v>6.685284375</v>
      </c>
      <c r="H10" s="320"/>
      <c r="I10" s="322" t="s">
        <v>38</v>
      </c>
      <c r="J10" s="319">
        <f t="shared" si="3"/>
        <v>140.3909719</v>
      </c>
      <c r="K10" s="321">
        <f t="shared" si="4"/>
        <v>6.685284375</v>
      </c>
      <c r="L10" s="320"/>
      <c r="M10" s="322" t="s">
        <v>38</v>
      </c>
      <c r="N10" s="319">
        <f t="shared" si="5"/>
        <v>140.3909719</v>
      </c>
      <c r="O10" s="319">
        <f t="shared" si="6"/>
        <v>6.685284375</v>
      </c>
      <c r="Q10" s="322" t="s">
        <v>38</v>
      </c>
      <c r="R10" s="319">
        <f t="shared" si="7"/>
        <v>0</v>
      </c>
      <c r="S10" s="319">
        <f t="shared" si="8"/>
        <v>0</v>
      </c>
      <c r="U10" s="322" t="s">
        <v>38</v>
      </c>
      <c r="V10" s="319">
        <f t="shared" si="9"/>
        <v>140.3909719</v>
      </c>
      <c r="W10" s="319">
        <f t="shared" si="10"/>
        <v>6.685284375</v>
      </c>
      <c r="Y10" s="322" t="s">
        <v>38</v>
      </c>
      <c r="Z10" s="319">
        <f t="shared" si="11"/>
        <v>140.3909719</v>
      </c>
      <c r="AA10" s="319">
        <f t="shared" si="12"/>
        <v>6.685284375</v>
      </c>
      <c r="AC10" s="322" t="s">
        <v>38</v>
      </c>
      <c r="AD10" s="319">
        <f t="shared" si="13"/>
        <v>140.3909719</v>
      </c>
      <c r="AE10" s="319">
        <f t="shared" si="14"/>
        <v>6.685284375</v>
      </c>
      <c r="AG10" s="322" t="s">
        <v>39</v>
      </c>
      <c r="AH10" s="319">
        <f t="shared" si="15"/>
        <v>0</v>
      </c>
      <c r="AI10" s="319">
        <f t="shared" si="16"/>
        <v>0</v>
      </c>
      <c r="AK10" s="322" t="s">
        <v>39</v>
      </c>
      <c r="AL10" s="319">
        <f t="shared" si="17"/>
        <v>0</v>
      </c>
      <c r="AM10" s="319">
        <f t="shared" si="18"/>
        <v>0</v>
      </c>
      <c r="AO10" s="322" t="s">
        <v>39</v>
      </c>
      <c r="AP10" s="319">
        <f t="shared" si="19"/>
        <v>0</v>
      </c>
      <c r="AQ10" s="319">
        <f t="shared" si="20"/>
        <v>0</v>
      </c>
      <c r="AS10" s="322" t="s">
        <v>39</v>
      </c>
      <c r="AT10" s="319">
        <f t="shared" si="21"/>
        <v>0</v>
      </c>
      <c r="AU10" s="319">
        <f t="shared" si="22"/>
        <v>0</v>
      </c>
      <c r="AW10" s="322" t="s">
        <v>39</v>
      </c>
      <c r="AX10" s="319">
        <f t="shared" si="23"/>
        <v>0</v>
      </c>
      <c r="AY10" s="319">
        <f t="shared" si="24"/>
        <v>0</v>
      </c>
    </row>
    <row r="11" ht="14.25" customHeight="1">
      <c r="E11" s="322" t="s">
        <v>39</v>
      </c>
      <c r="F11" s="319">
        <f t="shared" si="1"/>
        <v>147.4105205</v>
      </c>
      <c r="G11" s="319">
        <f t="shared" si="2"/>
        <v>7.019548594</v>
      </c>
      <c r="H11" s="320"/>
      <c r="I11" s="322" t="s">
        <v>39</v>
      </c>
      <c r="J11" s="319">
        <f t="shared" si="3"/>
        <v>147.4105205</v>
      </c>
      <c r="K11" s="321">
        <f t="shared" si="4"/>
        <v>7.019548594</v>
      </c>
      <c r="L11" s="320"/>
      <c r="M11" s="322" t="s">
        <v>39</v>
      </c>
      <c r="N11" s="319">
        <f t="shared" si="5"/>
        <v>147.4105205</v>
      </c>
      <c r="O11" s="319">
        <f t="shared" si="6"/>
        <v>7.019548594</v>
      </c>
      <c r="Q11" s="322" t="s">
        <v>39</v>
      </c>
      <c r="R11" s="319">
        <f t="shared" si="7"/>
        <v>0</v>
      </c>
      <c r="S11" s="319">
        <f t="shared" si="8"/>
        <v>0</v>
      </c>
      <c r="U11" s="322" t="s">
        <v>39</v>
      </c>
      <c r="V11" s="319">
        <f t="shared" si="9"/>
        <v>147.4105205</v>
      </c>
      <c r="W11" s="319">
        <f t="shared" si="10"/>
        <v>7.019548594</v>
      </c>
      <c r="Y11" s="322" t="s">
        <v>39</v>
      </c>
      <c r="Z11" s="319">
        <f t="shared" si="11"/>
        <v>147.4105205</v>
      </c>
      <c r="AA11" s="319">
        <f t="shared" si="12"/>
        <v>7.019548594</v>
      </c>
      <c r="AC11" s="322" t="s">
        <v>39</v>
      </c>
      <c r="AD11" s="319">
        <f t="shared" si="13"/>
        <v>147.4105205</v>
      </c>
      <c r="AE11" s="319">
        <f t="shared" si="14"/>
        <v>7.019548594</v>
      </c>
      <c r="AG11" s="322" t="s">
        <v>40</v>
      </c>
      <c r="AH11" s="319">
        <f t="shared" si="15"/>
        <v>0</v>
      </c>
      <c r="AI11" s="319">
        <f t="shared" si="16"/>
        <v>0</v>
      </c>
      <c r="AK11" s="322" t="s">
        <v>40</v>
      </c>
      <c r="AL11" s="319">
        <f t="shared" si="17"/>
        <v>0</v>
      </c>
      <c r="AM11" s="319">
        <f t="shared" si="18"/>
        <v>0</v>
      </c>
      <c r="AO11" s="322" t="s">
        <v>40</v>
      </c>
      <c r="AP11" s="319">
        <f t="shared" si="19"/>
        <v>0</v>
      </c>
      <c r="AQ11" s="319">
        <f t="shared" si="20"/>
        <v>0</v>
      </c>
      <c r="AS11" s="322" t="s">
        <v>40</v>
      </c>
      <c r="AT11" s="319">
        <f t="shared" si="21"/>
        <v>0</v>
      </c>
      <c r="AU11" s="319">
        <f t="shared" si="22"/>
        <v>0</v>
      </c>
      <c r="AW11" s="322" t="s">
        <v>40</v>
      </c>
      <c r="AX11" s="319">
        <f t="shared" si="23"/>
        <v>0</v>
      </c>
      <c r="AY11" s="319">
        <f t="shared" si="24"/>
        <v>0</v>
      </c>
    </row>
    <row r="12" ht="14.25" customHeight="1">
      <c r="E12" s="322" t="s">
        <v>40</v>
      </c>
      <c r="F12" s="319">
        <f t="shared" si="1"/>
        <v>154.7810465</v>
      </c>
      <c r="G12" s="319">
        <f t="shared" si="2"/>
        <v>7.370526023</v>
      </c>
      <c r="H12" s="320"/>
      <c r="I12" s="322" t="s">
        <v>40</v>
      </c>
      <c r="J12" s="319">
        <f t="shared" si="3"/>
        <v>154.7810465</v>
      </c>
      <c r="K12" s="321">
        <f t="shared" si="4"/>
        <v>7.370526023</v>
      </c>
      <c r="L12" s="320"/>
      <c r="M12" s="322" t="s">
        <v>40</v>
      </c>
      <c r="N12" s="319">
        <f t="shared" si="5"/>
        <v>154.7810465</v>
      </c>
      <c r="O12" s="319">
        <f t="shared" si="6"/>
        <v>7.370526023</v>
      </c>
      <c r="Q12" s="322" t="s">
        <v>40</v>
      </c>
      <c r="R12" s="319">
        <f t="shared" si="7"/>
        <v>0</v>
      </c>
      <c r="S12" s="319">
        <f t="shared" si="8"/>
        <v>0</v>
      </c>
      <c r="U12" s="322" t="s">
        <v>40</v>
      </c>
      <c r="V12" s="319">
        <f t="shared" si="9"/>
        <v>154.7810465</v>
      </c>
      <c r="W12" s="319">
        <f t="shared" si="10"/>
        <v>7.370526023</v>
      </c>
      <c r="Y12" s="322" t="s">
        <v>40</v>
      </c>
      <c r="Z12" s="319">
        <f t="shared" si="11"/>
        <v>154.7810465</v>
      </c>
      <c r="AA12" s="319">
        <f t="shared" si="12"/>
        <v>7.370526023</v>
      </c>
      <c r="AC12" s="322" t="s">
        <v>40</v>
      </c>
      <c r="AD12" s="319">
        <f t="shared" si="13"/>
        <v>154.7810465</v>
      </c>
      <c r="AE12" s="319">
        <f t="shared" si="14"/>
        <v>7.370526023</v>
      </c>
      <c r="AG12" s="322" t="s">
        <v>41</v>
      </c>
      <c r="AH12" s="319">
        <f t="shared" si="15"/>
        <v>0</v>
      </c>
      <c r="AI12" s="319">
        <f t="shared" si="16"/>
        <v>0</v>
      </c>
      <c r="AK12" s="322" t="s">
        <v>41</v>
      </c>
      <c r="AL12" s="319">
        <f t="shared" si="17"/>
        <v>0</v>
      </c>
      <c r="AM12" s="319">
        <f t="shared" si="18"/>
        <v>0</v>
      </c>
      <c r="AO12" s="322" t="s">
        <v>41</v>
      </c>
      <c r="AP12" s="319">
        <f t="shared" si="19"/>
        <v>0</v>
      </c>
      <c r="AQ12" s="319">
        <f t="shared" si="20"/>
        <v>0</v>
      </c>
      <c r="AS12" s="322" t="s">
        <v>41</v>
      </c>
      <c r="AT12" s="319">
        <f t="shared" si="21"/>
        <v>0</v>
      </c>
      <c r="AU12" s="319">
        <f t="shared" si="22"/>
        <v>0</v>
      </c>
      <c r="AW12" s="322" t="s">
        <v>41</v>
      </c>
      <c r="AX12" s="319">
        <f t="shared" si="23"/>
        <v>0</v>
      </c>
      <c r="AY12" s="319">
        <f t="shared" si="24"/>
        <v>0</v>
      </c>
    </row>
    <row r="13" ht="14.25" customHeight="1">
      <c r="E13" s="322" t="s">
        <v>41</v>
      </c>
      <c r="F13" s="319">
        <f t="shared" si="1"/>
        <v>162.5200988</v>
      </c>
      <c r="G13" s="319">
        <f t="shared" si="2"/>
        <v>7.739052325</v>
      </c>
      <c r="H13" s="320"/>
      <c r="I13" s="322" t="s">
        <v>41</v>
      </c>
      <c r="J13" s="319">
        <f t="shared" si="3"/>
        <v>162.5200988</v>
      </c>
      <c r="K13" s="321">
        <f t="shared" si="4"/>
        <v>7.739052325</v>
      </c>
      <c r="L13" s="320"/>
      <c r="M13" s="322" t="s">
        <v>41</v>
      </c>
      <c r="N13" s="319">
        <f t="shared" si="5"/>
        <v>162.5200988</v>
      </c>
      <c r="O13" s="319">
        <f t="shared" si="6"/>
        <v>7.739052325</v>
      </c>
      <c r="Q13" s="322" t="s">
        <v>41</v>
      </c>
      <c r="R13" s="319">
        <f t="shared" si="7"/>
        <v>0</v>
      </c>
      <c r="S13" s="319">
        <f t="shared" si="8"/>
        <v>0</v>
      </c>
      <c r="U13" s="322" t="s">
        <v>41</v>
      </c>
      <c r="V13" s="319">
        <f t="shared" si="9"/>
        <v>162.5200988</v>
      </c>
      <c r="W13" s="319">
        <f t="shared" si="10"/>
        <v>7.739052325</v>
      </c>
      <c r="Y13" s="322" t="s">
        <v>41</v>
      </c>
      <c r="Z13" s="319">
        <f t="shared" si="11"/>
        <v>162.5200988</v>
      </c>
      <c r="AA13" s="319">
        <f t="shared" si="12"/>
        <v>7.739052325</v>
      </c>
      <c r="AC13" s="322" t="s">
        <v>41</v>
      </c>
      <c r="AD13" s="319">
        <f t="shared" si="13"/>
        <v>162.5200988</v>
      </c>
      <c r="AE13" s="319">
        <f t="shared" si="14"/>
        <v>7.739052325</v>
      </c>
      <c r="AG13" s="322" t="s">
        <v>42</v>
      </c>
      <c r="AH13" s="319">
        <f t="shared" si="15"/>
        <v>0</v>
      </c>
      <c r="AI13" s="319">
        <f t="shared" si="16"/>
        <v>0</v>
      </c>
      <c r="AK13" s="322" t="s">
        <v>42</v>
      </c>
      <c r="AL13" s="319">
        <f t="shared" si="17"/>
        <v>0</v>
      </c>
      <c r="AM13" s="319">
        <f t="shared" si="18"/>
        <v>0</v>
      </c>
      <c r="AO13" s="322" t="s">
        <v>42</v>
      </c>
      <c r="AP13" s="319">
        <f t="shared" si="19"/>
        <v>0</v>
      </c>
      <c r="AQ13" s="319">
        <f t="shared" si="20"/>
        <v>0</v>
      </c>
      <c r="AS13" s="322" t="s">
        <v>42</v>
      </c>
      <c r="AT13" s="319">
        <f t="shared" si="21"/>
        <v>0</v>
      </c>
      <c r="AU13" s="319">
        <f t="shared" si="22"/>
        <v>0</v>
      </c>
      <c r="AW13" s="322" t="s">
        <v>42</v>
      </c>
      <c r="AX13" s="319">
        <f t="shared" si="23"/>
        <v>0</v>
      </c>
      <c r="AY13" s="319">
        <f t="shared" si="24"/>
        <v>0</v>
      </c>
    </row>
    <row r="14" ht="14.25" customHeight="1">
      <c r="E14" s="322" t="s">
        <v>42</v>
      </c>
      <c r="F14" s="319">
        <f t="shared" si="1"/>
        <v>170.6461038</v>
      </c>
      <c r="G14" s="319">
        <f t="shared" si="2"/>
        <v>8.126004941</v>
      </c>
      <c r="H14" s="320"/>
      <c r="I14" s="322" t="s">
        <v>42</v>
      </c>
      <c r="J14" s="319">
        <f t="shared" si="3"/>
        <v>170.6461038</v>
      </c>
      <c r="K14" s="321">
        <f t="shared" si="4"/>
        <v>8.126004941</v>
      </c>
      <c r="L14" s="320"/>
      <c r="M14" s="322" t="s">
        <v>42</v>
      </c>
      <c r="N14" s="319">
        <f t="shared" si="5"/>
        <v>170.6461038</v>
      </c>
      <c r="O14" s="319">
        <f t="shared" si="6"/>
        <v>8.126004941</v>
      </c>
      <c r="Q14" s="322" t="s">
        <v>42</v>
      </c>
      <c r="R14" s="319">
        <f t="shared" si="7"/>
        <v>0</v>
      </c>
      <c r="S14" s="319">
        <f t="shared" si="8"/>
        <v>0</v>
      </c>
      <c r="U14" s="322" t="s">
        <v>42</v>
      </c>
      <c r="V14" s="319">
        <f t="shared" si="9"/>
        <v>170.6461038</v>
      </c>
      <c r="W14" s="319">
        <f t="shared" si="10"/>
        <v>8.126004941</v>
      </c>
      <c r="Y14" s="322" t="s">
        <v>42</v>
      </c>
      <c r="Z14" s="319">
        <f t="shared" si="11"/>
        <v>170.6461038</v>
      </c>
      <c r="AA14" s="319">
        <f t="shared" si="12"/>
        <v>8.126004941</v>
      </c>
      <c r="AC14" s="322" t="s">
        <v>42</v>
      </c>
      <c r="AD14" s="319">
        <f t="shared" si="13"/>
        <v>170.6461038</v>
      </c>
      <c r="AE14" s="319">
        <f t="shared" si="14"/>
        <v>8.126004941</v>
      </c>
      <c r="AG14" s="322" t="s">
        <v>43</v>
      </c>
      <c r="AH14" s="319">
        <f t="shared" si="15"/>
        <v>0</v>
      </c>
      <c r="AI14" s="319">
        <f t="shared" si="16"/>
        <v>0</v>
      </c>
      <c r="AK14" s="322" t="s">
        <v>43</v>
      </c>
      <c r="AL14" s="319">
        <f t="shared" si="17"/>
        <v>0</v>
      </c>
      <c r="AM14" s="319">
        <f t="shared" si="18"/>
        <v>0</v>
      </c>
      <c r="AO14" s="322" t="s">
        <v>43</v>
      </c>
      <c r="AP14" s="319">
        <f t="shared" si="19"/>
        <v>0</v>
      </c>
      <c r="AQ14" s="319">
        <f t="shared" si="20"/>
        <v>0</v>
      </c>
      <c r="AS14" s="322" t="s">
        <v>43</v>
      </c>
      <c r="AT14" s="319">
        <f t="shared" si="21"/>
        <v>0</v>
      </c>
      <c r="AU14" s="319">
        <f t="shared" si="22"/>
        <v>0</v>
      </c>
      <c r="AW14" s="322" t="s">
        <v>43</v>
      </c>
      <c r="AX14" s="319">
        <f t="shared" si="23"/>
        <v>0</v>
      </c>
      <c r="AY14" s="319">
        <f t="shared" si="24"/>
        <v>0</v>
      </c>
    </row>
    <row r="15" ht="14.25" customHeight="1">
      <c r="E15" s="312"/>
      <c r="F15" s="314"/>
      <c r="G15" s="317"/>
      <c r="H15" s="315"/>
      <c r="I15" s="316"/>
      <c r="J15" s="314"/>
      <c r="K15" s="317"/>
      <c r="L15" s="315"/>
      <c r="M15" s="316"/>
      <c r="N15" s="314"/>
      <c r="O15" s="314"/>
      <c r="Q15" s="312"/>
      <c r="R15" s="314"/>
      <c r="S15" s="314"/>
      <c r="U15" s="312"/>
      <c r="V15" s="314"/>
      <c r="W15" s="314"/>
      <c r="Y15" s="312"/>
      <c r="Z15" s="314"/>
      <c r="AA15" s="314"/>
      <c r="AC15" s="312"/>
      <c r="AD15" s="314"/>
      <c r="AE15" s="314"/>
      <c r="AG15" s="312"/>
      <c r="AH15" s="314"/>
      <c r="AI15" s="314"/>
      <c r="AK15" s="312"/>
      <c r="AL15" s="314"/>
      <c r="AM15" s="314"/>
      <c r="AO15" s="312"/>
      <c r="AP15" s="314"/>
      <c r="AQ15" s="314"/>
      <c r="AS15" s="312"/>
      <c r="AT15" s="314"/>
      <c r="AU15" s="314"/>
      <c r="AW15" s="312"/>
      <c r="AX15" s="314"/>
      <c r="AY15" s="314"/>
    </row>
    <row r="16" ht="14.25" customHeight="1">
      <c r="E16" s="322" t="s">
        <v>34</v>
      </c>
      <c r="F16" s="319">
        <f>SHARES!J3</f>
        <v>100</v>
      </c>
      <c r="G16" s="321"/>
      <c r="H16" s="320"/>
      <c r="I16" s="323" t="s">
        <v>32</v>
      </c>
      <c r="J16" s="319">
        <f>SHARES!J4</f>
        <v>100</v>
      </c>
      <c r="K16" s="321"/>
      <c r="L16" s="320"/>
      <c r="M16" s="323" t="s">
        <v>32</v>
      </c>
      <c r="N16" s="319">
        <f>SHARES!J5</f>
        <v>100</v>
      </c>
      <c r="O16" s="319"/>
      <c r="Q16" s="322" t="s">
        <v>32</v>
      </c>
      <c r="R16" s="324">
        <f>SHARES!J6</f>
        <v>100</v>
      </c>
      <c r="S16" s="319"/>
      <c r="U16" s="322" t="s">
        <v>32</v>
      </c>
      <c r="V16" s="319">
        <f>SHARES!J7</f>
        <v>100</v>
      </c>
      <c r="W16" s="319"/>
      <c r="Y16" s="322" t="s">
        <v>32</v>
      </c>
      <c r="Z16" s="319">
        <f>SHARES!J8</f>
        <v>100</v>
      </c>
      <c r="AA16" s="319"/>
      <c r="AC16" s="322" t="s">
        <v>32</v>
      </c>
      <c r="AD16" s="319">
        <f>SHARES!J9</f>
        <v>100</v>
      </c>
      <c r="AE16" s="319"/>
      <c r="AG16" s="322" t="s">
        <v>32</v>
      </c>
      <c r="AH16" s="319">
        <f>SHARES!J10</f>
        <v>0</v>
      </c>
      <c r="AI16" s="319"/>
      <c r="AK16" s="322" t="s">
        <v>32</v>
      </c>
      <c r="AL16" s="319">
        <f>SHARES!J11</f>
        <v>100</v>
      </c>
      <c r="AM16" s="319"/>
      <c r="AO16" s="322" t="s">
        <v>32</v>
      </c>
      <c r="AP16" s="319">
        <f>SHARES!J12</f>
        <v>0</v>
      </c>
      <c r="AQ16" s="319"/>
      <c r="AS16" s="322" t="s">
        <v>32</v>
      </c>
      <c r="AT16" s="319">
        <f>SHARES!J13</f>
        <v>0</v>
      </c>
      <c r="AU16" s="319"/>
      <c r="AW16" s="322" t="s">
        <v>32</v>
      </c>
      <c r="AX16" s="319" t="str">
        <f>SHARES!J14</f>
        <v/>
      </c>
      <c r="AY16" s="319"/>
    </row>
    <row r="17" ht="14.25" customHeight="1">
      <c r="E17" s="322" t="s">
        <v>32</v>
      </c>
      <c r="F17" s="319">
        <f>F16*1.1</f>
        <v>110</v>
      </c>
      <c r="G17" s="321">
        <f>F16*0.1</f>
        <v>10</v>
      </c>
      <c r="H17" s="320"/>
      <c r="I17" s="323" t="s">
        <v>35</v>
      </c>
      <c r="J17" s="319">
        <f>J16*1.1</f>
        <v>110</v>
      </c>
      <c r="K17" s="321">
        <f>J16*0.1</f>
        <v>10</v>
      </c>
      <c r="L17" s="320"/>
      <c r="M17" s="323" t="s">
        <v>35</v>
      </c>
      <c r="N17" s="319">
        <f>N16*1.1</f>
        <v>110</v>
      </c>
      <c r="O17" s="319">
        <f>N16*0.1</f>
        <v>10</v>
      </c>
      <c r="Q17" s="322" t="s">
        <v>35</v>
      </c>
      <c r="R17" s="319">
        <f>R16*1.1</f>
        <v>110</v>
      </c>
      <c r="S17" s="319">
        <f>R16*0.1</f>
        <v>10</v>
      </c>
      <c r="U17" s="322" t="s">
        <v>35</v>
      </c>
      <c r="V17" s="319">
        <f>V16*1.1</f>
        <v>110</v>
      </c>
      <c r="W17" s="319">
        <f>V16*0.1</f>
        <v>10</v>
      </c>
      <c r="Y17" s="322" t="s">
        <v>35</v>
      </c>
      <c r="Z17" s="319">
        <f>Z16*1.1</f>
        <v>110</v>
      </c>
      <c r="AA17" s="319">
        <f>Z16*0.1</f>
        <v>10</v>
      </c>
      <c r="AC17" s="322" t="s">
        <v>35</v>
      </c>
      <c r="AD17" s="319">
        <f>AD16*1.1</f>
        <v>110</v>
      </c>
      <c r="AE17" s="319">
        <f>AD16*0.1</f>
        <v>10</v>
      </c>
      <c r="AG17" s="322" t="s">
        <v>35</v>
      </c>
      <c r="AH17" s="319">
        <f>AH16*1.1</f>
        <v>0</v>
      </c>
      <c r="AI17" s="319">
        <f>AH16*0.1</f>
        <v>0</v>
      </c>
      <c r="AK17" s="322" t="s">
        <v>35</v>
      </c>
      <c r="AL17" s="319">
        <f>AL16*1.1</f>
        <v>110</v>
      </c>
      <c r="AM17" s="319">
        <f>AL16*0.1</f>
        <v>10</v>
      </c>
      <c r="AO17" s="322" t="s">
        <v>35</v>
      </c>
      <c r="AP17" s="319">
        <f>AP16*1.1</f>
        <v>0</v>
      </c>
      <c r="AQ17" s="319">
        <f>AP16*0.1</f>
        <v>0</v>
      </c>
      <c r="AS17" s="322" t="s">
        <v>35</v>
      </c>
      <c r="AT17" s="319">
        <f>AT16*1.1</f>
        <v>0</v>
      </c>
      <c r="AU17" s="319">
        <f>AT16*0.1</f>
        <v>0</v>
      </c>
      <c r="AW17" s="322" t="s">
        <v>35</v>
      </c>
      <c r="AX17" s="319">
        <f>AX16*1.1</f>
        <v>0</v>
      </c>
      <c r="AY17" s="319">
        <f>AX16*0.1</f>
        <v>0</v>
      </c>
    </row>
    <row r="18" ht="14.25" customHeight="1">
      <c r="E18" s="322" t="s">
        <v>35</v>
      </c>
      <c r="F18" s="319">
        <f t="shared" ref="F18:F25" si="25">F17*1.05</f>
        <v>115.5</v>
      </c>
      <c r="G18" s="321">
        <f t="shared" ref="G18:G25" si="26">F17*0.05</f>
        <v>5.5</v>
      </c>
      <c r="H18" s="320"/>
      <c r="I18" s="323" t="s">
        <v>36</v>
      </c>
      <c r="J18" s="319">
        <f t="shared" ref="J18:J25" si="27">J17*1.05</f>
        <v>115.5</v>
      </c>
      <c r="K18" s="321">
        <f t="shared" ref="K18:K25" si="28">J17*0.05</f>
        <v>5.5</v>
      </c>
      <c r="L18" s="320"/>
      <c r="M18" s="323" t="s">
        <v>36</v>
      </c>
      <c r="N18" s="319">
        <f t="shared" ref="N18:N25" si="29">N17*1.05</f>
        <v>115.5</v>
      </c>
      <c r="O18" s="319">
        <f t="shared" ref="O18:O25" si="30">N17*0.05</f>
        <v>5.5</v>
      </c>
      <c r="Q18" s="322" t="s">
        <v>36</v>
      </c>
      <c r="R18" s="319">
        <f t="shared" ref="R18:R25" si="31">R17*1.05</f>
        <v>115.5</v>
      </c>
      <c r="S18" s="319">
        <f t="shared" ref="S18:S25" si="32">R17*0.05</f>
        <v>5.5</v>
      </c>
      <c r="U18" s="322" t="s">
        <v>36</v>
      </c>
      <c r="V18" s="319">
        <f t="shared" ref="V18:V25" si="33">V17*1.05</f>
        <v>115.5</v>
      </c>
      <c r="W18" s="319">
        <f t="shared" ref="W18:W25" si="34">V17*0.05</f>
        <v>5.5</v>
      </c>
      <c r="Y18" s="322" t="s">
        <v>36</v>
      </c>
      <c r="Z18" s="319">
        <f t="shared" ref="Z18:Z25" si="35">Z17*1.05</f>
        <v>115.5</v>
      </c>
      <c r="AA18" s="319">
        <f t="shared" ref="AA18:AA25" si="36">Z17*0.05</f>
        <v>5.5</v>
      </c>
      <c r="AC18" s="322" t="s">
        <v>36</v>
      </c>
      <c r="AD18" s="319">
        <f t="shared" ref="AD18:AD25" si="37">AD17*1.05</f>
        <v>115.5</v>
      </c>
      <c r="AE18" s="319">
        <f t="shared" ref="AE18:AE25" si="38">AD17*0.05</f>
        <v>5.5</v>
      </c>
      <c r="AG18" s="322" t="s">
        <v>36</v>
      </c>
      <c r="AH18" s="319">
        <f t="shared" ref="AH18:AH25" si="39">AH17*1.05</f>
        <v>0</v>
      </c>
      <c r="AI18" s="319">
        <f t="shared" ref="AI18:AI25" si="40">AH17*0.05</f>
        <v>0</v>
      </c>
      <c r="AK18" s="322" t="s">
        <v>36</v>
      </c>
      <c r="AL18" s="319">
        <f t="shared" ref="AL18:AL25" si="41">AL17*1.05</f>
        <v>115.5</v>
      </c>
      <c r="AM18" s="319">
        <f t="shared" ref="AM18:AM25" si="42">AL17*0.05</f>
        <v>5.5</v>
      </c>
      <c r="AO18" s="322" t="s">
        <v>36</v>
      </c>
      <c r="AP18" s="319">
        <f t="shared" ref="AP18:AP25" si="43">AP17*1.05</f>
        <v>0</v>
      </c>
      <c r="AQ18" s="319">
        <f t="shared" ref="AQ18:AQ25" si="44">AP17*0.05</f>
        <v>0</v>
      </c>
      <c r="AS18" s="322" t="s">
        <v>36</v>
      </c>
      <c r="AT18" s="319">
        <f t="shared" ref="AT18:AT25" si="45">AT17*1.05</f>
        <v>0</v>
      </c>
      <c r="AU18" s="319">
        <f t="shared" ref="AU18:AU25" si="46">AT17*0.05</f>
        <v>0</v>
      </c>
      <c r="AW18" s="322" t="s">
        <v>36</v>
      </c>
      <c r="AX18" s="319">
        <f t="shared" ref="AX18:AX25" si="47">AX17*1.05</f>
        <v>0</v>
      </c>
      <c r="AY18" s="319">
        <f t="shared" ref="AY18:AY25" si="48">AX17*0.05</f>
        <v>0</v>
      </c>
    </row>
    <row r="19" ht="14.25" customHeight="1">
      <c r="E19" s="322" t="s">
        <v>36</v>
      </c>
      <c r="F19" s="319">
        <f t="shared" si="25"/>
        <v>121.275</v>
      </c>
      <c r="G19" s="321">
        <f t="shared" si="26"/>
        <v>5.775</v>
      </c>
      <c r="H19" s="320"/>
      <c r="I19" s="323" t="s">
        <v>37</v>
      </c>
      <c r="J19" s="319">
        <f t="shared" si="27"/>
        <v>121.275</v>
      </c>
      <c r="K19" s="321">
        <f t="shared" si="28"/>
        <v>5.775</v>
      </c>
      <c r="L19" s="320"/>
      <c r="M19" s="323" t="s">
        <v>37</v>
      </c>
      <c r="N19" s="319">
        <f t="shared" si="29"/>
        <v>121.275</v>
      </c>
      <c r="O19" s="319">
        <f t="shared" si="30"/>
        <v>5.775</v>
      </c>
      <c r="Q19" s="322" t="s">
        <v>37</v>
      </c>
      <c r="R19" s="319">
        <f t="shared" si="31"/>
        <v>121.275</v>
      </c>
      <c r="S19" s="319">
        <f t="shared" si="32"/>
        <v>5.775</v>
      </c>
      <c r="U19" s="322" t="s">
        <v>37</v>
      </c>
      <c r="V19" s="319">
        <f t="shared" si="33"/>
        <v>121.275</v>
      </c>
      <c r="W19" s="319">
        <f t="shared" si="34"/>
        <v>5.775</v>
      </c>
      <c r="Y19" s="322" t="s">
        <v>37</v>
      </c>
      <c r="Z19" s="319">
        <f t="shared" si="35"/>
        <v>121.275</v>
      </c>
      <c r="AA19" s="319">
        <f t="shared" si="36"/>
        <v>5.775</v>
      </c>
      <c r="AC19" s="322" t="s">
        <v>37</v>
      </c>
      <c r="AD19" s="319">
        <f t="shared" si="37"/>
        <v>121.275</v>
      </c>
      <c r="AE19" s="319">
        <f t="shared" si="38"/>
        <v>5.775</v>
      </c>
      <c r="AG19" s="322" t="s">
        <v>37</v>
      </c>
      <c r="AH19" s="319">
        <f t="shared" si="39"/>
        <v>0</v>
      </c>
      <c r="AI19" s="319">
        <f t="shared" si="40"/>
        <v>0</v>
      </c>
      <c r="AK19" s="322" t="s">
        <v>37</v>
      </c>
      <c r="AL19" s="319">
        <f t="shared" si="41"/>
        <v>121.275</v>
      </c>
      <c r="AM19" s="319">
        <f t="shared" si="42"/>
        <v>5.775</v>
      </c>
      <c r="AO19" s="322" t="s">
        <v>37</v>
      </c>
      <c r="AP19" s="319">
        <f t="shared" si="43"/>
        <v>0</v>
      </c>
      <c r="AQ19" s="319">
        <f t="shared" si="44"/>
        <v>0</v>
      </c>
      <c r="AS19" s="322" t="s">
        <v>37</v>
      </c>
      <c r="AT19" s="319">
        <f t="shared" si="45"/>
        <v>0</v>
      </c>
      <c r="AU19" s="319">
        <f t="shared" si="46"/>
        <v>0</v>
      </c>
      <c r="AW19" s="322" t="s">
        <v>37</v>
      </c>
      <c r="AX19" s="319">
        <f t="shared" si="47"/>
        <v>0</v>
      </c>
      <c r="AY19" s="319">
        <f t="shared" si="48"/>
        <v>0</v>
      </c>
    </row>
    <row r="20" ht="14.25" customHeight="1">
      <c r="E20" s="322" t="s">
        <v>37</v>
      </c>
      <c r="F20" s="319">
        <f t="shared" si="25"/>
        <v>127.33875</v>
      </c>
      <c r="G20" s="321">
        <f t="shared" si="26"/>
        <v>6.06375</v>
      </c>
      <c r="H20" s="320"/>
      <c r="I20" s="323" t="s">
        <v>38</v>
      </c>
      <c r="J20" s="319">
        <f t="shared" si="27"/>
        <v>127.33875</v>
      </c>
      <c r="K20" s="321">
        <f t="shared" si="28"/>
        <v>6.06375</v>
      </c>
      <c r="L20" s="320"/>
      <c r="M20" s="323" t="s">
        <v>38</v>
      </c>
      <c r="N20" s="319">
        <f t="shared" si="29"/>
        <v>127.33875</v>
      </c>
      <c r="O20" s="319">
        <f t="shared" si="30"/>
        <v>6.06375</v>
      </c>
      <c r="Q20" s="322" t="s">
        <v>38</v>
      </c>
      <c r="R20" s="319">
        <f t="shared" si="31"/>
        <v>127.33875</v>
      </c>
      <c r="S20" s="319">
        <f t="shared" si="32"/>
        <v>6.06375</v>
      </c>
      <c r="U20" s="322" t="s">
        <v>38</v>
      </c>
      <c r="V20" s="319">
        <f t="shared" si="33"/>
        <v>127.33875</v>
      </c>
      <c r="W20" s="319">
        <f t="shared" si="34"/>
        <v>6.06375</v>
      </c>
      <c r="Y20" s="322" t="s">
        <v>38</v>
      </c>
      <c r="Z20" s="319">
        <f t="shared" si="35"/>
        <v>127.33875</v>
      </c>
      <c r="AA20" s="319">
        <f t="shared" si="36"/>
        <v>6.06375</v>
      </c>
      <c r="AC20" s="322" t="s">
        <v>38</v>
      </c>
      <c r="AD20" s="319">
        <f t="shared" si="37"/>
        <v>127.33875</v>
      </c>
      <c r="AE20" s="319">
        <f t="shared" si="38"/>
        <v>6.06375</v>
      </c>
      <c r="AG20" s="322" t="s">
        <v>38</v>
      </c>
      <c r="AH20" s="319">
        <f t="shared" si="39"/>
        <v>0</v>
      </c>
      <c r="AI20" s="319">
        <f t="shared" si="40"/>
        <v>0</v>
      </c>
      <c r="AK20" s="322" t="s">
        <v>38</v>
      </c>
      <c r="AL20" s="319">
        <f t="shared" si="41"/>
        <v>127.33875</v>
      </c>
      <c r="AM20" s="319">
        <f t="shared" si="42"/>
        <v>6.06375</v>
      </c>
      <c r="AO20" s="322" t="s">
        <v>38</v>
      </c>
      <c r="AP20" s="319">
        <f t="shared" si="43"/>
        <v>0</v>
      </c>
      <c r="AQ20" s="319">
        <f t="shared" si="44"/>
        <v>0</v>
      </c>
      <c r="AS20" s="322" t="s">
        <v>38</v>
      </c>
      <c r="AT20" s="319">
        <f t="shared" si="45"/>
        <v>0</v>
      </c>
      <c r="AU20" s="319">
        <f t="shared" si="46"/>
        <v>0</v>
      </c>
      <c r="AW20" s="322" t="s">
        <v>38</v>
      </c>
      <c r="AX20" s="319">
        <f t="shared" si="47"/>
        <v>0</v>
      </c>
      <c r="AY20" s="319">
        <f t="shared" si="48"/>
        <v>0</v>
      </c>
    </row>
    <row r="21" ht="14.25" customHeight="1">
      <c r="E21" s="322" t="s">
        <v>38</v>
      </c>
      <c r="F21" s="319">
        <f t="shared" si="25"/>
        <v>133.7056875</v>
      </c>
      <c r="G21" s="321">
        <f t="shared" si="26"/>
        <v>6.3669375</v>
      </c>
      <c r="H21" s="320"/>
      <c r="I21" s="323" t="s">
        <v>39</v>
      </c>
      <c r="J21" s="319">
        <f t="shared" si="27"/>
        <v>133.7056875</v>
      </c>
      <c r="K21" s="321">
        <f t="shared" si="28"/>
        <v>6.3669375</v>
      </c>
      <c r="L21" s="320"/>
      <c r="M21" s="323" t="s">
        <v>39</v>
      </c>
      <c r="N21" s="319">
        <f t="shared" si="29"/>
        <v>133.7056875</v>
      </c>
      <c r="O21" s="319">
        <f t="shared" si="30"/>
        <v>6.3669375</v>
      </c>
      <c r="Q21" s="322" t="s">
        <v>39</v>
      </c>
      <c r="R21" s="319">
        <f t="shared" si="31"/>
        <v>133.7056875</v>
      </c>
      <c r="S21" s="319">
        <f t="shared" si="32"/>
        <v>6.3669375</v>
      </c>
      <c r="U21" s="322" t="s">
        <v>39</v>
      </c>
      <c r="V21" s="319">
        <f t="shared" si="33"/>
        <v>133.7056875</v>
      </c>
      <c r="W21" s="319">
        <f t="shared" si="34"/>
        <v>6.3669375</v>
      </c>
      <c r="Y21" s="322" t="s">
        <v>39</v>
      </c>
      <c r="Z21" s="319">
        <f t="shared" si="35"/>
        <v>133.7056875</v>
      </c>
      <c r="AA21" s="319">
        <f t="shared" si="36"/>
        <v>6.3669375</v>
      </c>
      <c r="AC21" s="322" t="s">
        <v>39</v>
      </c>
      <c r="AD21" s="319">
        <f t="shared" si="37"/>
        <v>133.7056875</v>
      </c>
      <c r="AE21" s="319">
        <f t="shared" si="38"/>
        <v>6.3669375</v>
      </c>
      <c r="AG21" s="322" t="s">
        <v>39</v>
      </c>
      <c r="AH21" s="319">
        <f t="shared" si="39"/>
        <v>0</v>
      </c>
      <c r="AI21" s="319">
        <f t="shared" si="40"/>
        <v>0</v>
      </c>
      <c r="AK21" s="322" t="s">
        <v>39</v>
      </c>
      <c r="AL21" s="319">
        <f t="shared" si="41"/>
        <v>133.7056875</v>
      </c>
      <c r="AM21" s="319">
        <f t="shared" si="42"/>
        <v>6.3669375</v>
      </c>
      <c r="AO21" s="322" t="s">
        <v>39</v>
      </c>
      <c r="AP21" s="319">
        <f t="shared" si="43"/>
        <v>0</v>
      </c>
      <c r="AQ21" s="319">
        <f t="shared" si="44"/>
        <v>0</v>
      </c>
      <c r="AS21" s="322" t="s">
        <v>39</v>
      </c>
      <c r="AT21" s="319">
        <f t="shared" si="45"/>
        <v>0</v>
      </c>
      <c r="AU21" s="319">
        <f t="shared" si="46"/>
        <v>0</v>
      </c>
      <c r="AW21" s="322" t="s">
        <v>39</v>
      </c>
      <c r="AX21" s="319">
        <f t="shared" si="47"/>
        <v>0</v>
      </c>
      <c r="AY21" s="319">
        <f t="shared" si="48"/>
        <v>0</v>
      </c>
    </row>
    <row r="22" ht="14.25" customHeight="1">
      <c r="E22" s="322" t="s">
        <v>39</v>
      </c>
      <c r="F22" s="319">
        <f t="shared" si="25"/>
        <v>140.3909719</v>
      </c>
      <c r="G22" s="321">
        <f t="shared" si="26"/>
        <v>6.685284375</v>
      </c>
      <c r="H22" s="320"/>
      <c r="I22" s="323" t="s">
        <v>40</v>
      </c>
      <c r="J22" s="319">
        <f t="shared" si="27"/>
        <v>140.3909719</v>
      </c>
      <c r="K22" s="321">
        <f t="shared" si="28"/>
        <v>6.685284375</v>
      </c>
      <c r="L22" s="320"/>
      <c r="M22" s="323" t="s">
        <v>40</v>
      </c>
      <c r="N22" s="319">
        <f t="shared" si="29"/>
        <v>140.3909719</v>
      </c>
      <c r="O22" s="319">
        <f t="shared" si="30"/>
        <v>6.685284375</v>
      </c>
      <c r="Q22" s="322" t="s">
        <v>40</v>
      </c>
      <c r="R22" s="319">
        <f t="shared" si="31"/>
        <v>140.3909719</v>
      </c>
      <c r="S22" s="319">
        <f t="shared" si="32"/>
        <v>6.685284375</v>
      </c>
      <c r="U22" s="322" t="s">
        <v>40</v>
      </c>
      <c r="V22" s="319">
        <f t="shared" si="33"/>
        <v>140.3909719</v>
      </c>
      <c r="W22" s="319">
        <f t="shared" si="34"/>
        <v>6.685284375</v>
      </c>
      <c r="Y22" s="322" t="s">
        <v>40</v>
      </c>
      <c r="Z22" s="319">
        <f t="shared" si="35"/>
        <v>140.3909719</v>
      </c>
      <c r="AA22" s="319">
        <f t="shared" si="36"/>
        <v>6.685284375</v>
      </c>
      <c r="AC22" s="322" t="s">
        <v>40</v>
      </c>
      <c r="AD22" s="319">
        <f t="shared" si="37"/>
        <v>140.3909719</v>
      </c>
      <c r="AE22" s="319">
        <f t="shared" si="38"/>
        <v>6.685284375</v>
      </c>
      <c r="AG22" s="322" t="s">
        <v>40</v>
      </c>
      <c r="AH22" s="319">
        <f t="shared" si="39"/>
        <v>0</v>
      </c>
      <c r="AI22" s="319">
        <f t="shared" si="40"/>
        <v>0</v>
      </c>
      <c r="AK22" s="322" t="s">
        <v>40</v>
      </c>
      <c r="AL22" s="319">
        <f t="shared" si="41"/>
        <v>140.3909719</v>
      </c>
      <c r="AM22" s="319">
        <f t="shared" si="42"/>
        <v>6.685284375</v>
      </c>
      <c r="AO22" s="322" t="s">
        <v>40</v>
      </c>
      <c r="AP22" s="319">
        <f t="shared" si="43"/>
        <v>0</v>
      </c>
      <c r="AQ22" s="319">
        <f t="shared" si="44"/>
        <v>0</v>
      </c>
      <c r="AS22" s="322" t="s">
        <v>40</v>
      </c>
      <c r="AT22" s="319">
        <f t="shared" si="45"/>
        <v>0</v>
      </c>
      <c r="AU22" s="319">
        <f t="shared" si="46"/>
        <v>0</v>
      </c>
      <c r="AW22" s="322" t="s">
        <v>40</v>
      </c>
      <c r="AX22" s="319">
        <f t="shared" si="47"/>
        <v>0</v>
      </c>
      <c r="AY22" s="319">
        <f t="shared" si="48"/>
        <v>0</v>
      </c>
    </row>
    <row r="23" ht="14.25" customHeight="1">
      <c r="E23" s="322" t="s">
        <v>40</v>
      </c>
      <c r="F23" s="319">
        <f t="shared" si="25"/>
        <v>147.4105205</v>
      </c>
      <c r="G23" s="321">
        <f t="shared" si="26"/>
        <v>7.019548594</v>
      </c>
      <c r="H23" s="320"/>
      <c r="I23" s="323" t="s">
        <v>41</v>
      </c>
      <c r="J23" s="319">
        <f t="shared" si="27"/>
        <v>147.4105205</v>
      </c>
      <c r="K23" s="321">
        <f t="shared" si="28"/>
        <v>7.019548594</v>
      </c>
      <c r="L23" s="320"/>
      <c r="M23" s="323" t="s">
        <v>41</v>
      </c>
      <c r="N23" s="319">
        <f t="shared" si="29"/>
        <v>147.4105205</v>
      </c>
      <c r="O23" s="319">
        <f t="shared" si="30"/>
        <v>7.019548594</v>
      </c>
      <c r="Q23" s="322" t="s">
        <v>41</v>
      </c>
      <c r="R23" s="319">
        <f t="shared" si="31"/>
        <v>147.4105205</v>
      </c>
      <c r="S23" s="319">
        <f t="shared" si="32"/>
        <v>7.019548594</v>
      </c>
      <c r="U23" s="322" t="s">
        <v>41</v>
      </c>
      <c r="V23" s="319">
        <f t="shared" si="33"/>
        <v>147.4105205</v>
      </c>
      <c r="W23" s="319">
        <f t="shared" si="34"/>
        <v>7.019548594</v>
      </c>
      <c r="Y23" s="322" t="s">
        <v>41</v>
      </c>
      <c r="Z23" s="319">
        <f t="shared" si="35"/>
        <v>147.4105205</v>
      </c>
      <c r="AA23" s="319">
        <f t="shared" si="36"/>
        <v>7.019548594</v>
      </c>
      <c r="AC23" s="322" t="s">
        <v>41</v>
      </c>
      <c r="AD23" s="319">
        <f t="shared" si="37"/>
        <v>147.4105205</v>
      </c>
      <c r="AE23" s="319">
        <f t="shared" si="38"/>
        <v>7.019548594</v>
      </c>
      <c r="AG23" s="322" t="s">
        <v>41</v>
      </c>
      <c r="AH23" s="319">
        <f t="shared" si="39"/>
        <v>0</v>
      </c>
      <c r="AI23" s="319">
        <f t="shared" si="40"/>
        <v>0</v>
      </c>
      <c r="AK23" s="322" t="s">
        <v>41</v>
      </c>
      <c r="AL23" s="319">
        <f t="shared" si="41"/>
        <v>147.4105205</v>
      </c>
      <c r="AM23" s="319">
        <f t="shared" si="42"/>
        <v>7.019548594</v>
      </c>
      <c r="AO23" s="322" t="s">
        <v>41</v>
      </c>
      <c r="AP23" s="319">
        <f t="shared" si="43"/>
        <v>0</v>
      </c>
      <c r="AQ23" s="319">
        <f t="shared" si="44"/>
        <v>0</v>
      </c>
      <c r="AS23" s="322" t="s">
        <v>41</v>
      </c>
      <c r="AT23" s="319">
        <f t="shared" si="45"/>
        <v>0</v>
      </c>
      <c r="AU23" s="319">
        <f t="shared" si="46"/>
        <v>0</v>
      </c>
      <c r="AW23" s="322" t="s">
        <v>41</v>
      </c>
      <c r="AX23" s="319">
        <f t="shared" si="47"/>
        <v>0</v>
      </c>
      <c r="AY23" s="319">
        <f t="shared" si="48"/>
        <v>0</v>
      </c>
    </row>
    <row r="24" ht="14.25" customHeight="1">
      <c r="E24" s="322" t="s">
        <v>41</v>
      </c>
      <c r="F24" s="319">
        <f t="shared" si="25"/>
        <v>154.7810465</v>
      </c>
      <c r="G24" s="321">
        <f t="shared" si="26"/>
        <v>7.370526023</v>
      </c>
      <c r="H24" s="320"/>
      <c r="I24" s="323" t="s">
        <v>42</v>
      </c>
      <c r="J24" s="319">
        <f t="shared" si="27"/>
        <v>154.7810465</v>
      </c>
      <c r="K24" s="321">
        <f t="shared" si="28"/>
        <v>7.370526023</v>
      </c>
      <c r="L24" s="320"/>
      <c r="M24" s="323" t="s">
        <v>42</v>
      </c>
      <c r="N24" s="319">
        <f t="shared" si="29"/>
        <v>154.7810465</v>
      </c>
      <c r="O24" s="319">
        <f t="shared" si="30"/>
        <v>7.370526023</v>
      </c>
      <c r="Q24" s="322" t="s">
        <v>42</v>
      </c>
      <c r="R24" s="319">
        <f t="shared" si="31"/>
        <v>154.7810465</v>
      </c>
      <c r="S24" s="319">
        <f t="shared" si="32"/>
        <v>7.370526023</v>
      </c>
      <c r="U24" s="322" t="s">
        <v>42</v>
      </c>
      <c r="V24" s="319">
        <f t="shared" si="33"/>
        <v>154.7810465</v>
      </c>
      <c r="W24" s="319">
        <f t="shared" si="34"/>
        <v>7.370526023</v>
      </c>
      <c r="Y24" s="322" t="s">
        <v>42</v>
      </c>
      <c r="Z24" s="319">
        <f t="shared" si="35"/>
        <v>154.7810465</v>
      </c>
      <c r="AA24" s="319">
        <f t="shared" si="36"/>
        <v>7.370526023</v>
      </c>
      <c r="AC24" s="322" t="s">
        <v>42</v>
      </c>
      <c r="AD24" s="319">
        <f t="shared" si="37"/>
        <v>154.7810465</v>
      </c>
      <c r="AE24" s="319">
        <f t="shared" si="38"/>
        <v>7.370526023</v>
      </c>
      <c r="AG24" s="322" t="s">
        <v>42</v>
      </c>
      <c r="AH24" s="319">
        <f t="shared" si="39"/>
        <v>0</v>
      </c>
      <c r="AI24" s="319">
        <f t="shared" si="40"/>
        <v>0</v>
      </c>
      <c r="AK24" s="322" t="s">
        <v>42</v>
      </c>
      <c r="AL24" s="319">
        <f t="shared" si="41"/>
        <v>154.7810465</v>
      </c>
      <c r="AM24" s="319">
        <f t="shared" si="42"/>
        <v>7.370526023</v>
      </c>
      <c r="AO24" s="322" t="s">
        <v>42</v>
      </c>
      <c r="AP24" s="319">
        <f t="shared" si="43"/>
        <v>0</v>
      </c>
      <c r="AQ24" s="319">
        <f t="shared" si="44"/>
        <v>0</v>
      </c>
      <c r="AS24" s="322" t="s">
        <v>42</v>
      </c>
      <c r="AT24" s="319">
        <f t="shared" si="45"/>
        <v>0</v>
      </c>
      <c r="AU24" s="319">
        <f t="shared" si="46"/>
        <v>0</v>
      </c>
      <c r="AW24" s="322" t="s">
        <v>42</v>
      </c>
      <c r="AX24" s="319">
        <f t="shared" si="47"/>
        <v>0</v>
      </c>
      <c r="AY24" s="319">
        <f t="shared" si="48"/>
        <v>0</v>
      </c>
    </row>
    <row r="25" ht="14.25" customHeight="1">
      <c r="E25" s="322" t="s">
        <v>42</v>
      </c>
      <c r="F25" s="319">
        <f t="shared" si="25"/>
        <v>162.5200988</v>
      </c>
      <c r="G25" s="321">
        <f t="shared" si="26"/>
        <v>7.739052325</v>
      </c>
      <c r="H25" s="320"/>
      <c r="I25" s="323" t="s">
        <v>43</v>
      </c>
      <c r="J25" s="319">
        <f t="shared" si="27"/>
        <v>162.5200988</v>
      </c>
      <c r="K25" s="321">
        <f t="shared" si="28"/>
        <v>7.739052325</v>
      </c>
      <c r="L25" s="320"/>
      <c r="M25" s="323" t="s">
        <v>43</v>
      </c>
      <c r="N25" s="319">
        <f t="shared" si="29"/>
        <v>162.5200988</v>
      </c>
      <c r="O25" s="319">
        <f t="shared" si="30"/>
        <v>7.739052325</v>
      </c>
      <c r="Q25" s="322" t="s">
        <v>43</v>
      </c>
      <c r="R25" s="319">
        <f t="shared" si="31"/>
        <v>162.5200988</v>
      </c>
      <c r="S25" s="319">
        <f t="shared" si="32"/>
        <v>7.739052325</v>
      </c>
      <c r="U25" s="322" t="s">
        <v>43</v>
      </c>
      <c r="V25" s="319">
        <f t="shared" si="33"/>
        <v>162.5200988</v>
      </c>
      <c r="W25" s="319">
        <f t="shared" si="34"/>
        <v>7.739052325</v>
      </c>
      <c r="Y25" s="322" t="s">
        <v>43</v>
      </c>
      <c r="Z25" s="319">
        <f t="shared" si="35"/>
        <v>162.5200988</v>
      </c>
      <c r="AA25" s="319">
        <f t="shared" si="36"/>
        <v>7.739052325</v>
      </c>
      <c r="AC25" s="322" t="s">
        <v>43</v>
      </c>
      <c r="AD25" s="319">
        <f t="shared" si="37"/>
        <v>162.5200988</v>
      </c>
      <c r="AE25" s="319">
        <f t="shared" si="38"/>
        <v>7.739052325</v>
      </c>
      <c r="AG25" s="322" t="s">
        <v>43</v>
      </c>
      <c r="AH25" s="319">
        <f t="shared" si="39"/>
        <v>0</v>
      </c>
      <c r="AI25" s="319">
        <f t="shared" si="40"/>
        <v>0</v>
      </c>
      <c r="AK25" s="322" t="s">
        <v>43</v>
      </c>
      <c r="AL25" s="319">
        <f t="shared" si="41"/>
        <v>162.5200988</v>
      </c>
      <c r="AM25" s="319">
        <f t="shared" si="42"/>
        <v>7.739052325</v>
      </c>
      <c r="AO25" s="322" t="s">
        <v>43</v>
      </c>
      <c r="AP25" s="319">
        <f t="shared" si="43"/>
        <v>0</v>
      </c>
      <c r="AQ25" s="319">
        <f t="shared" si="44"/>
        <v>0</v>
      </c>
      <c r="AS25" s="322" t="s">
        <v>43</v>
      </c>
      <c r="AT25" s="319">
        <f t="shared" si="45"/>
        <v>0</v>
      </c>
      <c r="AU25" s="319">
        <f t="shared" si="46"/>
        <v>0</v>
      </c>
      <c r="AW25" s="322" t="s">
        <v>43</v>
      </c>
      <c r="AX25" s="319">
        <f t="shared" si="47"/>
        <v>0</v>
      </c>
      <c r="AY25" s="319">
        <f t="shared" si="48"/>
        <v>0</v>
      </c>
    </row>
    <row r="26" ht="14.25" customHeight="1">
      <c r="E26" s="325"/>
      <c r="F26" s="319"/>
      <c r="G26" s="321"/>
      <c r="H26" s="320"/>
      <c r="I26" s="325"/>
      <c r="J26" s="319"/>
      <c r="K26" s="321"/>
      <c r="L26" s="320"/>
      <c r="M26" s="325"/>
      <c r="N26" s="319"/>
      <c r="O26" s="319"/>
      <c r="Q26" s="325"/>
      <c r="R26" s="319"/>
      <c r="S26" s="319"/>
      <c r="U26" s="325"/>
      <c r="V26" s="319"/>
      <c r="W26" s="319"/>
      <c r="Y26" s="325"/>
      <c r="Z26" s="319"/>
      <c r="AA26" s="319"/>
      <c r="AC26" s="325"/>
      <c r="AD26" s="319"/>
      <c r="AE26" s="319"/>
      <c r="AG26" s="325"/>
      <c r="AH26" s="319"/>
      <c r="AI26" s="319"/>
      <c r="AK26" s="325"/>
      <c r="AL26" s="319"/>
      <c r="AM26" s="319"/>
      <c r="AO26" s="325"/>
      <c r="AP26" s="319"/>
      <c r="AQ26" s="319"/>
      <c r="AS26" s="325"/>
      <c r="AT26" s="319"/>
      <c r="AU26" s="319"/>
      <c r="AW26" s="325"/>
      <c r="AX26" s="319"/>
      <c r="AY26" s="319"/>
    </row>
    <row r="27" ht="14.25" customHeight="1">
      <c r="E27" s="312"/>
      <c r="F27" s="314"/>
      <c r="G27" s="317"/>
      <c r="H27" s="315"/>
      <c r="I27" s="316"/>
      <c r="J27" s="314"/>
      <c r="K27" s="317"/>
      <c r="L27" s="315"/>
      <c r="M27" s="316"/>
      <c r="N27" s="314"/>
      <c r="O27" s="314"/>
      <c r="Q27" s="312"/>
      <c r="R27" s="314"/>
      <c r="S27" s="314"/>
      <c r="U27" s="312"/>
      <c r="V27" s="314"/>
      <c r="W27" s="314"/>
      <c r="Y27" s="312"/>
      <c r="Z27" s="314"/>
      <c r="AA27" s="314"/>
      <c r="AC27" s="312"/>
      <c r="AD27" s="314"/>
      <c r="AE27" s="314"/>
      <c r="AG27" s="312"/>
      <c r="AH27" s="314"/>
      <c r="AI27" s="314"/>
      <c r="AK27" s="312"/>
      <c r="AL27" s="314"/>
      <c r="AM27" s="314"/>
      <c r="AO27" s="312"/>
      <c r="AP27" s="314"/>
      <c r="AQ27" s="314"/>
      <c r="AS27" s="312"/>
      <c r="AT27" s="314"/>
      <c r="AU27" s="314"/>
      <c r="AW27" s="312"/>
      <c r="AX27" s="314"/>
      <c r="AY27" s="314"/>
    </row>
    <row r="28" ht="14.25" customHeight="1">
      <c r="E28" s="322" t="s">
        <v>32</v>
      </c>
      <c r="F28" s="319">
        <f>SHARES!Q3</f>
        <v>100</v>
      </c>
      <c r="G28" s="321"/>
      <c r="H28" s="320"/>
      <c r="I28" s="323" t="s">
        <v>35</v>
      </c>
      <c r="J28" s="319">
        <f>SHARES!Q4</f>
        <v>100</v>
      </c>
      <c r="K28" s="321"/>
      <c r="L28" s="320"/>
      <c r="M28" s="323" t="s">
        <v>35</v>
      </c>
      <c r="N28" s="319">
        <f>SHARES!Q5</f>
        <v>100</v>
      </c>
      <c r="O28" s="319"/>
      <c r="Q28" s="322" t="s">
        <v>35</v>
      </c>
      <c r="R28" s="319">
        <f>SHARES!Q6</f>
        <v>100</v>
      </c>
      <c r="S28" s="319"/>
      <c r="U28" s="322" t="s">
        <v>35</v>
      </c>
      <c r="V28" s="319">
        <f>SHARES!Q7</f>
        <v>100</v>
      </c>
      <c r="W28" s="319"/>
      <c r="Y28" s="322" t="s">
        <v>35</v>
      </c>
      <c r="Z28" s="319">
        <f>SHARES!Q8</f>
        <v>0</v>
      </c>
      <c r="AA28" s="319"/>
      <c r="AC28" s="322" t="s">
        <v>35</v>
      </c>
      <c r="AD28" s="319">
        <f>SHARES!Q9</f>
        <v>100</v>
      </c>
      <c r="AE28" s="319"/>
      <c r="AG28" s="322" t="s">
        <v>35</v>
      </c>
      <c r="AH28" s="319">
        <f>SHARES!Q10</f>
        <v>100</v>
      </c>
      <c r="AI28" s="319"/>
      <c r="AK28" s="322" t="s">
        <v>35</v>
      </c>
      <c r="AL28" s="319">
        <f>SHARES!Q11</f>
        <v>0</v>
      </c>
      <c r="AM28" s="319"/>
      <c r="AO28" s="322" t="s">
        <v>35</v>
      </c>
      <c r="AP28" s="319">
        <f>SHARES!Q12</f>
        <v>0</v>
      </c>
      <c r="AQ28" s="319"/>
      <c r="AS28" s="322" t="s">
        <v>35</v>
      </c>
      <c r="AT28" s="319">
        <f>SHARES!Q13</f>
        <v>0</v>
      </c>
      <c r="AU28" s="319"/>
      <c r="AW28" s="322" t="s">
        <v>35</v>
      </c>
      <c r="AX28" s="319" t="str">
        <f>SHARES!Q14</f>
        <v/>
      </c>
      <c r="AY28" s="319"/>
    </row>
    <row r="29" ht="14.25" customHeight="1">
      <c r="E29" s="322" t="s">
        <v>35</v>
      </c>
      <c r="F29" s="319">
        <f>F28*1.1</f>
        <v>110</v>
      </c>
      <c r="G29" s="321">
        <f>F28*0.1</f>
        <v>10</v>
      </c>
      <c r="H29" s="320"/>
      <c r="I29" s="323" t="s">
        <v>36</v>
      </c>
      <c r="J29" s="319">
        <f>J28*1.1</f>
        <v>110</v>
      </c>
      <c r="K29" s="321">
        <f>J28*0.1</f>
        <v>10</v>
      </c>
      <c r="L29" s="320"/>
      <c r="M29" s="323" t="s">
        <v>36</v>
      </c>
      <c r="N29" s="319">
        <f>N28*1.1</f>
        <v>110</v>
      </c>
      <c r="O29" s="319">
        <f>N28*0.1</f>
        <v>10</v>
      </c>
      <c r="Q29" s="322" t="s">
        <v>36</v>
      </c>
      <c r="R29" s="319">
        <f>R28*1.1</f>
        <v>110</v>
      </c>
      <c r="S29" s="319">
        <f>R28*0.1</f>
        <v>10</v>
      </c>
      <c r="U29" s="322" t="s">
        <v>36</v>
      </c>
      <c r="V29" s="319">
        <f>V28*1.1</f>
        <v>110</v>
      </c>
      <c r="W29" s="319">
        <f>V28*0.1</f>
        <v>10</v>
      </c>
      <c r="Y29" s="322" t="s">
        <v>36</v>
      </c>
      <c r="Z29" s="319">
        <f>Z28*1.1</f>
        <v>0</v>
      </c>
      <c r="AA29" s="319">
        <f>Z28*0.1</f>
        <v>0</v>
      </c>
      <c r="AC29" s="322" t="s">
        <v>36</v>
      </c>
      <c r="AD29" s="319">
        <f>AD28*1.1</f>
        <v>110</v>
      </c>
      <c r="AE29" s="319">
        <f>AD28*0.1</f>
        <v>10</v>
      </c>
      <c r="AG29" s="322" t="s">
        <v>36</v>
      </c>
      <c r="AH29" s="319">
        <f>AH28*1.1</f>
        <v>110</v>
      </c>
      <c r="AI29" s="319">
        <f>AH28*0.1</f>
        <v>10</v>
      </c>
      <c r="AK29" s="322" t="s">
        <v>36</v>
      </c>
      <c r="AL29" s="319">
        <f>AL28*1.1</f>
        <v>0</v>
      </c>
      <c r="AM29" s="319">
        <f>AL28*0.1</f>
        <v>0</v>
      </c>
      <c r="AO29" s="322" t="s">
        <v>36</v>
      </c>
      <c r="AP29" s="319">
        <f>AP28*1.1</f>
        <v>0</v>
      </c>
      <c r="AQ29" s="319">
        <f>AP28*0.1</f>
        <v>0</v>
      </c>
      <c r="AS29" s="322" t="s">
        <v>36</v>
      </c>
      <c r="AT29" s="319">
        <f>AT28*1.1</f>
        <v>0</v>
      </c>
      <c r="AU29" s="319">
        <f>AT28*0.1</f>
        <v>0</v>
      </c>
      <c r="AW29" s="322" t="s">
        <v>36</v>
      </c>
      <c r="AX29" s="319">
        <f>AX28*1.1</f>
        <v>0</v>
      </c>
      <c r="AY29" s="319">
        <f>AX28*0.1</f>
        <v>0</v>
      </c>
    </row>
    <row r="30" ht="14.25" customHeight="1">
      <c r="E30" s="322" t="s">
        <v>36</v>
      </c>
      <c r="F30" s="319">
        <f t="shared" ref="F30:F36" si="49">F29*1.05</f>
        <v>115.5</v>
      </c>
      <c r="G30" s="321">
        <f t="shared" ref="G30:G36" si="50">F29*0.05</f>
        <v>5.5</v>
      </c>
      <c r="H30" s="320"/>
      <c r="I30" s="323" t="s">
        <v>37</v>
      </c>
      <c r="J30" s="319">
        <f t="shared" ref="J30:J36" si="51">J29*1.05</f>
        <v>115.5</v>
      </c>
      <c r="K30" s="321">
        <f t="shared" ref="K30:K36" si="52">J29*0.05</f>
        <v>5.5</v>
      </c>
      <c r="L30" s="320"/>
      <c r="M30" s="323" t="s">
        <v>37</v>
      </c>
      <c r="N30" s="319">
        <f t="shared" ref="N30:N36" si="53">N29*1.05</f>
        <v>115.5</v>
      </c>
      <c r="O30" s="319">
        <f t="shared" ref="O30:O36" si="54">N29*0.05</f>
        <v>5.5</v>
      </c>
      <c r="Q30" s="322" t="s">
        <v>37</v>
      </c>
      <c r="R30" s="319">
        <f t="shared" ref="R30:R36" si="55">R29*1.05</f>
        <v>115.5</v>
      </c>
      <c r="S30" s="319">
        <f t="shared" ref="S30:S36" si="56">R29*0.05</f>
        <v>5.5</v>
      </c>
      <c r="U30" s="322" t="s">
        <v>37</v>
      </c>
      <c r="V30" s="319">
        <f t="shared" ref="V30:V36" si="57">V29*1.05</f>
        <v>115.5</v>
      </c>
      <c r="W30" s="319">
        <f t="shared" ref="W30:W36" si="58">V29*0.05</f>
        <v>5.5</v>
      </c>
      <c r="Y30" s="322" t="s">
        <v>37</v>
      </c>
      <c r="Z30" s="319">
        <f t="shared" ref="Z30:Z36" si="59">Z29*1.05</f>
        <v>0</v>
      </c>
      <c r="AA30" s="319">
        <f t="shared" ref="AA30:AA36" si="60">Z29*0.05</f>
        <v>0</v>
      </c>
      <c r="AC30" s="322" t="s">
        <v>37</v>
      </c>
      <c r="AD30" s="319">
        <f t="shared" ref="AD30:AD36" si="61">AD29*1.05</f>
        <v>115.5</v>
      </c>
      <c r="AE30" s="319">
        <f t="shared" ref="AE30:AE36" si="62">AD29*0.05</f>
        <v>5.5</v>
      </c>
      <c r="AG30" s="322" t="s">
        <v>37</v>
      </c>
      <c r="AH30" s="319">
        <f t="shared" ref="AH30:AH36" si="63">AH29*1.05</f>
        <v>115.5</v>
      </c>
      <c r="AI30" s="319">
        <f t="shared" ref="AI30:AI36" si="64">AH29*0.05</f>
        <v>5.5</v>
      </c>
      <c r="AK30" s="322" t="s">
        <v>37</v>
      </c>
      <c r="AL30" s="319">
        <f t="shared" ref="AL30:AL36" si="65">AL29*1.05</f>
        <v>0</v>
      </c>
      <c r="AM30" s="319">
        <f t="shared" ref="AM30:AM36" si="66">AL29*0.05</f>
        <v>0</v>
      </c>
      <c r="AO30" s="322" t="s">
        <v>37</v>
      </c>
      <c r="AP30" s="319">
        <f t="shared" ref="AP30:AP36" si="67">AP29*1.05</f>
        <v>0</v>
      </c>
      <c r="AQ30" s="319">
        <f t="shared" ref="AQ30:AQ36" si="68">AP29*0.05</f>
        <v>0</v>
      </c>
      <c r="AS30" s="322" t="s">
        <v>37</v>
      </c>
      <c r="AT30" s="319">
        <f t="shared" ref="AT30:AT36" si="69">AT29*1.05</f>
        <v>0</v>
      </c>
      <c r="AU30" s="319">
        <f t="shared" ref="AU30:AU36" si="70">AT29*0.05</f>
        <v>0</v>
      </c>
      <c r="AW30" s="322" t="s">
        <v>37</v>
      </c>
      <c r="AX30" s="319">
        <f t="shared" ref="AX30:AX36" si="71">AX29*1.05</f>
        <v>0</v>
      </c>
      <c r="AY30" s="319">
        <f t="shared" ref="AY30:AY36" si="72">AX29*0.05</f>
        <v>0</v>
      </c>
    </row>
    <row r="31" ht="14.25" customHeight="1">
      <c r="E31" s="322" t="s">
        <v>37</v>
      </c>
      <c r="F31" s="319">
        <f t="shared" si="49"/>
        <v>121.275</v>
      </c>
      <c r="G31" s="321">
        <f t="shared" si="50"/>
        <v>5.775</v>
      </c>
      <c r="H31" s="320"/>
      <c r="I31" s="323" t="s">
        <v>38</v>
      </c>
      <c r="J31" s="319">
        <f t="shared" si="51"/>
        <v>121.275</v>
      </c>
      <c r="K31" s="321">
        <f t="shared" si="52"/>
        <v>5.775</v>
      </c>
      <c r="L31" s="320"/>
      <c r="M31" s="323" t="s">
        <v>38</v>
      </c>
      <c r="N31" s="319">
        <f t="shared" si="53"/>
        <v>121.275</v>
      </c>
      <c r="O31" s="319">
        <f t="shared" si="54"/>
        <v>5.775</v>
      </c>
      <c r="Q31" s="322" t="s">
        <v>38</v>
      </c>
      <c r="R31" s="319">
        <f t="shared" si="55"/>
        <v>121.275</v>
      </c>
      <c r="S31" s="319">
        <f t="shared" si="56"/>
        <v>5.775</v>
      </c>
      <c r="U31" s="322" t="s">
        <v>38</v>
      </c>
      <c r="V31" s="319">
        <f t="shared" si="57"/>
        <v>121.275</v>
      </c>
      <c r="W31" s="319">
        <f t="shared" si="58"/>
        <v>5.775</v>
      </c>
      <c r="Y31" s="322" t="s">
        <v>38</v>
      </c>
      <c r="Z31" s="319">
        <f t="shared" si="59"/>
        <v>0</v>
      </c>
      <c r="AA31" s="319">
        <f t="shared" si="60"/>
        <v>0</v>
      </c>
      <c r="AC31" s="322" t="s">
        <v>38</v>
      </c>
      <c r="AD31" s="319">
        <f t="shared" si="61"/>
        <v>121.275</v>
      </c>
      <c r="AE31" s="319">
        <f t="shared" si="62"/>
        <v>5.775</v>
      </c>
      <c r="AG31" s="322" t="s">
        <v>38</v>
      </c>
      <c r="AH31" s="319">
        <f t="shared" si="63"/>
        <v>121.275</v>
      </c>
      <c r="AI31" s="319">
        <f t="shared" si="64"/>
        <v>5.775</v>
      </c>
      <c r="AK31" s="322" t="s">
        <v>38</v>
      </c>
      <c r="AL31" s="319">
        <f t="shared" si="65"/>
        <v>0</v>
      </c>
      <c r="AM31" s="319">
        <f t="shared" si="66"/>
        <v>0</v>
      </c>
      <c r="AO31" s="322" t="s">
        <v>38</v>
      </c>
      <c r="AP31" s="319">
        <f t="shared" si="67"/>
        <v>0</v>
      </c>
      <c r="AQ31" s="319">
        <f t="shared" si="68"/>
        <v>0</v>
      </c>
      <c r="AS31" s="322" t="s">
        <v>38</v>
      </c>
      <c r="AT31" s="319">
        <f t="shared" si="69"/>
        <v>0</v>
      </c>
      <c r="AU31" s="319">
        <f t="shared" si="70"/>
        <v>0</v>
      </c>
      <c r="AW31" s="322" t="s">
        <v>38</v>
      </c>
      <c r="AX31" s="319">
        <f t="shared" si="71"/>
        <v>0</v>
      </c>
      <c r="AY31" s="319">
        <f t="shared" si="72"/>
        <v>0</v>
      </c>
    </row>
    <row r="32" ht="14.25" customHeight="1">
      <c r="E32" s="322" t="s">
        <v>38</v>
      </c>
      <c r="F32" s="319">
        <f t="shared" si="49"/>
        <v>127.33875</v>
      </c>
      <c r="G32" s="321">
        <f t="shared" si="50"/>
        <v>6.06375</v>
      </c>
      <c r="H32" s="320"/>
      <c r="I32" s="323" t="s">
        <v>39</v>
      </c>
      <c r="J32" s="319">
        <f t="shared" si="51"/>
        <v>127.33875</v>
      </c>
      <c r="K32" s="321">
        <f t="shared" si="52"/>
        <v>6.06375</v>
      </c>
      <c r="L32" s="320"/>
      <c r="M32" s="323" t="s">
        <v>39</v>
      </c>
      <c r="N32" s="319">
        <f t="shared" si="53"/>
        <v>127.33875</v>
      </c>
      <c r="O32" s="319">
        <f t="shared" si="54"/>
        <v>6.06375</v>
      </c>
      <c r="Q32" s="322" t="s">
        <v>39</v>
      </c>
      <c r="R32" s="319">
        <f t="shared" si="55"/>
        <v>127.33875</v>
      </c>
      <c r="S32" s="319">
        <f t="shared" si="56"/>
        <v>6.06375</v>
      </c>
      <c r="U32" s="322" t="s">
        <v>39</v>
      </c>
      <c r="V32" s="319">
        <f t="shared" si="57"/>
        <v>127.33875</v>
      </c>
      <c r="W32" s="319">
        <f t="shared" si="58"/>
        <v>6.06375</v>
      </c>
      <c r="Y32" s="322" t="s">
        <v>39</v>
      </c>
      <c r="Z32" s="319">
        <f t="shared" si="59"/>
        <v>0</v>
      </c>
      <c r="AA32" s="319">
        <f t="shared" si="60"/>
        <v>0</v>
      </c>
      <c r="AC32" s="322" t="s">
        <v>39</v>
      </c>
      <c r="AD32" s="319">
        <f t="shared" si="61"/>
        <v>127.33875</v>
      </c>
      <c r="AE32" s="319">
        <f t="shared" si="62"/>
        <v>6.06375</v>
      </c>
      <c r="AG32" s="322" t="s">
        <v>39</v>
      </c>
      <c r="AH32" s="319">
        <f t="shared" si="63"/>
        <v>127.33875</v>
      </c>
      <c r="AI32" s="319">
        <f t="shared" si="64"/>
        <v>6.06375</v>
      </c>
      <c r="AK32" s="322" t="s">
        <v>39</v>
      </c>
      <c r="AL32" s="319">
        <f t="shared" si="65"/>
        <v>0</v>
      </c>
      <c r="AM32" s="319">
        <f t="shared" si="66"/>
        <v>0</v>
      </c>
      <c r="AO32" s="322" t="s">
        <v>39</v>
      </c>
      <c r="AP32" s="319">
        <f t="shared" si="67"/>
        <v>0</v>
      </c>
      <c r="AQ32" s="319">
        <f t="shared" si="68"/>
        <v>0</v>
      </c>
      <c r="AS32" s="322" t="s">
        <v>39</v>
      </c>
      <c r="AT32" s="319">
        <f t="shared" si="69"/>
        <v>0</v>
      </c>
      <c r="AU32" s="319">
        <f t="shared" si="70"/>
        <v>0</v>
      </c>
      <c r="AW32" s="322" t="s">
        <v>39</v>
      </c>
      <c r="AX32" s="319">
        <f t="shared" si="71"/>
        <v>0</v>
      </c>
      <c r="AY32" s="319">
        <f t="shared" si="72"/>
        <v>0</v>
      </c>
    </row>
    <row r="33" ht="14.25" customHeight="1">
      <c r="E33" s="322" t="s">
        <v>39</v>
      </c>
      <c r="F33" s="319">
        <f t="shared" si="49"/>
        <v>133.7056875</v>
      </c>
      <c r="G33" s="321">
        <f t="shared" si="50"/>
        <v>6.3669375</v>
      </c>
      <c r="H33" s="320"/>
      <c r="I33" s="323" t="s">
        <v>40</v>
      </c>
      <c r="J33" s="319">
        <f t="shared" si="51"/>
        <v>133.7056875</v>
      </c>
      <c r="K33" s="321">
        <f t="shared" si="52"/>
        <v>6.3669375</v>
      </c>
      <c r="L33" s="320"/>
      <c r="M33" s="323" t="s">
        <v>40</v>
      </c>
      <c r="N33" s="319">
        <f t="shared" si="53"/>
        <v>133.7056875</v>
      </c>
      <c r="O33" s="319">
        <f t="shared" si="54"/>
        <v>6.3669375</v>
      </c>
      <c r="Q33" s="322" t="s">
        <v>40</v>
      </c>
      <c r="R33" s="319">
        <f t="shared" si="55"/>
        <v>133.7056875</v>
      </c>
      <c r="S33" s="319">
        <f t="shared" si="56"/>
        <v>6.3669375</v>
      </c>
      <c r="U33" s="322" t="s">
        <v>40</v>
      </c>
      <c r="V33" s="319">
        <f t="shared" si="57"/>
        <v>133.7056875</v>
      </c>
      <c r="W33" s="319">
        <f t="shared" si="58"/>
        <v>6.3669375</v>
      </c>
      <c r="Y33" s="322" t="s">
        <v>40</v>
      </c>
      <c r="Z33" s="319">
        <f t="shared" si="59"/>
        <v>0</v>
      </c>
      <c r="AA33" s="319">
        <f t="shared" si="60"/>
        <v>0</v>
      </c>
      <c r="AC33" s="322" t="s">
        <v>40</v>
      </c>
      <c r="AD33" s="319">
        <f t="shared" si="61"/>
        <v>133.7056875</v>
      </c>
      <c r="AE33" s="319">
        <f t="shared" si="62"/>
        <v>6.3669375</v>
      </c>
      <c r="AG33" s="322" t="s">
        <v>40</v>
      </c>
      <c r="AH33" s="319">
        <f t="shared" si="63"/>
        <v>133.7056875</v>
      </c>
      <c r="AI33" s="319">
        <f t="shared" si="64"/>
        <v>6.3669375</v>
      </c>
      <c r="AK33" s="322" t="s">
        <v>40</v>
      </c>
      <c r="AL33" s="319">
        <f t="shared" si="65"/>
        <v>0</v>
      </c>
      <c r="AM33" s="319">
        <f t="shared" si="66"/>
        <v>0</v>
      </c>
      <c r="AO33" s="322" t="s">
        <v>40</v>
      </c>
      <c r="AP33" s="319">
        <f t="shared" si="67"/>
        <v>0</v>
      </c>
      <c r="AQ33" s="319">
        <f t="shared" si="68"/>
        <v>0</v>
      </c>
      <c r="AS33" s="322" t="s">
        <v>40</v>
      </c>
      <c r="AT33" s="319">
        <f t="shared" si="69"/>
        <v>0</v>
      </c>
      <c r="AU33" s="319">
        <f t="shared" si="70"/>
        <v>0</v>
      </c>
      <c r="AW33" s="322" t="s">
        <v>40</v>
      </c>
      <c r="AX33" s="319">
        <f t="shared" si="71"/>
        <v>0</v>
      </c>
      <c r="AY33" s="319">
        <f t="shared" si="72"/>
        <v>0</v>
      </c>
    </row>
    <row r="34" ht="14.25" customHeight="1">
      <c r="E34" s="322" t="s">
        <v>40</v>
      </c>
      <c r="F34" s="319">
        <f t="shared" si="49"/>
        <v>140.3909719</v>
      </c>
      <c r="G34" s="321">
        <f t="shared" si="50"/>
        <v>6.685284375</v>
      </c>
      <c r="H34" s="320"/>
      <c r="I34" s="323" t="s">
        <v>41</v>
      </c>
      <c r="J34" s="319">
        <f t="shared" si="51"/>
        <v>140.3909719</v>
      </c>
      <c r="K34" s="321">
        <f t="shared" si="52"/>
        <v>6.685284375</v>
      </c>
      <c r="L34" s="320"/>
      <c r="M34" s="323" t="s">
        <v>41</v>
      </c>
      <c r="N34" s="319">
        <f t="shared" si="53"/>
        <v>140.3909719</v>
      </c>
      <c r="O34" s="319">
        <f t="shared" si="54"/>
        <v>6.685284375</v>
      </c>
      <c r="Q34" s="322" t="s">
        <v>41</v>
      </c>
      <c r="R34" s="319">
        <f t="shared" si="55"/>
        <v>140.3909719</v>
      </c>
      <c r="S34" s="319">
        <f t="shared" si="56"/>
        <v>6.685284375</v>
      </c>
      <c r="U34" s="322" t="s">
        <v>41</v>
      </c>
      <c r="V34" s="319">
        <f t="shared" si="57"/>
        <v>140.3909719</v>
      </c>
      <c r="W34" s="319">
        <f t="shared" si="58"/>
        <v>6.685284375</v>
      </c>
      <c r="Y34" s="322" t="s">
        <v>41</v>
      </c>
      <c r="Z34" s="319">
        <f t="shared" si="59"/>
        <v>0</v>
      </c>
      <c r="AA34" s="319">
        <f t="shared" si="60"/>
        <v>0</v>
      </c>
      <c r="AC34" s="322" t="s">
        <v>41</v>
      </c>
      <c r="AD34" s="319">
        <f t="shared" si="61"/>
        <v>140.3909719</v>
      </c>
      <c r="AE34" s="319">
        <f t="shared" si="62"/>
        <v>6.685284375</v>
      </c>
      <c r="AG34" s="322" t="s">
        <v>41</v>
      </c>
      <c r="AH34" s="319">
        <f t="shared" si="63"/>
        <v>140.3909719</v>
      </c>
      <c r="AI34" s="319">
        <f t="shared" si="64"/>
        <v>6.685284375</v>
      </c>
      <c r="AK34" s="322" t="s">
        <v>41</v>
      </c>
      <c r="AL34" s="319">
        <f t="shared" si="65"/>
        <v>0</v>
      </c>
      <c r="AM34" s="319">
        <f t="shared" si="66"/>
        <v>0</v>
      </c>
      <c r="AO34" s="322" t="s">
        <v>41</v>
      </c>
      <c r="AP34" s="319">
        <f t="shared" si="67"/>
        <v>0</v>
      </c>
      <c r="AQ34" s="319">
        <f t="shared" si="68"/>
        <v>0</v>
      </c>
      <c r="AS34" s="322" t="s">
        <v>41</v>
      </c>
      <c r="AT34" s="319">
        <f t="shared" si="69"/>
        <v>0</v>
      </c>
      <c r="AU34" s="319">
        <f t="shared" si="70"/>
        <v>0</v>
      </c>
      <c r="AW34" s="322" t="s">
        <v>41</v>
      </c>
      <c r="AX34" s="319">
        <f t="shared" si="71"/>
        <v>0</v>
      </c>
      <c r="AY34" s="319">
        <f t="shared" si="72"/>
        <v>0</v>
      </c>
    </row>
    <row r="35" ht="14.25" customHeight="1">
      <c r="E35" s="322" t="s">
        <v>41</v>
      </c>
      <c r="F35" s="319">
        <f t="shared" si="49"/>
        <v>147.4105205</v>
      </c>
      <c r="G35" s="321">
        <f t="shared" si="50"/>
        <v>7.019548594</v>
      </c>
      <c r="H35" s="320"/>
      <c r="I35" s="323" t="s">
        <v>42</v>
      </c>
      <c r="J35" s="319">
        <f t="shared" si="51"/>
        <v>147.4105205</v>
      </c>
      <c r="K35" s="321">
        <f t="shared" si="52"/>
        <v>7.019548594</v>
      </c>
      <c r="L35" s="320"/>
      <c r="M35" s="323" t="s">
        <v>42</v>
      </c>
      <c r="N35" s="319">
        <f t="shared" si="53"/>
        <v>147.4105205</v>
      </c>
      <c r="O35" s="319">
        <f t="shared" si="54"/>
        <v>7.019548594</v>
      </c>
      <c r="Q35" s="322" t="s">
        <v>42</v>
      </c>
      <c r="R35" s="319">
        <f t="shared" si="55"/>
        <v>147.4105205</v>
      </c>
      <c r="S35" s="319">
        <f t="shared" si="56"/>
        <v>7.019548594</v>
      </c>
      <c r="U35" s="322" t="s">
        <v>42</v>
      </c>
      <c r="V35" s="319">
        <f t="shared" si="57"/>
        <v>147.4105205</v>
      </c>
      <c r="W35" s="319">
        <f t="shared" si="58"/>
        <v>7.019548594</v>
      </c>
      <c r="Y35" s="322" t="s">
        <v>42</v>
      </c>
      <c r="Z35" s="319">
        <f t="shared" si="59"/>
        <v>0</v>
      </c>
      <c r="AA35" s="319">
        <f t="shared" si="60"/>
        <v>0</v>
      </c>
      <c r="AC35" s="322" t="s">
        <v>42</v>
      </c>
      <c r="AD35" s="319">
        <f t="shared" si="61"/>
        <v>147.4105205</v>
      </c>
      <c r="AE35" s="319">
        <f t="shared" si="62"/>
        <v>7.019548594</v>
      </c>
      <c r="AG35" s="322" t="s">
        <v>42</v>
      </c>
      <c r="AH35" s="319">
        <f t="shared" si="63"/>
        <v>147.4105205</v>
      </c>
      <c r="AI35" s="319">
        <f t="shared" si="64"/>
        <v>7.019548594</v>
      </c>
      <c r="AK35" s="322" t="s">
        <v>42</v>
      </c>
      <c r="AL35" s="319">
        <f t="shared" si="65"/>
        <v>0</v>
      </c>
      <c r="AM35" s="319">
        <f t="shared" si="66"/>
        <v>0</v>
      </c>
      <c r="AO35" s="322" t="s">
        <v>42</v>
      </c>
      <c r="AP35" s="319">
        <f t="shared" si="67"/>
        <v>0</v>
      </c>
      <c r="AQ35" s="319">
        <f t="shared" si="68"/>
        <v>0</v>
      </c>
      <c r="AS35" s="322" t="s">
        <v>42</v>
      </c>
      <c r="AT35" s="319">
        <f t="shared" si="69"/>
        <v>0</v>
      </c>
      <c r="AU35" s="319">
        <f t="shared" si="70"/>
        <v>0</v>
      </c>
      <c r="AW35" s="322" t="s">
        <v>42</v>
      </c>
      <c r="AX35" s="319">
        <f t="shared" si="71"/>
        <v>0</v>
      </c>
      <c r="AY35" s="319">
        <f t="shared" si="72"/>
        <v>0</v>
      </c>
    </row>
    <row r="36" ht="14.25" customHeight="1">
      <c r="E36" s="322" t="s">
        <v>42</v>
      </c>
      <c r="F36" s="319">
        <f t="shared" si="49"/>
        <v>154.7810465</v>
      </c>
      <c r="G36" s="321">
        <f t="shared" si="50"/>
        <v>7.370526023</v>
      </c>
      <c r="H36" s="320"/>
      <c r="I36" s="323" t="s">
        <v>43</v>
      </c>
      <c r="J36" s="319">
        <f t="shared" si="51"/>
        <v>154.7810465</v>
      </c>
      <c r="K36" s="321">
        <f t="shared" si="52"/>
        <v>7.370526023</v>
      </c>
      <c r="L36" s="320"/>
      <c r="M36" s="323" t="s">
        <v>43</v>
      </c>
      <c r="N36" s="319">
        <f t="shared" si="53"/>
        <v>154.7810465</v>
      </c>
      <c r="O36" s="319">
        <f t="shared" si="54"/>
        <v>7.370526023</v>
      </c>
      <c r="Q36" s="322" t="s">
        <v>43</v>
      </c>
      <c r="R36" s="319">
        <f t="shared" si="55"/>
        <v>154.7810465</v>
      </c>
      <c r="S36" s="319">
        <f t="shared" si="56"/>
        <v>7.370526023</v>
      </c>
      <c r="U36" s="322" t="s">
        <v>43</v>
      </c>
      <c r="V36" s="319">
        <f t="shared" si="57"/>
        <v>154.7810465</v>
      </c>
      <c r="W36" s="319">
        <f t="shared" si="58"/>
        <v>7.370526023</v>
      </c>
      <c r="Y36" s="322" t="s">
        <v>43</v>
      </c>
      <c r="Z36" s="319">
        <f t="shared" si="59"/>
        <v>0</v>
      </c>
      <c r="AA36" s="319">
        <f t="shared" si="60"/>
        <v>0</v>
      </c>
      <c r="AC36" s="322" t="s">
        <v>43</v>
      </c>
      <c r="AD36" s="319">
        <f t="shared" si="61"/>
        <v>154.7810465</v>
      </c>
      <c r="AE36" s="319">
        <f t="shared" si="62"/>
        <v>7.370526023</v>
      </c>
      <c r="AG36" s="322" t="s">
        <v>43</v>
      </c>
      <c r="AH36" s="319">
        <f t="shared" si="63"/>
        <v>154.7810465</v>
      </c>
      <c r="AI36" s="319">
        <f t="shared" si="64"/>
        <v>7.370526023</v>
      </c>
      <c r="AK36" s="322" t="s">
        <v>43</v>
      </c>
      <c r="AL36" s="319">
        <f t="shared" si="65"/>
        <v>0</v>
      </c>
      <c r="AM36" s="319">
        <f t="shared" si="66"/>
        <v>0</v>
      </c>
      <c r="AO36" s="322" t="s">
        <v>43</v>
      </c>
      <c r="AP36" s="319">
        <f t="shared" si="67"/>
        <v>0</v>
      </c>
      <c r="AQ36" s="319">
        <f t="shared" si="68"/>
        <v>0</v>
      </c>
      <c r="AS36" s="322" t="s">
        <v>43</v>
      </c>
      <c r="AT36" s="319">
        <f t="shared" si="69"/>
        <v>0</v>
      </c>
      <c r="AU36" s="319">
        <f t="shared" si="70"/>
        <v>0</v>
      </c>
      <c r="AW36" s="322" t="s">
        <v>43</v>
      </c>
      <c r="AX36" s="319">
        <f t="shared" si="71"/>
        <v>0</v>
      </c>
      <c r="AY36" s="319">
        <f t="shared" si="72"/>
        <v>0</v>
      </c>
    </row>
    <row r="37" ht="14.25" customHeight="1">
      <c r="E37" s="322"/>
      <c r="F37" s="319"/>
      <c r="G37" s="321"/>
      <c r="H37" s="320"/>
      <c r="I37" s="323"/>
      <c r="J37" s="319"/>
      <c r="K37" s="321"/>
      <c r="L37" s="320"/>
      <c r="M37" s="323"/>
      <c r="N37" s="319"/>
      <c r="O37" s="319"/>
      <c r="Q37" s="322"/>
      <c r="R37" s="319"/>
      <c r="S37" s="319"/>
      <c r="U37" s="322"/>
      <c r="V37" s="319"/>
      <c r="W37" s="319"/>
      <c r="Y37" s="322"/>
      <c r="Z37" s="319"/>
      <c r="AA37" s="319"/>
      <c r="AC37" s="322"/>
      <c r="AD37" s="319"/>
      <c r="AE37" s="319"/>
      <c r="AG37" s="322"/>
      <c r="AH37" s="319"/>
      <c r="AI37" s="319"/>
      <c r="AK37" s="322"/>
      <c r="AL37" s="319"/>
      <c r="AM37" s="319"/>
      <c r="AO37" s="322"/>
      <c r="AP37" s="319"/>
      <c r="AQ37" s="319"/>
      <c r="AS37" s="322"/>
      <c r="AT37" s="319"/>
      <c r="AU37" s="319"/>
      <c r="AW37" s="322"/>
      <c r="AX37" s="319"/>
      <c r="AY37" s="319"/>
    </row>
    <row r="38" ht="14.25" customHeight="1">
      <c r="E38" s="322" t="s">
        <v>35</v>
      </c>
      <c r="F38" s="319">
        <f>SHARES!X3</f>
        <v>100</v>
      </c>
      <c r="G38" s="321"/>
      <c r="H38" s="320"/>
      <c r="I38" s="323" t="s">
        <v>36</v>
      </c>
      <c r="J38" s="319">
        <f>SHARES!X4</f>
        <v>100</v>
      </c>
      <c r="K38" s="321"/>
      <c r="L38" s="320"/>
      <c r="M38" s="323" t="s">
        <v>36</v>
      </c>
      <c r="N38" s="319">
        <f>SHARES!X5</f>
        <v>100</v>
      </c>
      <c r="O38" s="319"/>
      <c r="Q38" s="322" t="s">
        <v>36</v>
      </c>
      <c r="R38" s="319">
        <f>SHARES!X6</f>
        <v>100</v>
      </c>
      <c r="S38" s="319"/>
      <c r="U38" s="322" t="s">
        <v>36</v>
      </c>
      <c r="V38" s="319">
        <f>SHARES!X7</f>
        <v>100</v>
      </c>
      <c r="W38" s="319"/>
      <c r="Y38" s="322" t="s">
        <v>36</v>
      </c>
      <c r="Z38" s="319">
        <f>SHARES!X8</f>
        <v>100</v>
      </c>
      <c r="AA38" s="319"/>
      <c r="AC38" s="322" t="s">
        <v>36</v>
      </c>
      <c r="AD38" s="319">
        <f>SHARES!X9</f>
        <v>100</v>
      </c>
      <c r="AE38" s="319"/>
      <c r="AG38" s="322" t="s">
        <v>36</v>
      </c>
      <c r="AH38" s="319">
        <f>SHARES!X10</f>
        <v>100</v>
      </c>
      <c r="AI38" s="319"/>
      <c r="AK38" s="322" t="s">
        <v>36</v>
      </c>
      <c r="AL38" s="319">
        <f>SHARES!X11</f>
        <v>100</v>
      </c>
      <c r="AM38" s="319"/>
      <c r="AO38" s="322" t="s">
        <v>36</v>
      </c>
      <c r="AP38" s="319">
        <f>SHARES!X12</f>
        <v>0</v>
      </c>
      <c r="AQ38" s="319"/>
      <c r="AS38" s="322" t="s">
        <v>36</v>
      </c>
      <c r="AT38" s="319">
        <f>SHARES!X13</f>
        <v>0</v>
      </c>
      <c r="AU38" s="319"/>
      <c r="AW38" s="322" t="s">
        <v>36</v>
      </c>
      <c r="AX38" s="319" t="str">
        <f>SHARES!X14</f>
        <v/>
      </c>
      <c r="AY38" s="319"/>
    </row>
    <row r="39" ht="14.25" customHeight="1">
      <c r="E39" s="322" t="s">
        <v>36</v>
      </c>
      <c r="F39" s="319">
        <f>F38*1.1</f>
        <v>110</v>
      </c>
      <c r="G39" s="321">
        <f>F38*0.1</f>
        <v>10</v>
      </c>
      <c r="H39" s="320"/>
      <c r="I39" s="323" t="s">
        <v>37</v>
      </c>
      <c r="J39" s="319">
        <f>J38*1.1</f>
        <v>110</v>
      </c>
      <c r="K39" s="321">
        <f>J38*0.1</f>
        <v>10</v>
      </c>
      <c r="L39" s="320"/>
      <c r="M39" s="323" t="s">
        <v>37</v>
      </c>
      <c r="N39" s="319">
        <f>N38*1.1</f>
        <v>110</v>
      </c>
      <c r="O39" s="319">
        <f>N38*0.1</f>
        <v>10</v>
      </c>
      <c r="Q39" s="322" t="s">
        <v>37</v>
      </c>
      <c r="R39" s="319">
        <f>R38*1.1</f>
        <v>110</v>
      </c>
      <c r="S39" s="319">
        <f>R38*0.1</f>
        <v>10</v>
      </c>
      <c r="U39" s="322" t="s">
        <v>37</v>
      </c>
      <c r="V39" s="319">
        <f>V38*1.1</f>
        <v>110</v>
      </c>
      <c r="W39" s="319">
        <f>V38*0.1</f>
        <v>10</v>
      </c>
      <c r="Y39" s="322" t="s">
        <v>37</v>
      </c>
      <c r="Z39" s="319">
        <f>Z38*1.1</f>
        <v>110</v>
      </c>
      <c r="AA39" s="319">
        <f>Z38*0.1</f>
        <v>10</v>
      </c>
      <c r="AC39" s="322" t="s">
        <v>37</v>
      </c>
      <c r="AD39" s="319">
        <f>AD38*1.1</f>
        <v>110</v>
      </c>
      <c r="AE39" s="319">
        <f>AD38*0.1</f>
        <v>10</v>
      </c>
      <c r="AG39" s="322" t="s">
        <v>37</v>
      </c>
      <c r="AH39" s="319">
        <f>AH38*1.1</f>
        <v>110</v>
      </c>
      <c r="AI39" s="319">
        <f>AH38*0.1</f>
        <v>10</v>
      </c>
      <c r="AK39" s="322" t="s">
        <v>37</v>
      </c>
      <c r="AL39" s="319">
        <f>AL38*1.1</f>
        <v>110</v>
      </c>
      <c r="AM39" s="319">
        <f>AL38*0.1</f>
        <v>10</v>
      </c>
      <c r="AO39" s="322" t="s">
        <v>37</v>
      </c>
      <c r="AP39" s="319">
        <f>AP38*1.1</f>
        <v>0</v>
      </c>
      <c r="AQ39" s="319">
        <f>AP38*0.1</f>
        <v>0</v>
      </c>
      <c r="AS39" s="322" t="s">
        <v>37</v>
      </c>
      <c r="AT39" s="319">
        <f>AT38*1.1</f>
        <v>0</v>
      </c>
      <c r="AU39" s="319">
        <f>AT38*0.1</f>
        <v>0</v>
      </c>
      <c r="AW39" s="322" t="s">
        <v>37</v>
      </c>
      <c r="AX39" s="319">
        <f>AX38*1.1</f>
        <v>0</v>
      </c>
      <c r="AY39" s="319">
        <f>AX38*0.1</f>
        <v>0</v>
      </c>
    </row>
    <row r="40" ht="14.25" customHeight="1">
      <c r="E40" s="322" t="s">
        <v>37</v>
      </c>
      <c r="F40" s="319">
        <f t="shared" ref="F40:F45" si="73">F39*1.05</f>
        <v>115.5</v>
      </c>
      <c r="G40" s="321">
        <f t="shared" ref="G40:G45" si="74">F39*0.05</f>
        <v>5.5</v>
      </c>
      <c r="H40" s="320"/>
      <c r="I40" s="323" t="s">
        <v>38</v>
      </c>
      <c r="J40" s="319">
        <f t="shared" ref="J40:J45" si="75">J39*1.05</f>
        <v>115.5</v>
      </c>
      <c r="K40" s="321">
        <f t="shared" ref="K40:K45" si="76">J39*0.05</f>
        <v>5.5</v>
      </c>
      <c r="L40" s="320"/>
      <c r="M40" s="323" t="s">
        <v>38</v>
      </c>
      <c r="N40" s="319">
        <f t="shared" ref="N40:N45" si="77">N39*1.05</f>
        <v>115.5</v>
      </c>
      <c r="O40" s="319">
        <f t="shared" ref="O40:O45" si="78">N39*0.05</f>
        <v>5.5</v>
      </c>
      <c r="Q40" s="322" t="s">
        <v>38</v>
      </c>
      <c r="R40" s="319">
        <f t="shared" ref="R40:R45" si="79">R39*1.05</f>
        <v>115.5</v>
      </c>
      <c r="S40" s="319">
        <f t="shared" ref="S40:S45" si="80">R39*0.05</f>
        <v>5.5</v>
      </c>
      <c r="U40" s="322" t="s">
        <v>38</v>
      </c>
      <c r="V40" s="319">
        <f t="shared" ref="V40:V45" si="81">V39*1.05</f>
        <v>115.5</v>
      </c>
      <c r="W40" s="319">
        <f t="shared" ref="W40:W45" si="82">V39*0.05</f>
        <v>5.5</v>
      </c>
      <c r="Y40" s="322" t="s">
        <v>38</v>
      </c>
      <c r="Z40" s="319">
        <f t="shared" ref="Z40:Z45" si="83">Z39*1.05</f>
        <v>115.5</v>
      </c>
      <c r="AA40" s="319">
        <f t="shared" ref="AA40:AA45" si="84">Z39*0.05</f>
        <v>5.5</v>
      </c>
      <c r="AC40" s="322" t="s">
        <v>38</v>
      </c>
      <c r="AD40" s="319">
        <f t="shared" ref="AD40:AD45" si="85">AD39*1.05</f>
        <v>115.5</v>
      </c>
      <c r="AE40" s="319">
        <f t="shared" ref="AE40:AE45" si="86">AD39*0.05</f>
        <v>5.5</v>
      </c>
      <c r="AG40" s="322" t="s">
        <v>38</v>
      </c>
      <c r="AH40" s="319">
        <f t="shared" ref="AH40:AH45" si="87">AH39*1.05</f>
        <v>115.5</v>
      </c>
      <c r="AI40" s="319">
        <f t="shared" ref="AI40:AI45" si="88">AH39*0.05</f>
        <v>5.5</v>
      </c>
      <c r="AK40" s="322" t="s">
        <v>38</v>
      </c>
      <c r="AL40" s="319">
        <f t="shared" ref="AL40:AL45" si="89">AL39*1.05</f>
        <v>115.5</v>
      </c>
      <c r="AM40" s="319">
        <f t="shared" ref="AM40:AM45" si="90">AL39*0.05</f>
        <v>5.5</v>
      </c>
      <c r="AO40" s="322" t="s">
        <v>38</v>
      </c>
      <c r="AP40" s="319">
        <f t="shared" ref="AP40:AP45" si="91">AP39*1.05</f>
        <v>0</v>
      </c>
      <c r="AQ40" s="319">
        <f t="shared" ref="AQ40:AQ45" si="92">AP39*0.05</f>
        <v>0</v>
      </c>
      <c r="AS40" s="322" t="s">
        <v>38</v>
      </c>
      <c r="AT40" s="319">
        <f t="shared" ref="AT40:AT45" si="93">AT39*1.05</f>
        <v>0</v>
      </c>
      <c r="AU40" s="319">
        <f t="shared" ref="AU40:AU45" si="94">AT39*0.05</f>
        <v>0</v>
      </c>
      <c r="AW40" s="322" t="s">
        <v>38</v>
      </c>
      <c r="AX40" s="319">
        <f t="shared" ref="AX40:AX45" si="95">AX39*1.05</f>
        <v>0</v>
      </c>
      <c r="AY40" s="319">
        <f t="shared" ref="AY40:AY45" si="96">AX39*0.05</f>
        <v>0</v>
      </c>
    </row>
    <row r="41" ht="14.25" customHeight="1">
      <c r="E41" s="322" t="s">
        <v>38</v>
      </c>
      <c r="F41" s="319">
        <f t="shared" si="73"/>
        <v>121.275</v>
      </c>
      <c r="G41" s="321">
        <f t="shared" si="74"/>
        <v>5.775</v>
      </c>
      <c r="H41" s="320"/>
      <c r="I41" s="323" t="s">
        <v>39</v>
      </c>
      <c r="J41" s="319">
        <f t="shared" si="75"/>
        <v>121.275</v>
      </c>
      <c r="K41" s="321">
        <f t="shared" si="76"/>
        <v>5.775</v>
      </c>
      <c r="L41" s="320"/>
      <c r="M41" s="323" t="s">
        <v>39</v>
      </c>
      <c r="N41" s="319">
        <f t="shared" si="77"/>
        <v>121.275</v>
      </c>
      <c r="O41" s="319">
        <f t="shared" si="78"/>
        <v>5.775</v>
      </c>
      <c r="Q41" s="322" t="s">
        <v>39</v>
      </c>
      <c r="R41" s="319">
        <f t="shared" si="79"/>
        <v>121.275</v>
      </c>
      <c r="S41" s="319">
        <f t="shared" si="80"/>
        <v>5.775</v>
      </c>
      <c r="U41" s="322" t="s">
        <v>39</v>
      </c>
      <c r="V41" s="319">
        <f t="shared" si="81"/>
        <v>121.275</v>
      </c>
      <c r="W41" s="319">
        <f t="shared" si="82"/>
        <v>5.775</v>
      </c>
      <c r="Y41" s="322" t="s">
        <v>39</v>
      </c>
      <c r="Z41" s="319">
        <f t="shared" si="83"/>
        <v>121.275</v>
      </c>
      <c r="AA41" s="319">
        <f t="shared" si="84"/>
        <v>5.775</v>
      </c>
      <c r="AC41" s="322" t="s">
        <v>39</v>
      </c>
      <c r="AD41" s="319">
        <f t="shared" si="85"/>
        <v>121.275</v>
      </c>
      <c r="AE41" s="319">
        <f t="shared" si="86"/>
        <v>5.775</v>
      </c>
      <c r="AG41" s="322" t="s">
        <v>39</v>
      </c>
      <c r="AH41" s="319">
        <f t="shared" si="87"/>
        <v>121.275</v>
      </c>
      <c r="AI41" s="319">
        <f t="shared" si="88"/>
        <v>5.775</v>
      </c>
      <c r="AK41" s="322" t="s">
        <v>39</v>
      </c>
      <c r="AL41" s="319">
        <f t="shared" si="89"/>
        <v>121.275</v>
      </c>
      <c r="AM41" s="319">
        <f t="shared" si="90"/>
        <v>5.775</v>
      </c>
      <c r="AO41" s="322" t="s">
        <v>39</v>
      </c>
      <c r="AP41" s="319">
        <f t="shared" si="91"/>
        <v>0</v>
      </c>
      <c r="AQ41" s="319">
        <f t="shared" si="92"/>
        <v>0</v>
      </c>
      <c r="AS41" s="322" t="s">
        <v>39</v>
      </c>
      <c r="AT41" s="319">
        <f t="shared" si="93"/>
        <v>0</v>
      </c>
      <c r="AU41" s="319">
        <f t="shared" si="94"/>
        <v>0</v>
      </c>
      <c r="AW41" s="322" t="s">
        <v>39</v>
      </c>
      <c r="AX41" s="319">
        <f t="shared" si="95"/>
        <v>0</v>
      </c>
      <c r="AY41" s="319">
        <f t="shared" si="96"/>
        <v>0</v>
      </c>
    </row>
    <row r="42" ht="14.25" customHeight="1">
      <c r="E42" s="322" t="s">
        <v>39</v>
      </c>
      <c r="F42" s="319">
        <f t="shared" si="73"/>
        <v>127.33875</v>
      </c>
      <c r="G42" s="321">
        <f t="shared" si="74"/>
        <v>6.06375</v>
      </c>
      <c r="H42" s="320"/>
      <c r="I42" s="323" t="s">
        <v>40</v>
      </c>
      <c r="J42" s="319">
        <f t="shared" si="75"/>
        <v>127.33875</v>
      </c>
      <c r="K42" s="321">
        <f t="shared" si="76"/>
        <v>6.06375</v>
      </c>
      <c r="L42" s="320"/>
      <c r="M42" s="323" t="s">
        <v>40</v>
      </c>
      <c r="N42" s="319">
        <f t="shared" si="77"/>
        <v>127.33875</v>
      </c>
      <c r="O42" s="319">
        <f t="shared" si="78"/>
        <v>6.06375</v>
      </c>
      <c r="Q42" s="322" t="s">
        <v>40</v>
      </c>
      <c r="R42" s="319">
        <f t="shared" si="79"/>
        <v>127.33875</v>
      </c>
      <c r="S42" s="319">
        <f t="shared" si="80"/>
        <v>6.06375</v>
      </c>
      <c r="U42" s="322" t="s">
        <v>40</v>
      </c>
      <c r="V42" s="319">
        <f t="shared" si="81"/>
        <v>127.33875</v>
      </c>
      <c r="W42" s="319">
        <f t="shared" si="82"/>
        <v>6.06375</v>
      </c>
      <c r="Y42" s="322" t="s">
        <v>40</v>
      </c>
      <c r="Z42" s="319">
        <f t="shared" si="83"/>
        <v>127.33875</v>
      </c>
      <c r="AA42" s="319">
        <f t="shared" si="84"/>
        <v>6.06375</v>
      </c>
      <c r="AC42" s="322" t="s">
        <v>40</v>
      </c>
      <c r="AD42" s="319">
        <f t="shared" si="85"/>
        <v>127.33875</v>
      </c>
      <c r="AE42" s="319">
        <f t="shared" si="86"/>
        <v>6.06375</v>
      </c>
      <c r="AG42" s="322" t="s">
        <v>40</v>
      </c>
      <c r="AH42" s="319">
        <f t="shared" si="87"/>
        <v>127.33875</v>
      </c>
      <c r="AI42" s="319">
        <f t="shared" si="88"/>
        <v>6.06375</v>
      </c>
      <c r="AK42" s="322" t="s">
        <v>40</v>
      </c>
      <c r="AL42" s="319">
        <f t="shared" si="89"/>
        <v>127.33875</v>
      </c>
      <c r="AM42" s="319">
        <f t="shared" si="90"/>
        <v>6.06375</v>
      </c>
      <c r="AO42" s="322" t="s">
        <v>40</v>
      </c>
      <c r="AP42" s="319">
        <f t="shared" si="91"/>
        <v>0</v>
      </c>
      <c r="AQ42" s="319">
        <f t="shared" si="92"/>
        <v>0</v>
      </c>
      <c r="AS42" s="322" t="s">
        <v>40</v>
      </c>
      <c r="AT42" s="319">
        <f t="shared" si="93"/>
        <v>0</v>
      </c>
      <c r="AU42" s="319">
        <f t="shared" si="94"/>
        <v>0</v>
      </c>
      <c r="AW42" s="322" t="s">
        <v>40</v>
      </c>
      <c r="AX42" s="319">
        <f t="shared" si="95"/>
        <v>0</v>
      </c>
      <c r="AY42" s="319">
        <f t="shared" si="96"/>
        <v>0</v>
      </c>
    </row>
    <row r="43" ht="14.25" customHeight="1">
      <c r="E43" s="322" t="s">
        <v>40</v>
      </c>
      <c r="F43" s="319">
        <f t="shared" si="73"/>
        <v>133.7056875</v>
      </c>
      <c r="G43" s="321">
        <f t="shared" si="74"/>
        <v>6.3669375</v>
      </c>
      <c r="H43" s="320"/>
      <c r="I43" s="323" t="s">
        <v>41</v>
      </c>
      <c r="J43" s="319">
        <f t="shared" si="75"/>
        <v>133.7056875</v>
      </c>
      <c r="K43" s="321">
        <f t="shared" si="76"/>
        <v>6.3669375</v>
      </c>
      <c r="L43" s="320"/>
      <c r="M43" s="323" t="s">
        <v>41</v>
      </c>
      <c r="N43" s="319">
        <f t="shared" si="77"/>
        <v>133.7056875</v>
      </c>
      <c r="O43" s="319">
        <f t="shared" si="78"/>
        <v>6.3669375</v>
      </c>
      <c r="Q43" s="322" t="s">
        <v>41</v>
      </c>
      <c r="R43" s="319">
        <f t="shared" si="79"/>
        <v>133.7056875</v>
      </c>
      <c r="S43" s="319">
        <f t="shared" si="80"/>
        <v>6.3669375</v>
      </c>
      <c r="U43" s="322" t="s">
        <v>41</v>
      </c>
      <c r="V43" s="319">
        <f t="shared" si="81"/>
        <v>133.7056875</v>
      </c>
      <c r="W43" s="319">
        <f t="shared" si="82"/>
        <v>6.3669375</v>
      </c>
      <c r="Y43" s="322" t="s">
        <v>41</v>
      </c>
      <c r="Z43" s="319">
        <f t="shared" si="83"/>
        <v>133.7056875</v>
      </c>
      <c r="AA43" s="319">
        <f t="shared" si="84"/>
        <v>6.3669375</v>
      </c>
      <c r="AC43" s="322" t="s">
        <v>41</v>
      </c>
      <c r="AD43" s="319">
        <f t="shared" si="85"/>
        <v>133.7056875</v>
      </c>
      <c r="AE43" s="319">
        <f t="shared" si="86"/>
        <v>6.3669375</v>
      </c>
      <c r="AG43" s="322" t="s">
        <v>41</v>
      </c>
      <c r="AH43" s="319">
        <f t="shared" si="87"/>
        <v>133.7056875</v>
      </c>
      <c r="AI43" s="319">
        <f t="shared" si="88"/>
        <v>6.3669375</v>
      </c>
      <c r="AK43" s="322" t="s">
        <v>41</v>
      </c>
      <c r="AL43" s="319">
        <f t="shared" si="89"/>
        <v>133.7056875</v>
      </c>
      <c r="AM43" s="319">
        <f t="shared" si="90"/>
        <v>6.3669375</v>
      </c>
      <c r="AO43" s="322" t="s">
        <v>41</v>
      </c>
      <c r="AP43" s="319">
        <f t="shared" si="91"/>
        <v>0</v>
      </c>
      <c r="AQ43" s="319">
        <f t="shared" si="92"/>
        <v>0</v>
      </c>
      <c r="AS43" s="322" t="s">
        <v>41</v>
      </c>
      <c r="AT43" s="319">
        <f t="shared" si="93"/>
        <v>0</v>
      </c>
      <c r="AU43" s="319">
        <f t="shared" si="94"/>
        <v>0</v>
      </c>
      <c r="AW43" s="322" t="s">
        <v>41</v>
      </c>
      <c r="AX43" s="319">
        <f t="shared" si="95"/>
        <v>0</v>
      </c>
      <c r="AY43" s="319">
        <f t="shared" si="96"/>
        <v>0</v>
      </c>
    </row>
    <row r="44" ht="14.25" customHeight="1">
      <c r="E44" s="322" t="s">
        <v>41</v>
      </c>
      <c r="F44" s="319">
        <f t="shared" si="73"/>
        <v>140.3909719</v>
      </c>
      <c r="G44" s="321">
        <f t="shared" si="74"/>
        <v>6.685284375</v>
      </c>
      <c r="H44" s="320"/>
      <c r="I44" s="323" t="s">
        <v>42</v>
      </c>
      <c r="J44" s="319">
        <f t="shared" si="75"/>
        <v>140.3909719</v>
      </c>
      <c r="K44" s="321">
        <f t="shared" si="76"/>
        <v>6.685284375</v>
      </c>
      <c r="L44" s="320"/>
      <c r="M44" s="323" t="s">
        <v>42</v>
      </c>
      <c r="N44" s="319">
        <f t="shared" si="77"/>
        <v>140.3909719</v>
      </c>
      <c r="O44" s="319">
        <f t="shared" si="78"/>
        <v>6.685284375</v>
      </c>
      <c r="Q44" s="322" t="s">
        <v>42</v>
      </c>
      <c r="R44" s="319">
        <f t="shared" si="79"/>
        <v>140.3909719</v>
      </c>
      <c r="S44" s="319">
        <f t="shared" si="80"/>
        <v>6.685284375</v>
      </c>
      <c r="U44" s="322" t="s">
        <v>42</v>
      </c>
      <c r="V44" s="319">
        <f t="shared" si="81"/>
        <v>140.3909719</v>
      </c>
      <c r="W44" s="319">
        <f t="shared" si="82"/>
        <v>6.685284375</v>
      </c>
      <c r="Y44" s="322" t="s">
        <v>42</v>
      </c>
      <c r="Z44" s="319">
        <f t="shared" si="83"/>
        <v>140.3909719</v>
      </c>
      <c r="AA44" s="319">
        <f t="shared" si="84"/>
        <v>6.685284375</v>
      </c>
      <c r="AC44" s="322" t="s">
        <v>42</v>
      </c>
      <c r="AD44" s="319">
        <f t="shared" si="85"/>
        <v>140.3909719</v>
      </c>
      <c r="AE44" s="319">
        <f t="shared" si="86"/>
        <v>6.685284375</v>
      </c>
      <c r="AG44" s="322" t="s">
        <v>42</v>
      </c>
      <c r="AH44" s="319">
        <f t="shared" si="87"/>
        <v>140.3909719</v>
      </c>
      <c r="AI44" s="319">
        <f t="shared" si="88"/>
        <v>6.685284375</v>
      </c>
      <c r="AK44" s="322" t="s">
        <v>42</v>
      </c>
      <c r="AL44" s="319">
        <f t="shared" si="89"/>
        <v>140.3909719</v>
      </c>
      <c r="AM44" s="319">
        <f t="shared" si="90"/>
        <v>6.685284375</v>
      </c>
      <c r="AO44" s="322" t="s">
        <v>42</v>
      </c>
      <c r="AP44" s="319">
        <f t="shared" si="91"/>
        <v>0</v>
      </c>
      <c r="AQ44" s="319">
        <f t="shared" si="92"/>
        <v>0</v>
      </c>
      <c r="AS44" s="322" t="s">
        <v>42</v>
      </c>
      <c r="AT44" s="319">
        <f t="shared" si="93"/>
        <v>0</v>
      </c>
      <c r="AU44" s="319">
        <f t="shared" si="94"/>
        <v>0</v>
      </c>
      <c r="AW44" s="322" t="s">
        <v>42</v>
      </c>
      <c r="AX44" s="319">
        <f t="shared" si="95"/>
        <v>0</v>
      </c>
      <c r="AY44" s="319">
        <f t="shared" si="96"/>
        <v>0</v>
      </c>
    </row>
    <row r="45" ht="14.25" customHeight="1">
      <c r="E45" s="322" t="s">
        <v>42</v>
      </c>
      <c r="F45" s="319">
        <f t="shared" si="73"/>
        <v>147.4105205</v>
      </c>
      <c r="G45" s="321">
        <f t="shared" si="74"/>
        <v>7.019548594</v>
      </c>
      <c r="H45" s="320"/>
      <c r="I45" s="323" t="s">
        <v>43</v>
      </c>
      <c r="J45" s="319">
        <f t="shared" si="75"/>
        <v>147.4105205</v>
      </c>
      <c r="K45" s="321">
        <f t="shared" si="76"/>
        <v>7.019548594</v>
      </c>
      <c r="L45" s="320"/>
      <c r="M45" s="323" t="s">
        <v>43</v>
      </c>
      <c r="N45" s="319">
        <f t="shared" si="77"/>
        <v>147.4105205</v>
      </c>
      <c r="O45" s="319">
        <f t="shared" si="78"/>
        <v>7.019548594</v>
      </c>
      <c r="Q45" s="322" t="s">
        <v>43</v>
      </c>
      <c r="R45" s="319">
        <f t="shared" si="79"/>
        <v>147.4105205</v>
      </c>
      <c r="S45" s="319">
        <f t="shared" si="80"/>
        <v>7.019548594</v>
      </c>
      <c r="U45" s="322" t="s">
        <v>43</v>
      </c>
      <c r="V45" s="319">
        <f t="shared" si="81"/>
        <v>147.4105205</v>
      </c>
      <c r="W45" s="319">
        <f t="shared" si="82"/>
        <v>7.019548594</v>
      </c>
      <c r="Y45" s="322" t="s">
        <v>43</v>
      </c>
      <c r="Z45" s="319">
        <f t="shared" si="83"/>
        <v>147.4105205</v>
      </c>
      <c r="AA45" s="319">
        <f t="shared" si="84"/>
        <v>7.019548594</v>
      </c>
      <c r="AC45" s="322" t="s">
        <v>43</v>
      </c>
      <c r="AD45" s="319">
        <f t="shared" si="85"/>
        <v>147.4105205</v>
      </c>
      <c r="AE45" s="319">
        <f t="shared" si="86"/>
        <v>7.019548594</v>
      </c>
      <c r="AG45" s="322" t="s">
        <v>43</v>
      </c>
      <c r="AH45" s="319">
        <f t="shared" si="87"/>
        <v>147.4105205</v>
      </c>
      <c r="AI45" s="319">
        <f t="shared" si="88"/>
        <v>7.019548594</v>
      </c>
      <c r="AK45" s="322" t="s">
        <v>43</v>
      </c>
      <c r="AL45" s="319">
        <f t="shared" si="89"/>
        <v>147.4105205</v>
      </c>
      <c r="AM45" s="319">
        <f t="shared" si="90"/>
        <v>7.019548594</v>
      </c>
      <c r="AO45" s="322" t="s">
        <v>43</v>
      </c>
      <c r="AP45" s="319">
        <f t="shared" si="91"/>
        <v>0</v>
      </c>
      <c r="AQ45" s="319">
        <f t="shared" si="92"/>
        <v>0</v>
      </c>
      <c r="AS45" s="322" t="s">
        <v>43</v>
      </c>
      <c r="AT45" s="319">
        <f t="shared" si="93"/>
        <v>0</v>
      </c>
      <c r="AU45" s="319">
        <f t="shared" si="94"/>
        <v>0</v>
      </c>
      <c r="AW45" s="322" t="s">
        <v>43</v>
      </c>
      <c r="AX45" s="319">
        <f t="shared" si="95"/>
        <v>0</v>
      </c>
      <c r="AY45" s="319">
        <f t="shared" si="96"/>
        <v>0</v>
      </c>
    </row>
    <row r="46" ht="14.25" customHeight="1">
      <c r="E46" s="325"/>
      <c r="F46" s="319"/>
      <c r="G46" s="321"/>
      <c r="H46" s="320"/>
      <c r="I46" s="325"/>
      <c r="J46" s="319"/>
      <c r="K46" s="321"/>
      <c r="L46" s="320"/>
      <c r="M46" s="325"/>
      <c r="N46" s="319"/>
      <c r="O46" s="319"/>
      <c r="Q46" s="325"/>
      <c r="R46" s="319"/>
      <c r="S46" s="319"/>
      <c r="U46" s="325"/>
      <c r="V46" s="319"/>
      <c r="W46" s="319"/>
      <c r="Y46" s="325"/>
      <c r="Z46" s="319"/>
      <c r="AA46" s="319"/>
      <c r="AC46" s="325"/>
      <c r="AD46" s="319"/>
      <c r="AE46" s="319"/>
      <c r="AG46" s="325"/>
      <c r="AH46" s="319"/>
      <c r="AI46" s="319"/>
      <c r="AK46" s="325"/>
      <c r="AL46" s="319"/>
      <c r="AM46" s="319"/>
      <c r="AO46" s="325"/>
      <c r="AP46" s="319"/>
      <c r="AQ46" s="319"/>
      <c r="AS46" s="325"/>
      <c r="AT46" s="319"/>
      <c r="AU46" s="319"/>
      <c r="AW46" s="325"/>
      <c r="AX46" s="319"/>
      <c r="AY46" s="319"/>
    </row>
    <row r="47" ht="14.25" customHeight="1">
      <c r="E47" s="322" t="s">
        <v>36</v>
      </c>
      <c r="F47" s="319">
        <f>SHARES!AE3</f>
        <v>100</v>
      </c>
      <c r="G47" s="321"/>
      <c r="H47" s="320"/>
      <c r="I47" s="323" t="s">
        <v>37</v>
      </c>
      <c r="J47" s="319">
        <f>SHARES!AE4</f>
        <v>100</v>
      </c>
      <c r="K47" s="321"/>
      <c r="L47" s="320"/>
      <c r="M47" s="323" t="s">
        <v>37</v>
      </c>
      <c r="N47" s="319">
        <f>SHARES!AE5</f>
        <v>100</v>
      </c>
      <c r="O47" s="319"/>
      <c r="Q47" s="322" t="s">
        <v>37</v>
      </c>
      <c r="R47" s="319">
        <f>SHARES!AE6</f>
        <v>100</v>
      </c>
      <c r="S47" s="319"/>
      <c r="U47" s="322" t="s">
        <v>37</v>
      </c>
      <c r="V47" s="319">
        <f>SHARES!AE7</f>
        <v>100</v>
      </c>
      <c r="W47" s="319"/>
      <c r="Y47" s="322" t="s">
        <v>37</v>
      </c>
      <c r="Z47" s="319">
        <f>SHARES!AE8</f>
        <v>100</v>
      </c>
      <c r="AA47" s="319"/>
      <c r="AC47" s="322" t="s">
        <v>37</v>
      </c>
      <c r="AD47" s="319">
        <f>SHARES!AE9</f>
        <v>100</v>
      </c>
      <c r="AE47" s="319"/>
      <c r="AG47" s="322" t="s">
        <v>37</v>
      </c>
      <c r="AH47" s="319">
        <f>SHARES!AE10</f>
        <v>100</v>
      </c>
      <c r="AI47" s="319"/>
      <c r="AK47" s="322" t="s">
        <v>37</v>
      </c>
      <c r="AL47" s="319">
        <f>SHARES!AE11</f>
        <v>100</v>
      </c>
      <c r="AM47" s="319"/>
      <c r="AO47" s="322" t="s">
        <v>37</v>
      </c>
      <c r="AP47" s="319">
        <f>SHARES!AE12</f>
        <v>100</v>
      </c>
      <c r="AQ47" s="319"/>
      <c r="AS47" s="322" t="s">
        <v>37</v>
      </c>
      <c r="AT47" s="319">
        <f>SHARES!AE13</f>
        <v>100</v>
      </c>
      <c r="AU47" s="319"/>
      <c r="AW47" s="322" t="s">
        <v>37</v>
      </c>
      <c r="AX47" s="319" t="str">
        <f>SHARES!AE14</f>
        <v/>
      </c>
      <c r="AY47" s="319"/>
    </row>
    <row r="48" ht="14.25" customHeight="1">
      <c r="E48" s="322" t="s">
        <v>37</v>
      </c>
      <c r="F48" s="319">
        <f>F47*1.1</f>
        <v>110</v>
      </c>
      <c r="G48" s="321">
        <f>F47*0.1</f>
        <v>10</v>
      </c>
      <c r="H48" s="320"/>
      <c r="I48" s="323" t="s">
        <v>38</v>
      </c>
      <c r="J48" s="319">
        <f>J47*1.1</f>
        <v>110</v>
      </c>
      <c r="K48" s="321">
        <f>J47*0.1</f>
        <v>10</v>
      </c>
      <c r="L48" s="320"/>
      <c r="M48" s="323" t="s">
        <v>38</v>
      </c>
      <c r="N48" s="319">
        <f>N47*1.1</f>
        <v>110</v>
      </c>
      <c r="O48" s="319">
        <f>N47*0.1</f>
        <v>10</v>
      </c>
      <c r="Q48" s="322" t="s">
        <v>38</v>
      </c>
      <c r="R48" s="319">
        <f>R47*1.1</f>
        <v>110</v>
      </c>
      <c r="S48" s="319">
        <f>R47*0.1</f>
        <v>10</v>
      </c>
      <c r="U48" s="322" t="s">
        <v>38</v>
      </c>
      <c r="V48" s="319">
        <f>V47*1.1</f>
        <v>110</v>
      </c>
      <c r="W48" s="319">
        <f>V47*0.1</f>
        <v>10</v>
      </c>
      <c r="Y48" s="322" t="s">
        <v>38</v>
      </c>
      <c r="Z48" s="319">
        <f>Z47*1.1</f>
        <v>110</v>
      </c>
      <c r="AA48" s="319">
        <f>Z47*0.1</f>
        <v>10</v>
      </c>
      <c r="AC48" s="322" t="s">
        <v>38</v>
      </c>
      <c r="AD48" s="319">
        <f>AD47*1.1</f>
        <v>110</v>
      </c>
      <c r="AE48" s="319">
        <f>AD47*0.1</f>
        <v>10</v>
      </c>
      <c r="AG48" s="322" t="s">
        <v>38</v>
      </c>
      <c r="AH48" s="319">
        <f>AH47*1.1</f>
        <v>110</v>
      </c>
      <c r="AI48" s="319">
        <f>AH47*0.1</f>
        <v>10</v>
      </c>
      <c r="AK48" s="322" t="s">
        <v>38</v>
      </c>
      <c r="AL48" s="319">
        <f>AL47*1.1</f>
        <v>110</v>
      </c>
      <c r="AM48" s="319">
        <f>AL47*0.1</f>
        <v>10</v>
      </c>
      <c r="AO48" s="322" t="s">
        <v>38</v>
      </c>
      <c r="AP48" s="319">
        <f>AP47*1.1</f>
        <v>110</v>
      </c>
      <c r="AQ48" s="319">
        <f>AP47*0.1</f>
        <v>10</v>
      </c>
      <c r="AS48" s="322" t="s">
        <v>38</v>
      </c>
      <c r="AT48" s="319">
        <f>AT47*1.1</f>
        <v>110</v>
      </c>
      <c r="AU48" s="319">
        <f>AT47*0.1</f>
        <v>10</v>
      </c>
      <c r="AW48" s="322" t="s">
        <v>38</v>
      </c>
      <c r="AX48" s="319">
        <f>AX47*1.1</f>
        <v>0</v>
      </c>
      <c r="AY48" s="319">
        <f>AX47*0.1</f>
        <v>0</v>
      </c>
    </row>
    <row r="49" ht="14.25" customHeight="1">
      <c r="E49" s="322" t="s">
        <v>38</v>
      </c>
      <c r="F49" s="319">
        <f t="shared" ref="F49:F53" si="97">F48*1.05</f>
        <v>115.5</v>
      </c>
      <c r="G49" s="321">
        <f t="shared" ref="G49:G53" si="98">F48*0.05</f>
        <v>5.5</v>
      </c>
      <c r="H49" s="320"/>
      <c r="I49" s="323" t="s">
        <v>39</v>
      </c>
      <c r="J49" s="319">
        <f t="shared" ref="J49:J53" si="99">J48*1.05</f>
        <v>115.5</v>
      </c>
      <c r="K49" s="321">
        <f t="shared" ref="K49:K53" si="100">J48*0.05</f>
        <v>5.5</v>
      </c>
      <c r="L49" s="320"/>
      <c r="M49" s="323" t="s">
        <v>39</v>
      </c>
      <c r="N49" s="319">
        <f t="shared" ref="N49:N53" si="101">N48*1.05</f>
        <v>115.5</v>
      </c>
      <c r="O49" s="319">
        <f t="shared" ref="O49:O53" si="102">N48*0.05</f>
        <v>5.5</v>
      </c>
      <c r="Q49" s="322" t="s">
        <v>39</v>
      </c>
      <c r="R49" s="319">
        <f t="shared" ref="R49:R53" si="103">R48*1.05</f>
        <v>115.5</v>
      </c>
      <c r="S49" s="319">
        <f t="shared" ref="S49:S53" si="104">R48*0.05</f>
        <v>5.5</v>
      </c>
      <c r="U49" s="322" t="s">
        <v>39</v>
      </c>
      <c r="V49" s="319">
        <f t="shared" ref="V49:V53" si="105">V48*1.05</f>
        <v>115.5</v>
      </c>
      <c r="W49" s="319">
        <f t="shared" ref="W49:W53" si="106">V48*0.05</f>
        <v>5.5</v>
      </c>
      <c r="Y49" s="322" t="s">
        <v>39</v>
      </c>
      <c r="Z49" s="319">
        <f t="shared" ref="Z49:Z53" si="107">Z48*1.05</f>
        <v>115.5</v>
      </c>
      <c r="AA49" s="319">
        <f t="shared" ref="AA49:AA53" si="108">Z48*0.05</f>
        <v>5.5</v>
      </c>
      <c r="AC49" s="322" t="s">
        <v>39</v>
      </c>
      <c r="AD49" s="319">
        <f t="shared" ref="AD49:AD53" si="109">AD48*1.05</f>
        <v>115.5</v>
      </c>
      <c r="AE49" s="319">
        <f t="shared" ref="AE49:AE53" si="110">AD48*0.05</f>
        <v>5.5</v>
      </c>
      <c r="AG49" s="322" t="s">
        <v>39</v>
      </c>
      <c r="AH49" s="319">
        <f t="shared" ref="AH49:AH53" si="111">AH48*1.05</f>
        <v>115.5</v>
      </c>
      <c r="AI49" s="319">
        <f t="shared" ref="AI49:AI53" si="112">AH48*0.05</f>
        <v>5.5</v>
      </c>
      <c r="AK49" s="322" t="s">
        <v>39</v>
      </c>
      <c r="AL49" s="319">
        <f t="shared" ref="AL49:AL53" si="113">AL48*1.05</f>
        <v>115.5</v>
      </c>
      <c r="AM49" s="319">
        <f t="shared" ref="AM49:AM53" si="114">AL48*0.05</f>
        <v>5.5</v>
      </c>
      <c r="AO49" s="322" t="s">
        <v>39</v>
      </c>
      <c r="AP49" s="319">
        <f t="shared" ref="AP49:AP53" si="115">AP48*1.05</f>
        <v>115.5</v>
      </c>
      <c r="AQ49" s="319">
        <f t="shared" ref="AQ49:AQ53" si="116">AP48*0.05</f>
        <v>5.5</v>
      </c>
      <c r="AS49" s="322" t="s">
        <v>39</v>
      </c>
      <c r="AT49" s="319">
        <f t="shared" ref="AT49:AT53" si="117">AT48*1.05</f>
        <v>115.5</v>
      </c>
      <c r="AU49" s="319">
        <f t="shared" ref="AU49:AU53" si="118">AT48*0.05</f>
        <v>5.5</v>
      </c>
      <c r="AW49" s="322" t="s">
        <v>39</v>
      </c>
      <c r="AX49" s="319">
        <f t="shared" ref="AX49:AX53" si="119">AX48*1.05</f>
        <v>0</v>
      </c>
      <c r="AY49" s="319">
        <f t="shared" ref="AY49:AY53" si="120">AX48*0.05</f>
        <v>0</v>
      </c>
    </row>
    <row r="50" ht="14.25" customHeight="1">
      <c r="E50" s="322" t="s">
        <v>39</v>
      </c>
      <c r="F50" s="319">
        <f t="shared" si="97"/>
        <v>121.275</v>
      </c>
      <c r="G50" s="321">
        <f t="shared" si="98"/>
        <v>5.775</v>
      </c>
      <c r="H50" s="320"/>
      <c r="I50" s="323" t="s">
        <v>40</v>
      </c>
      <c r="J50" s="319">
        <f t="shared" si="99"/>
        <v>121.275</v>
      </c>
      <c r="K50" s="321">
        <f t="shared" si="100"/>
        <v>5.775</v>
      </c>
      <c r="L50" s="320"/>
      <c r="M50" s="323" t="s">
        <v>40</v>
      </c>
      <c r="N50" s="319">
        <f t="shared" si="101"/>
        <v>121.275</v>
      </c>
      <c r="O50" s="319">
        <f t="shared" si="102"/>
        <v>5.775</v>
      </c>
      <c r="Q50" s="322" t="s">
        <v>40</v>
      </c>
      <c r="R50" s="319">
        <f t="shared" si="103"/>
        <v>121.275</v>
      </c>
      <c r="S50" s="319">
        <f t="shared" si="104"/>
        <v>5.775</v>
      </c>
      <c r="U50" s="322" t="s">
        <v>40</v>
      </c>
      <c r="V50" s="319">
        <f t="shared" si="105"/>
        <v>121.275</v>
      </c>
      <c r="W50" s="319">
        <f t="shared" si="106"/>
        <v>5.775</v>
      </c>
      <c r="Y50" s="322" t="s">
        <v>40</v>
      </c>
      <c r="Z50" s="319">
        <f t="shared" si="107"/>
        <v>121.275</v>
      </c>
      <c r="AA50" s="319">
        <f t="shared" si="108"/>
        <v>5.775</v>
      </c>
      <c r="AC50" s="322" t="s">
        <v>40</v>
      </c>
      <c r="AD50" s="319">
        <f t="shared" si="109"/>
        <v>121.275</v>
      </c>
      <c r="AE50" s="319">
        <f t="shared" si="110"/>
        <v>5.775</v>
      </c>
      <c r="AG50" s="322" t="s">
        <v>40</v>
      </c>
      <c r="AH50" s="319">
        <f t="shared" si="111"/>
        <v>121.275</v>
      </c>
      <c r="AI50" s="319">
        <f t="shared" si="112"/>
        <v>5.775</v>
      </c>
      <c r="AK50" s="322" t="s">
        <v>40</v>
      </c>
      <c r="AL50" s="319">
        <f t="shared" si="113"/>
        <v>121.275</v>
      </c>
      <c r="AM50" s="319">
        <f t="shared" si="114"/>
        <v>5.775</v>
      </c>
      <c r="AO50" s="322" t="s">
        <v>40</v>
      </c>
      <c r="AP50" s="319">
        <f t="shared" si="115"/>
        <v>121.275</v>
      </c>
      <c r="AQ50" s="319">
        <f t="shared" si="116"/>
        <v>5.775</v>
      </c>
      <c r="AS50" s="322" t="s">
        <v>40</v>
      </c>
      <c r="AT50" s="319">
        <f t="shared" si="117"/>
        <v>121.275</v>
      </c>
      <c r="AU50" s="319">
        <f t="shared" si="118"/>
        <v>5.775</v>
      </c>
      <c r="AW50" s="322" t="s">
        <v>40</v>
      </c>
      <c r="AX50" s="319">
        <f t="shared" si="119"/>
        <v>0</v>
      </c>
      <c r="AY50" s="319">
        <f t="shared" si="120"/>
        <v>0</v>
      </c>
    </row>
    <row r="51" ht="14.25" customHeight="1">
      <c r="E51" s="322" t="s">
        <v>40</v>
      </c>
      <c r="F51" s="319">
        <f t="shared" si="97"/>
        <v>127.33875</v>
      </c>
      <c r="G51" s="321">
        <f t="shared" si="98"/>
        <v>6.06375</v>
      </c>
      <c r="H51" s="320"/>
      <c r="I51" s="323" t="s">
        <v>41</v>
      </c>
      <c r="J51" s="319">
        <f t="shared" si="99"/>
        <v>127.33875</v>
      </c>
      <c r="K51" s="321">
        <f t="shared" si="100"/>
        <v>6.06375</v>
      </c>
      <c r="L51" s="320"/>
      <c r="M51" s="323" t="s">
        <v>41</v>
      </c>
      <c r="N51" s="319">
        <f t="shared" si="101"/>
        <v>127.33875</v>
      </c>
      <c r="O51" s="319">
        <f t="shared" si="102"/>
        <v>6.06375</v>
      </c>
      <c r="Q51" s="322" t="s">
        <v>41</v>
      </c>
      <c r="R51" s="319">
        <f t="shared" si="103"/>
        <v>127.33875</v>
      </c>
      <c r="S51" s="319">
        <f t="shared" si="104"/>
        <v>6.06375</v>
      </c>
      <c r="U51" s="322" t="s">
        <v>41</v>
      </c>
      <c r="V51" s="319">
        <f t="shared" si="105"/>
        <v>127.33875</v>
      </c>
      <c r="W51" s="319">
        <f t="shared" si="106"/>
        <v>6.06375</v>
      </c>
      <c r="Y51" s="322" t="s">
        <v>41</v>
      </c>
      <c r="Z51" s="319">
        <f t="shared" si="107"/>
        <v>127.33875</v>
      </c>
      <c r="AA51" s="319">
        <f t="shared" si="108"/>
        <v>6.06375</v>
      </c>
      <c r="AC51" s="322" t="s">
        <v>41</v>
      </c>
      <c r="AD51" s="319">
        <f t="shared" si="109"/>
        <v>127.33875</v>
      </c>
      <c r="AE51" s="319">
        <f t="shared" si="110"/>
        <v>6.06375</v>
      </c>
      <c r="AG51" s="322" t="s">
        <v>41</v>
      </c>
      <c r="AH51" s="319">
        <f t="shared" si="111"/>
        <v>127.33875</v>
      </c>
      <c r="AI51" s="319">
        <f t="shared" si="112"/>
        <v>6.06375</v>
      </c>
      <c r="AK51" s="322" t="s">
        <v>41</v>
      </c>
      <c r="AL51" s="319">
        <f t="shared" si="113"/>
        <v>127.33875</v>
      </c>
      <c r="AM51" s="319">
        <f t="shared" si="114"/>
        <v>6.06375</v>
      </c>
      <c r="AO51" s="322" t="s">
        <v>41</v>
      </c>
      <c r="AP51" s="319">
        <f t="shared" si="115"/>
        <v>127.33875</v>
      </c>
      <c r="AQ51" s="319">
        <f t="shared" si="116"/>
        <v>6.06375</v>
      </c>
      <c r="AS51" s="322" t="s">
        <v>41</v>
      </c>
      <c r="AT51" s="319">
        <f t="shared" si="117"/>
        <v>127.33875</v>
      </c>
      <c r="AU51" s="319">
        <f t="shared" si="118"/>
        <v>6.06375</v>
      </c>
      <c r="AW51" s="322" t="s">
        <v>41</v>
      </c>
      <c r="AX51" s="319">
        <f t="shared" si="119"/>
        <v>0</v>
      </c>
      <c r="AY51" s="319">
        <f t="shared" si="120"/>
        <v>0</v>
      </c>
    </row>
    <row r="52" ht="14.25" customHeight="1">
      <c r="E52" s="322" t="s">
        <v>41</v>
      </c>
      <c r="F52" s="319">
        <f t="shared" si="97"/>
        <v>133.7056875</v>
      </c>
      <c r="G52" s="321">
        <f t="shared" si="98"/>
        <v>6.3669375</v>
      </c>
      <c r="H52" s="320"/>
      <c r="I52" s="323" t="s">
        <v>42</v>
      </c>
      <c r="J52" s="319">
        <f t="shared" si="99"/>
        <v>133.7056875</v>
      </c>
      <c r="K52" s="321">
        <f t="shared" si="100"/>
        <v>6.3669375</v>
      </c>
      <c r="L52" s="320"/>
      <c r="M52" s="323" t="s">
        <v>42</v>
      </c>
      <c r="N52" s="319">
        <f t="shared" si="101"/>
        <v>133.7056875</v>
      </c>
      <c r="O52" s="319">
        <f t="shared" si="102"/>
        <v>6.3669375</v>
      </c>
      <c r="Q52" s="322" t="s">
        <v>42</v>
      </c>
      <c r="R52" s="319">
        <f t="shared" si="103"/>
        <v>133.7056875</v>
      </c>
      <c r="S52" s="319">
        <f t="shared" si="104"/>
        <v>6.3669375</v>
      </c>
      <c r="U52" s="322" t="s">
        <v>42</v>
      </c>
      <c r="V52" s="319">
        <f t="shared" si="105"/>
        <v>133.7056875</v>
      </c>
      <c r="W52" s="319">
        <f t="shared" si="106"/>
        <v>6.3669375</v>
      </c>
      <c r="Y52" s="322" t="s">
        <v>42</v>
      </c>
      <c r="Z52" s="319">
        <f t="shared" si="107"/>
        <v>133.7056875</v>
      </c>
      <c r="AA52" s="319">
        <f t="shared" si="108"/>
        <v>6.3669375</v>
      </c>
      <c r="AC52" s="322" t="s">
        <v>42</v>
      </c>
      <c r="AD52" s="319">
        <f t="shared" si="109"/>
        <v>133.7056875</v>
      </c>
      <c r="AE52" s="319">
        <f t="shared" si="110"/>
        <v>6.3669375</v>
      </c>
      <c r="AG52" s="322" t="s">
        <v>42</v>
      </c>
      <c r="AH52" s="319">
        <f t="shared" si="111"/>
        <v>133.7056875</v>
      </c>
      <c r="AI52" s="319">
        <f t="shared" si="112"/>
        <v>6.3669375</v>
      </c>
      <c r="AK52" s="322" t="s">
        <v>42</v>
      </c>
      <c r="AL52" s="319">
        <f t="shared" si="113"/>
        <v>133.7056875</v>
      </c>
      <c r="AM52" s="319">
        <f t="shared" si="114"/>
        <v>6.3669375</v>
      </c>
      <c r="AO52" s="322" t="s">
        <v>42</v>
      </c>
      <c r="AP52" s="319">
        <f t="shared" si="115"/>
        <v>133.7056875</v>
      </c>
      <c r="AQ52" s="319">
        <f t="shared" si="116"/>
        <v>6.3669375</v>
      </c>
      <c r="AS52" s="322" t="s">
        <v>42</v>
      </c>
      <c r="AT52" s="319">
        <f t="shared" si="117"/>
        <v>133.7056875</v>
      </c>
      <c r="AU52" s="319">
        <f t="shared" si="118"/>
        <v>6.3669375</v>
      </c>
      <c r="AW52" s="322" t="s">
        <v>42</v>
      </c>
      <c r="AX52" s="319">
        <f t="shared" si="119"/>
        <v>0</v>
      </c>
      <c r="AY52" s="319">
        <f t="shared" si="120"/>
        <v>0</v>
      </c>
    </row>
    <row r="53" ht="14.25" customHeight="1">
      <c r="E53" s="322" t="s">
        <v>42</v>
      </c>
      <c r="F53" s="319">
        <f t="shared" si="97"/>
        <v>140.3909719</v>
      </c>
      <c r="G53" s="321">
        <f t="shared" si="98"/>
        <v>6.685284375</v>
      </c>
      <c r="H53" s="320"/>
      <c r="I53" s="323" t="s">
        <v>43</v>
      </c>
      <c r="J53" s="319">
        <f t="shared" si="99"/>
        <v>140.3909719</v>
      </c>
      <c r="K53" s="321">
        <f t="shared" si="100"/>
        <v>6.685284375</v>
      </c>
      <c r="L53" s="320"/>
      <c r="M53" s="323" t="s">
        <v>43</v>
      </c>
      <c r="N53" s="319">
        <f t="shared" si="101"/>
        <v>140.3909719</v>
      </c>
      <c r="O53" s="319">
        <f t="shared" si="102"/>
        <v>6.685284375</v>
      </c>
      <c r="Q53" s="322" t="s">
        <v>43</v>
      </c>
      <c r="R53" s="319">
        <f t="shared" si="103"/>
        <v>140.3909719</v>
      </c>
      <c r="S53" s="319">
        <f t="shared" si="104"/>
        <v>6.685284375</v>
      </c>
      <c r="U53" s="322" t="s">
        <v>43</v>
      </c>
      <c r="V53" s="319">
        <f t="shared" si="105"/>
        <v>140.3909719</v>
      </c>
      <c r="W53" s="319">
        <f t="shared" si="106"/>
        <v>6.685284375</v>
      </c>
      <c r="Y53" s="322" t="s">
        <v>43</v>
      </c>
      <c r="Z53" s="319">
        <f t="shared" si="107"/>
        <v>140.3909719</v>
      </c>
      <c r="AA53" s="319">
        <f t="shared" si="108"/>
        <v>6.685284375</v>
      </c>
      <c r="AC53" s="322" t="s">
        <v>43</v>
      </c>
      <c r="AD53" s="319">
        <f t="shared" si="109"/>
        <v>140.3909719</v>
      </c>
      <c r="AE53" s="319">
        <f t="shared" si="110"/>
        <v>6.685284375</v>
      </c>
      <c r="AG53" s="322" t="s">
        <v>43</v>
      </c>
      <c r="AH53" s="319">
        <f t="shared" si="111"/>
        <v>140.3909719</v>
      </c>
      <c r="AI53" s="319">
        <f t="shared" si="112"/>
        <v>6.685284375</v>
      </c>
      <c r="AK53" s="322" t="s">
        <v>43</v>
      </c>
      <c r="AL53" s="319">
        <f t="shared" si="113"/>
        <v>140.3909719</v>
      </c>
      <c r="AM53" s="319">
        <f t="shared" si="114"/>
        <v>6.685284375</v>
      </c>
      <c r="AO53" s="322" t="s">
        <v>43</v>
      </c>
      <c r="AP53" s="319">
        <f t="shared" si="115"/>
        <v>140.3909719</v>
      </c>
      <c r="AQ53" s="319">
        <f t="shared" si="116"/>
        <v>6.685284375</v>
      </c>
      <c r="AS53" s="322" t="s">
        <v>43</v>
      </c>
      <c r="AT53" s="319">
        <f t="shared" si="117"/>
        <v>140.3909719</v>
      </c>
      <c r="AU53" s="319">
        <f t="shared" si="118"/>
        <v>6.685284375</v>
      </c>
      <c r="AW53" s="322" t="s">
        <v>43</v>
      </c>
      <c r="AX53" s="319">
        <f t="shared" si="119"/>
        <v>0</v>
      </c>
      <c r="AY53" s="319">
        <f t="shared" si="120"/>
        <v>0</v>
      </c>
    </row>
    <row r="54" ht="14.25" customHeight="1">
      <c r="E54" s="322"/>
      <c r="F54" s="319"/>
      <c r="G54" s="321"/>
      <c r="H54" s="320"/>
      <c r="I54" s="323"/>
      <c r="J54" s="319"/>
      <c r="K54" s="321"/>
      <c r="L54" s="320"/>
      <c r="M54" s="323"/>
      <c r="N54" s="319"/>
      <c r="O54" s="319"/>
      <c r="Q54" s="322"/>
      <c r="R54" s="319"/>
      <c r="S54" s="319"/>
      <c r="U54" s="322"/>
      <c r="V54" s="319"/>
      <c r="W54" s="319"/>
      <c r="Y54" s="322"/>
      <c r="Z54" s="319"/>
      <c r="AA54" s="319"/>
      <c r="AC54" s="322"/>
      <c r="AD54" s="319"/>
      <c r="AE54" s="319"/>
      <c r="AG54" s="322"/>
      <c r="AH54" s="319"/>
      <c r="AI54" s="319"/>
      <c r="AK54" s="322"/>
      <c r="AL54" s="319"/>
      <c r="AM54" s="319"/>
      <c r="AO54" s="322"/>
      <c r="AP54" s="319"/>
      <c r="AQ54" s="319"/>
      <c r="AS54" s="322"/>
      <c r="AT54" s="319"/>
      <c r="AU54" s="319"/>
      <c r="AW54" s="322"/>
      <c r="AX54" s="319"/>
      <c r="AY54" s="319"/>
    </row>
    <row r="55" ht="14.25" customHeight="1">
      <c r="E55" s="322" t="s">
        <v>37</v>
      </c>
      <c r="F55" s="319">
        <f>SHARES!AL3</f>
        <v>100</v>
      </c>
      <c r="G55" s="321"/>
      <c r="H55" s="320"/>
      <c r="I55" s="323" t="s">
        <v>38</v>
      </c>
      <c r="J55" s="319">
        <f>SHARES!AL4</f>
        <v>100</v>
      </c>
      <c r="K55" s="321"/>
      <c r="L55" s="320"/>
      <c r="M55" s="323" t="s">
        <v>38</v>
      </c>
      <c r="N55" s="319">
        <f>SHARES!AL5</f>
        <v>100</v>
      </c>
      <c r="O55" s="319"/>
      <c r="Q55" s="322" t="s">
        <v>38</v>
      </c>
      <c r="R55" s="319">
        <f>SHARES!AL6</f>
        <v>100</v>
      </c>
      <c r="S55" s="319"/>
      <c r="U55" s="322" t="s">
        <v>38</v>
      </c>
      <c r="V55" s="319">
        <f>SHARES!AL7</f>
        <v>100</v>
      </c>
      <c r="W55" s="319"/>
      <c r="Y55" s="322" t="s">
        <v>38</v>
      </c>
      <c r="Z55" s="319">
        <f>SHARES!AL8</f>
        <v>100</v>
      </c>
      <c r="AA55" s="319"/>
      <c r="AC55" s="322" t="s">
        <v>38</v>
      </c>
      <c r="AD55" s="319">
        <f>SHARES!AL9</f>
        <v>100</v>
      </c>
      <c r="AE55" s="319"/>
      <c r="AG55" s="322" t="s">
        <v>38</v>
      </c>
      <c r="AH55" s="319">
        <f>SHARES!AL10</f>
        <v>100</v>
      </c>
      <c r="AI55" s="319"/>
      <c r="AK55" s="322" t="s">
        <v>38</v>
      </c>
      <c r="AL55" s="319">
        <f>SHARES!AL11</f>
        <v>100</v>
      </c>
      <c r="AM55" s="319"/>
      <c r="AO55" s="322" t="s">
        <v>38</v>
      </c>
      <c r="AP55" s="319">
        <f>SHARES!AL12</f>
        <v>100</v>
      </c>
      <c r="AQ55" s="319"/>
      <c r="AS55" s="322" t="s">
        <v>38</v>
      </c>
      <c r="AT55" s="319">
        <f>SHARES!AL13</f>
        <v>100</v>
      </c>
      <c r="AU55" s="319"/>
      <c r="AW55" s="322" t="s">
        <v>38</v>
      </c>
      <c r="AX55" s="319" t="str">
        <f>SHARES!AL14</f>
        <v/>
      </c>
      <c r="AY55" s="319"/>
    </row>
    <row r="56" ht="14.25" customHeight="1">
      <c r="E56" s="322" t="s">
        <v>38</v>
      </c>
      <c r="F56" s="319">
        <f>F55*1.1</f>
        <v>110</v>
      </c>
      <c r="G56" s="321">
        <f>F55*0.1</f>
        <v>10</v>
      </c>
      <c r="H56" s="320"/>
      <c r="I56" s="323" t="s">
        <v>39</v>
      </c>
      <c r="J56" s="319">
        <f>J55*1.1</f>
        <v>110</v>
      </c>
      <c r="K56" s="321">
        <f>J55*0.1</f>
        <v>10</v>
      </c>
      <c r="L56" s="320"/>
      <c r="M56" s="323" t="s">
        <v>39</v>
      </c>
      <c r="N56" s="319">
        <f>N55*1.1</f>
        <v>110</v>
      </c>
      <c r="O56" s="319">
        <f>N55*0.1</f>
        <v>10</v>
      </c>
      <c r="Q56" s="322" t="s">
        <v>39</v>
      </c>
      <c r="R56" s="319">
        <f>R55*1.1</f>
        <v>110</v>
      </c>
      <c r="S56" s="319">
        <f>R55*0.1</f>
        <v>10</v>
      </c>
      <c r="U56" s="322" t="s">
        <v>39</v>
      </c>
      <c r="V56" s="319">
        <f>V55*1.1</f>
        <v>110</v>
      </c>
      <c r="W56" s="319">
        <f>V55*0.1</f>
        <v>10</v>
      </c>
      <c r="Y56" s="322" t="s">
        <v>39</v>
      </c>
      <c r="Z56" s="319">
        <f>Z55*1.1</f>
        <v>110</v>
      </c>
      <c r="AA56" s="319">
        <f>Z55*0.1</f>
        <v>10</v>
      </c>
      <c r="AC56" s="322" t="s">
        <v>39</v>
      </c>
      <c r="AD56" s="319">
        <f>AD55*1.1</f>
        <v>110</v>
      </c>
      <c r="AE56" s="319">
        <f>AD55*0.1</f>
        <v>10</v>
      </c>
      <c r="AG56" s="322" t="s">
        <v>39</v>
      </c>
      <c r="AH56" s="319">
        <f>AH55*1.1</f>
        <v>110</v>
      </c>
      <c r="AI56" s="319">
        <f>AH55*0.1</f>
        <v>10</v>
      </c>
      <c r="AK56" s="322" t="s">
        <v>39</v>
      </c>
      <c r="AL56" s="319">
        <f>AL55*1.1</f>
        <v>110</v>
      </c>
      <c r="AM56" s="319">
        <f>AL55*0.1</f>
        <v>10</v>
      </c>
      <c r="AO56" s="322" t="s">
        <v>39</v>
      </c>
      <c r="AP56" s="319">
        <f>AP55*1.1</f>
        <v>110</v>
      </c>
      <c r="AQ56" s="319">
        <f>AP55*0.1</f>
        <v>10</v>
      </c>
      <c r="AS56" s="322" t="s">
        <v>39</v>
      </c>
      <c r="AT56" s="319">
        <f>AT55*1.1</f>
        <v>110</v>
      </c>
      <c r="AU56" s="319">
        <f>AT55*0.1</f>
        <v>10</v>
      </c>
      <c r="AW56" s="322" t="s">
        <v>39</v>
      </c>
      <c r="AX56" s="319">
        <f>AX55*1.1</f>
        <v>0</v>
      </c>
      <c r="AY56" s="319">
        <f>AX55*0.1</f>
        <v>0</v>
      </c>
    </row>
    <row r="57" ht="14.25" customHeight="1">
      <c r="E57" s="322" t="s">
        <v>39</v>
      </c>
      <c r="F57" s="319">
        <f t="shared" ref="F57:F60" si="121">F56*1.05</f>
        <v>115.5</v>
      </c>
      <c r="G57" s="321">
        <f t="shared" ref="G57:G60" si="122">F56*0.05</f>
        <v>5.5</v>
      </c>
      <c r="H57" s="320"/>
      <c r="I57" s="323" t="s">
        <v>40</v>
      </c>
      <c r="J57" s="319">
        <f t="shared" ref="J57:J60" si="123">J56*1.05</f>
        <v>115.5</v>
      </c>
      <c r="K57" s="321">
        <f t="shared" ref="K57:K60" si="124">J56*0.05</f>
        <v>5.5</v>
      </c>
      <c r="L57" s="320"/>
      <c r="M57" s="323" t="s">
        <v>40</v>
      </c>
      <c r="N57" s="319">
        <f t="shared" ref="N57:N60" si="125">N56*1.05</f>
        <v>115.5</v>
      </c>
      <c r="O57" s="319">
        <f t="shared" ref="O57:O60" si="126">N56*0.05</f>
        <v>5.5</v>
      </c>
      <c r="Q57" s="322" t="s">
        <v>40</v>
      </c>
      <c r="R57" s="319">
        <f t="shared" ref="R57:R60" si="127">R56*1.05</f>
        <v>115.5</v>
      </c>
      <c r="S57" s="319">
        <f t="shared" ref="S57:S60" si="128">R56*0.05</f>
        <v>5.5</v>
      </c>
      <c r="U57" s="322" t="s">
        <v>40</v>
      </c>
      <c r="V57" s="319">
        <f t="shared" ref="V57:V60" si="129">V56*1.05</f>
        <v>115.5</v>
      </c>
      <c r="W57" s="319">
        <f t="shared" ref="W57:W60" si="130">V56*0.05</f>
        <v>5.5</v>
      </c>
      <c r="Y57" s="322" t="s">
        <v>40</v>
      </c>
      <c r="Z57" s="319">
        <f t="shared" ref="Z57:Z60" si="131">Z56*1.05</f>
        <v>115.5</v>
      </c>
      <c r="AA57" s="319">
        <f t="shared" ref="AA57:AA60" si="132">Z56*0.05</f>
        <v>5.5</v>
      </c>
      <c r="AC57" s="322" t="s">
        <v>40</v>
      </c>
      <c r="AD57" s="319">
        <f t="shared" ref="AD57:AD60" si="133">AD56*1.05</f>
        <v>115.5</v>
      </c>
      <c r="AE57" s="319">
        <f t="shared" ref="AE57:AE60" si="134">AD56*0.05</f>
        <v>5.5</v>
      </c>
      <c r="AG57" s="322" t="s">
        <v>40</v>
      </c>
      <c r="AH57" s="319">
        <f t="shared" ref="AH57:AH60" si="135">AH56*1.05</f>
        <v>115.5</v>
      </c>
      <c r="AI57" s="319">
        <f t="shared" ref="AI57:AI60" si="136">AH56*0.05</f>
        <v>5.5</v>
      </c>
      <c r="AK57" s="322" t="s">
        <v>40</v>
      </c>
      <c r="AL57" s="319">
        <f t="shared" ref="AL57:AL60" si="137">AL56*1.05</f>
        <v>115.5</v>
      </c>
      <c r="AM57" s="319">
        <f t="shared" ref="AM57:AM60" si="138">AL56*0.05</f>
        <v>5.5</v>
      </c>
      <c r="AO57" s="322" t="s">
        <v>40</v>
      </c>
      <c r="AP57" s="319">
        <f t="shared" ref="AP57:AP60" si="139">AP56*1.05</f>
        <v>115.5</v>
      </c>
      <c r="AQ57" s="319">
        <f t="shared" ref="AQ57:AQ60" si="140">AP56*0.05</f>
        <v>5.5</v>
      </c>
      <c r="AS57" s="322" t="s">
        <v>40</v>
      </c>
      <c r="AT57" s="319">
        <f t="shared" ref="AT57:AT60" si="141">AT56*1.05</f>
        <v>115.5</v>
      </c>
      <c r="AU57" s="319">
        <f t="shared" ref="AU57:AU60" si="142">AT56*0.05</f>
        <v>5.5</v>
      </c>
      <c r="AW57" s="322" t="s">
        <v>40</v>
      </c>
      <c r="AX57" s="319">
        <f t="shared" ref="AX57:AX60" si="143">AX56*1.05</f>
        <v>0</v>
      </c>
      <c r="AY57" s="319">
        <f t="shared" ref="AY57:AY60" si="144">AX56*0.05</f>
        <v>0</v>
      </c>
    </row>
    <row r="58" ht="14.25" customHeight="1">
      <c r="E58" s="322" t="s">
        <v>40</v>
      </c>
      <c r="F58" s="319">
        <f t="shared" si="121"/>
        <v>121.275</v>
      </c>
      <c r="G58" s="321">
        <f t="shared" si="122"/>
        <v>5.775</v>
      </c>
      <c r="H58" s="320"/>
      <c r="I58" s="323" t="s">
        <v>41</v>
      </c>
      <c r="J58" s="319">
        <f t="shared" si="123"/>
        <v>121.275</v>
      </c>
      <c r="K58" s="321">
        <f t="shared" si="124"/>
        <v>5.775</v>
      </c>
      <c r="L58" s="320"/>
      <c r="M58" s="323" t="s">
        <v>41</v>
      </c>
      <c r="N58" s="319">
        <f t="shared" si="125"/>
        <v>121.275</v>
      </c>
      <c r="O58" s="319">
        <f t="shared" si="126"/>
        <v>5.775</v>
      </c>
      <c r="Q58" s="322" t="s">
        <v>41</v>
      </c>
      <c r="R58" s="319">
        <f t="shared" si="127"/>
        <v>121.275</v>
      </c>
      <c r="S58" s="319">
        <f t="shared" si="128"/>
        <v>5.775</v>
      </c>
      <c r="U58" s="322" t="s">
        <v>41</v>
      </c>
      <c r="V58" s="319">
        <f t="shared" si="129"/>
        <v>121.275</v>
      </c>
      <c r="W58" s="319">
        <f t="shared" si="130"/>
        <v>5.775</v>
      </c>
      <c r="Y58" s="322" t="s">
        <v>41</v>
      </c>
      <c r="Z58" s="319">
        <f t="shared" si="131"/>
        <v>121.275</v>
      </c>
      <c r="AA58" s="319">
        <f t="shared" si="132"/>
        <v>5.775</v>
      </c>
      <c r="AC58" s="322" t="s">
        <v>41</v>
      </c>
      <c r="AD58" s="319">
        <f t="shared" si="133"/>
        <v>121.275</v>
      </c>
      <c r="AE58" s="319">
        <f t="shared" si="134"/>
        <v>5.775</v>
      </c>
      <c r="AG58" s="322" t="s">
        <v>41</v>
      </c>
      <c r="AH58" s="319">
        <f t="shared" si="135"/>
        <v>121.275</v>
      </c>
      <c r="AI58" s="319">
        <f t="shared" si="136"/>
        <v>5.775</v>
      </c>
      <c r="AK58" s="322" t="s">
        <v>41</v>
      </c>
      <c r="AL58" s="319">
        <f t="shared" si="137"/>
        <v>121.275</v>
      </c>
      <c r="AM58" s="319">
        <f t="shared" si="138"/>
        <v>5.775</v>
      </c>
      <c r="AO58" s="322" t="s">
        <v>41</v>
      </c>
      <c r="AP58" s="319">
        <f t="shared" si="139"/>
        <v>121.275</v>
      </c>
      <c r="AQ58" s="319">
        <f t="shared" si="140"/>
        <v>5.775</v>
      </c>
      <c r="AS58" s="322" t="s">
        <v>41</v>
      </c>
      <c r="AT58" s="319">
        <f t="shared" si="141"/>
        <v>121.275</v>
      </c>
      <c r="AU58" s="319">
        <f t="shared" si="142"/>
        <v>5.775</v>
      </c>
      <c r="AW58" s="322" t="s">
        <v>41</v>
      </c>
      <c r="AX58" s="319">
        <f t="shared" si="143"/>
        <v>0</v>
      </c>
      <c r="AY58" s="319">
        <f t="shared" si="144"/>
        <v>0</v>
      </c>
    </row>
    <row r="59" ht="14.25" customHeight="1">
      <c r="E59" s="322" t="s">
        <v>41</v>
      </c>
      <c r="F59" s="319">
        <f t="shared" si="121"/>
        <v>127.33875</v>
      </c>
      <c r="G59" s="321">
        <f t="shared" si="122"/>
        <v>6.06375</v>
      </c>
      <c r="H59" s="320"/>
      <c r="I59" s="323" t="s">
        <v>42</v>
      </c>
      <c r="J59" s="319">
        <f t="shared" si="123"/>
        <v>127.33875</v>
      </c>
      <c r="K59" s="321">
        <f t="shared" si="124"/>
        <v>6.06375</v>
      </c>
      <c r="L59" s="320"/>
      <c r="M59" s="323" t="s">
        <v>42</v>
      </c>
      <c r="N59" s="319">
        <f t="shared" si="125"/>
        <v>127.33875</v>
      </c>
      <c r="O59" s="319">
        <f t="shared" si="126"/>
        <v>6.06375</v>
      </c>
      <c r="Q59" s="322" t="s">
        <v>42</v>
      </c>
      <c r="R59" s="319">
        <f t="shared" si="127"/>
        <v>127.33875</v>
      </c>
      <c r="S59" s="319">
        <f t="shared" si="128"/>
        <v>6.06375</v>
      </c>
      <c r="U59" s="322" t="s">
        <v>42</v>
      </c>
      <c r="V59" s="319">
        <f t="shared" si="129"/>
        <v>127.33875</v>
      </c>
      <c r="W59" s="319">
        <f t="shared" si="130"/>
        <v>6.06375</v>
      </c>
      <c r="Y59" s="322" t="s">
        <v>42</v>
      </c>
      <c r="Z59" s="319">
        <f t="shared" si="131"/>
        <v>127.33875</v>
      </c>
      <c r="AA59" s="319">
        <f t="shared" si="132"/>
        <v>6.06375</v>
      </c>
      <c r="AC59" s="322" t="s">
        <v>42</v>
      </c>
      <c r="AD59" s="319">
        <f t="shared" si="133"/>
        <v>127.33875</v>
      </c>
      <c r="AE59" s="319">
        <f t="shared" si="134"/>
        <v>6.06375</v>
      </c>
      <c r="AG59" s="322" t="s">
        <v>42</v>
      </c>
      <c r="AH59" s="319">
        <f t="shared" si="135"/>
        <v>127.33875</v>
      </c>
      <c r="AI59" s="319">
        <f t="shared" si="136"/>
        <v>6.06375</v>
      </c>
      <c r="AK59" s="322" t="s">
        <v>42</v>
      </c>
      <c r="AL59" s="319">
        <f t="shared" si="137"/>
        <v>127.33875</v>
      </c>
      <c r="AM59" s="319">
        <f t="shared" si="138"/>
        <v>6.06375</v>
      </c>
      <c r="AO59" s="322" t="s">
        <v>42</v>
      </c>
      <c r="AP59" s="319">
        <f t="shared" si="139"/>
        <v>127.33875</v>
      </c>
      <c r="AQ59" s="319">
        <f t="shared" si="140"/>
        <v>6.06375</v>
      </c>
      <c r="AS59" s="322" t="s">
        <v>42</v>
      </c>
      <c r="AT59" s="319">
        <f t="shared" si="141"/>
        <v>127.33875</v>
      </c>
      <c r="AU59" s="319">
        <f t="shared" si="142"/>
        <v>6.06375</v>
      </c>
      <c r="AW59" s="322" t="s">
        <v>42</v>
      </c>
      <c r="AX59" s="319">
        <f t="shared" si="143"/>
        <v>0</v>
      </c>
      <c r="AY59" s="319">
        <f t="shared" si="144"/>
        <v>0</v>
      </c>
    </row>
    <row r="60" ht="14.25" customHeight="1">
      <c r="E60" s="322" t="s">
        <v>42</v>
      </c>
      <c r="F60" s="319">
        <f t="shared" si="121"/>
        <v>133.7056875</v>
      </c>
      <c r="G60" s="321">
        <f t="shared" si="122"/>
        <v>6.3669375</v>
      </c>
      <c r="H60" s="320"/>
      <c r="I60" s="323" t="s">
        <v>43</v>
      </c>
      <c r="J60" s="319">
        <f t="shared" si="123"/>
        <v>133.7056875</v>
      </c>
      <c r="K60" s="321">
        <f t="shared" si="124"/>
        <v>6.3669375</v>
      </c>
      <c r="L60" s="320"/>
      <c r="M60" s="323" t="s">
        <v>43</v>
      </c>
      <c r="N60" s="319">
        <f t="shared" si="125"/>
        <v>133.7056875</v>
      </c>
      <c r="O60" s="319">
        <f t="shared" si="126"/>
        <v>6.3669375</v>
      </c>
      <c r="Q60" s="322" t="s">
        <v>43</v>
      </c>
      <c r="R60" s="319">
        <f t="shared" si="127"/>
        <v>133.7056875</v>
      </c>
      <c r="S60" s="319">
        <f t="shared" si="128"/>
        <v>6.3669375</v>
      </c>
      <c r="U60" s="322" t="s">
        <v>43</v>
      </c>
      <c r="V60" s="319">
        <f t="shared" si="129"/>
        <v>133.7056875</v>
      </c>
      <c r="W60" s="319">
        <f t="shared" si="130"/>
        <v>6.3669375</v>
      </c>
      <c r="Y60" s="322" t="s">
        <v>43</v>
      </c>
      <c r="Z60" s="319">
        <f t="shared" si="131"/>
        <v>133.7056875</v>
      </c>
      <c r="AA60" s="319">
        <f t="shared" si="132"/>
        <v>6.3669375</v>
      </c>
      <c r="AC60" s="322" t="s">
        <v>43</v>
      </c>
      <c r="AD60" s="319">
        <f t="shared" si="133"/>
        <v>133.7056875</v>
      </c>
      <c r="AE60" s="319">
        <f t="shared" si="134"/>
        <v>6.3669375</v>
      </c>
      <c r="AG60" s="322" t="s">
        <v>43</v>
      </c>
      <c r="AH60" s="319">
        <f t="shared" si="135"/>
        <v>133.7056875</v>
      </c>
      <c r="AI60" s="319">
        <f t="shared" si="136"/>
        <v>6.3669375</v>
      </c>
      <c r="AK60" s="322" t="s">
        <v>43</v>
      </c>
      <c r="AL60" s="319">
        <f t="shared" si="137"/>
        <v>133.7056875</v>
      </c>
      <c r="AM60" s="319">
        <f t="shared" si="138"/>
        <v>6.3669375</v>
      </c>
      <c r="AO60" s="322" t="s">
        <v>43</v>
      </c>
      <c r="AP60" s="319">
        <f t="shared" si="139"/>
        <v>133.7056875</v>
      </c>
      <c r="AQ60" s="319">
        <f t="shared" si="140"/>
        <v>6.3669375</v>
      </c>
      <c r="AS60" s="322" t="s">
        <v>43</v>
      </c>
      <c r="AT60" s="319">
        <f t="shared" si="141"/>
        <v>133.7056875</v>
      </c>
      <c r="AU60" s="319">
        <f t="shared" si="142"/>
        <v>6.3669375</v>
      </c>
      <c r="AW60" s="322" t="s">
        <v>43</v>
      </c>
      <c r="AX60" s="319">
        <f t="shared" si="143"/>
        <v>0</v>
      </c>
      <c r="AY60" s="319">
        <f t="shared" si="144"/>
        <v>0</v>
      </c>
    </row>
    <row r="61" ht="14.25" customHeight="1">
      <c r="E61" s="322"/>
      <c r="F61" s="319"/>
      <c r="G61" s="321"/>
      <c r="H61" s="320"/>
      <c r="I61" s="323"/>
      <c r="J61" s="319"/>
      <c r="K61" s="321"/>
      <c r="L61" s="320"/>
      <c r="M61" s="323"/>
      <c r="N61" s="319"/>
      <c r="O61" s="319"/>
      <c r="Q61" s="322"/>
      <c r="R61" s="319"/>
      <c r="S61" s="319"/>
      <c r="U61" s="322"/>
      <c r="V61" s="319"/>
      <c r="W61" s="319"/>
      <c r="Y61" s="322"/>
      <c r="Z61" s="319"/>
      <c r="AA61" s="319"/>
      <c r="AC61" s="322"/>
      <c r="AD61" s="319"/>
      <c r="AE61" s="319"/>
      <c r="AG61" s="322"/>
      <c r="AH61" s="319"/>
      <c r="AI61" s="319"/>
      <c r="AK61" s="322"/>
      <c r="AL61" s="319"/>
      <c r="AM61" s="319"/>
      <c r="AO61" s="322"/>
      <c r="AP61" s="319"/>
      <c r="AQ61" s="319"/>
      <c r="AS61" s="322"/>
      <c r="AT61" s="319"/>
      <c r="AU61" s="319"/>
      <c r="AW61" s="322"/>
      <c r="AX61" s="319"/>
      <c r="AY61" s="319"/>
    </row>
    <row r="62" ht="14.25" customHeight="1">
      <c r="E62" s="322" t="s">
        <v>38</v>
      </c>
      <c r="F62" s="319" t="str">
        <f>SHARES!AS3</f>
        <v/>
      </c>
      <c r="G62" s="321"/>
      <c r="H62" s="320"/>
      <c r="I62" s="323" t="s">
        <v>39</v>
      </c>
      <c r="J62" s="319">
        <f>SHARES!AS4</f>
        <v>100</v>
      </c>
      <c r="K62" s="321"/>
      <c r="L62" s="320"/>
      <c r="M62" s="323" t="s">
        <v>39</v>
      </c>
      <c r="N62" s="319">
        <f>SHARES!AS5</f>
        <v>100</v>
      </c>
      <c r="O62" s="319"/>
      <c r="Q62" s="322" t="s">
        <v>39</v>
      </c>
      <c r="R62" s="319">
        <f>SHARES!AS6</f>
        <v>100</v>
      </c>
      <c r="S62" s="319"/>
      <c r="U62" s="322" t="s">
        <v>39</v>
      </c>
      <c r="V62" s="319">
        <f>SHARES!AS7</f>
        <v>100</v>
      </c>
      <c r="W62" s="319"/>
      <c r="Y62" s="322" t="s">
        <v>39</v>
      </c>
      <c r="Z62" s="319">
        <f>SHARES!AS8</f>
        <v>100</v>
      </c>
      <c r="AA62" s="319"/>
      <c r="AC62" s="322" t="s">
        <v>39</v>
      </c>
      <c r="AD62" s="319">
        <f>SHARES!AS9</f>
        <v>100</v>
      </c>
      <c r="AE62" s="319"/>
      <c r="AG62" s="322" t="s">
        <v>39</v>
      </c>
      <c r="AH62" s="319" t="str">
        <f>SHARES!AS10</f>
        <v/>
      </c>
      <c r="AI62" s="319"/>
      <c r="AK62" s="322" t="s">
        <v>39</v>
      </c>
      <c r="AL62" s="319">
        <f>SHARES!AS11</f>
        <v>100</v>
      </c>
      <c r="AM62" s="319"/>
      <c r="AO62" s="322" t="s">
        <v>39</v>
      </c>
      <c r="AP62" s="319" t="str">
        <f>SHARES!AS12</f>
        <v/>
      </c>
      <c r="AQ62" s="319"/>
      <c r="AS62" s="322" t="s">
        <v>39</v>
      </c>
      <c r="AT62" s="319">
        <f>SHARES!AS13</f>
        <v>100</v>
      </c>
      <c r="AU62" s="319"/>
      <c r="AW62" s="322" t="s">
        <v>39</v>
      </c>
      <c r="AX62" s="319" t="str">
        <f>SHARES!AS14</f>
        <v/>
      </c>
      <c r="AY62" s="319"/>
    </row>
    <row r="63" ht="14.25" customHeight="1">
      <c r="E63" s="322" t="s">
        <v>39</v>
      </c>
      <c r="F63" s="319">
        <f>F62*1.1</f>
        <v>0</v>
      </c>
      <c r="G63" s="321">
        <f>F62*0.1</f>
        <v>0</v>
      </c>
      <c r="H63" s="320"/>
      <c r="I63" s="323" t="s">
        <v>40</v>
      </c>
      <c r="J63" s="319">
        <f>J62*1.1</f>
        <v>110</v>
      </c>
      <c r="K63" s="321">
        <f>J62*0.1</f>
        <v>10</v>
      </c>
      <c r="L63" s="320"/>
      <c r="M63" s="323" t="s">
        <v>40</v>
      </c>
      <c r="N63" s="319">
        <f>N62*1.1</f>
        <v>110</v>
      </c>
      <c r="O63" s="319">
        <f>N62*0.1</f>
        <v>10</v>
      </c>
      <c r="Q63" s="322" t="s">
        <v>40</v>
      </c>
      <c r="R63" s="319">
        <f>R62*1.1</f>
        <v>110</v>
      </c>
      <c r="S63" s="319">
        <f>R62*0.1</f>
        <v>10</v>
      </c>
      <c r="U63" s="322" t="s">
        <v>40</v>
      </c>
      <c r="V63" s="319">
        <f>V62*1.1</f>
        <v>110</v>
      </c>
      <c r="W63" s="319">
        <f>V62*0.1</f>
        <v>10</v>
      </c>
      <c r="Y63" s="322" t="s">
        <v>40</v>
      </c>
      <c r="Z63" s="319">
        <f>Z62*1.1</f>
        <v>110</v>
      </c>
      <c r="AA63" s="319">
        <f>Z62*0.1</f>
        <v>10</v>
      </c>
      <c r="AC63" s="322" t="s">
        <v>40</v>
      </c>
      <c r="AD63" s="319">
        <f>AD62*1.1</f>
        <v>110</v>
      </c>
      <c r="AE63" s="319">
        <f>AD62*0.1</f>
        <v>10</v>
      </c>
      <c r="AG63" s="322" t="s">
        <v>40</v>
      </c>
      <c r="AH63" s="319">
        <f>AH62*1.1</f>
        <v>0</v>
      </c>
      <c r="AI63" s="319">
        <f>AH62*0.1</f>
        <v>0</v>
      </c>
      <c r="AK63" s="322" t="s">
        <v>40</v>
      </c>
      <c r="AL63" s="319">
        <f>AL62*1.1</f>
        <v>110</v>
      </c>
      <c r="AM63" s="319">
        <f>AL62*0.1</f>
        <v>10</v>
      </c>
      <c r="AO63" s="322" t="s">
        <v>40</v>
      </c>
      <c r="AP63" s="319">
        <f>AP62*1.1</f>
        <v>0</v>
      </c>
      <c r="AQ63" s="319">
        <f>AP62*0.1</f>
        <v>0</v>
      </c>
      <c r="AS63" s="322" t="s">
        <v>40</v>
      </c>
      <c r="AT63" s="319">
        <f>AT62*1.1</f>
        <v>110</v>
      </c>
      <c r="AU63" s="319">
        <f>AT62*0.1</f>
        <v>10</v>
      </c>
      <c r="AW63" s="322" t="s">
        <v>40</v>
      </c>
      <c r="AX63" s="319">
        <f>AX62*1.1</f>
        <v>0</v>
      </c>
      <c r="AY63" s="319">
        <f>AX62*0.1</f>
        <v>0</v>
      </c>
    </row>
    <row r="64" ht="14.25" customHeight="1">
      <c r="E64" s="322" t="s">
        <v>40</v>
      </c>
      <c r="F64" s="319">
        <f t="shared" ref="F64:F66" si="145">F63*1.05</f>
        <v>0</v>
      </c>
      <c r="G64" s="321">
        <f t="shared" ref="G64:G66" si="146">F63*0.05</f>
        <v>0</v>
      </c>
      <c r="H64" s="320"/>
      <c r="I64" s="323" t="s">
        <v>41</v>
      </c>
      <c r="J64" s="319">
        <f t="shared" ref="J64:J66" si="147">J63*1.05</f>
        <v>115.5</v>
      </c>
      <c r="K64" s="321">
        <f t="shared" ref="K64:K66" si="148">J63*0.05</f>
        <v>5.5</v>
      </c>
      <c r="L64" s="320"/>
      <c r="M64" s="323" t="s">
        <v>41</v>
      </c>
      <c r="N64" s="319">
        <f t="shared" ref="N64:N66" si="149">N63*1.05</f>
        <v>115.5</v>
      </c>
      <c r="O64" s="319">
        <f t="shared" ref="O64:O66" si="150">N63*0.05</f>
        <v>5.5</v>
      </c>
      <c r="Q64" s="322" t="s">
        <v>41</v>
      </c>
      <c r="R64" s="319">
        <f t="shared" ref="R64:R66" si="151">R63*1.05</f>
        <v>115.5</v>
      </c>
      <c r="S64" s="319">
        <f t="shared" ref="S64:S66" si="152">R63*0.05</f>
        <v>5.5</v>
      </c>
      <c r="U64" s="322" t="s">
        <v>41</v>
      </c>
      <c r="V64" s="319">
        <f t="shared" ref="V64:V66" si="153">V63*1.05</f>
        <v>115.5</v>
      </c>
      <c r="W64" s="319">
        <f t="shared" ref="W64:W66" si="154">V63*0.05</f>
        <v>5.5</v>
      </c>
      <c r="Y64" s="322" t="s">
        <v>41</v>
      </c>
      <c r="Z64" s="319">
        <f t="shared" ref="Z64:Z66" si="155">Z63*1.05</f>
        <v>115.5</v>
      </c>
      <c r="AA64" s="319">
        <f t="shared" ref="AA64:AA66" si="156">Z63*0.05</f>
        <v>5.5</v>
      </c>
      <c r="AC64" s="322" t="s">
        <v>41</v>
      </c>
      <c r="AD64" s="319">
        <f t="shared" ref="AD64:AD66" si="157">AD63*1.05</f>
        <v>115.5</v>
      </c>
      <c r="AE64" s="319">
        <f t="shared" ref="AE64:AE66" si="158">AD63*0.05</f>
        <v>5.5</v>
      </c>
      <c r="AG64" s="322" t="s">
        <v>41</v>
      </c>
      <c r="AH64" s="319">
        <f t="shared" ref="AH64:AH66" si="159">AH63*1.05</f>
        <v>0</v>
      </c>
      <c r="AI64" s="319">
        <f t="shared" ref="AI64:AI66" si="160">AH63*0.05</f>
        <v>0</v>
      </c>
      <c r="AK64" s="322" t="s">
        <v>41</v>
      </c>
      <c r="AL64" s="319">
        <f t="shared" ref="AL64:AL66" si="161">AL63*1.05</f>
        <v>115.5</v>
      </c>
      <c r="AM64" s="319">
        <f t="shared" ref="AM64:AM66" si="162">AL63*0.05</f>
        <v>5.5</v>
      </c>
      <c r="AO64" s="322" t="s">
        <v>41</v>
      </c>
      <c r="AP64" s="319">
        <f t="shared" ref="AP64:AP66" si="163">AP63*1.05</f>
        <v>0</v>
      </c>
      <c r="AQ64" s="319">
        <f t="shared" ref="AQ64:AQ66" si="164">AP63*0.05</f>
        <v>0</v>
      </c>
      <c r="AS64" s="322" t="s">
        <v>41</v>
      </c>
      <c r="AT64" s="319">
        <f t="shared" ref="AT64:AT66" si="165">AT63*1.05</f>
        <v>115.5</v>
      </c>
      <c r="AU64" s="319">
        <f t="shared" ref="AU64:AU66" si="166">AT63*0.05</f>
        <v>5.5</v>
      </c>
      <c r="AW64" s="322" t="s">
        <v>41</v>
      </c>
      <c r="AX64" s="319">
        <f t="shared" ref="AX64:AX66" si="167">AX63*1.05</f>
        <v>0</v>
      </c>
      <c r="AY64" s="319">
        <f t="shared" ref="AY64:AY66" si="168">AX63*0.05</f>
        <v>0</v>
      </c>
    </row>
    <row r="65" ht="14.25" customHeight="1">
      <c r="E65" s="322" t="s">
        <v>41</v>
      </c>
      <c r="F65" s="319">
        <f t="shared" si="145"/>
        <v>0</v>
      </c>
      <c r="G65" s="321">
        <f t="shared" si="146"/>
        <v>0</v>
      </c>
      <c r="H65" s="320"/>
      <c r="I65" s="323" t="s">
        <v>42</v>
      </c>
      <c r="J65" s="319">
        <f t="shared" si="147"/>
        <v>121.275</v>
      </c>
      <c r="K65" s="321">
        <f t="shared" si="148"/>
        <v>5.775</v>
      </c>
      <c r="L65" s="320"/>
      <c r="M65" s="323" t="s">
        <v>42</v>
      </c>
      <c r="N65" s="319">
        <f t="shared" si="149"/>
        <v>121.275</v>
      </c>
      <c r="O65" s="319">
        <f t="shared" si="150"/>
        <v>5.775</v>
      </c>
      <c r="Q65" s="322" t="s">
        <v>42</v>
      </c>
      <c r="R65" s="319">
        <f t="shared" si="151"/>
        <v>121.275</v>
      </c>
      <c r="S65" s="319">
        <f t="shared" si="152"/>
        <v>5.775</v>
      </c>
      <c r="U65" s="322" t="s">
        <v>42</v>
      </c>
      <c r="V65" s="319">
        <f t="shared" si="153"/>
        <v>121.275</v>
      </c>
      <c r="W65" s="319">
        <f t="shared" si="154"/>
        <v>5.775</v>
      </c>
      <c r="Y65" s="322" t="s">
        <v>42</v>
      </c>
      <c r="Z65" s="319">
        <f t="shared" si="155"/>
        <v>121.275</v>
      </c>
      <c r="AA65" s="319">
        <f t="shared" si="156"/>
        <v>5.775</v>
      </c>
      <c r="AC65" s="322" t="s">
        <v>42</v>
      </c>
      <c r="AD65" s="319">
        <f t="shared" si="157"/>
        <v>121.275</v>
      </c>
      <c r="AE65" s="319">
        <f t="shared" si="158"/>
        <v>5.775</v>
      </c>
      <c r="AG65" s="322" t="s">
        <v>42</v>
      </c>
      <c r="AH65" s="319">
        <f t="shared" si="159"/>
        <v>0</v>
      </c>
      <c r="AI65" s="319">
        <f t="shared" si="160"/>
        <v>0</v>
      </c>
      <c r="AK65" s="322" t="s">
        <v>42</v>
      </c>
      <c r="AL65" s="319">
        <f t="shared" si="161"/>
        <v>121.275</v>
      </c>
      <c r="AM65" s="319">
        <f t="shared" si="162"/>
        <v>5.775</v>
      </c>
      <c r="AO65" s="322" t="s">
        <v>42</v>
      </c>
      <c r="AP65" s="319">
        <f t="shared" si="163"/>
        <v>0</v>
      </c>
      <c r="AQ65" s="319">
        <f t="shared" si="164"/>
        <v>0</v>
      </c>
      <c r="AS65" s="322" t="s">
        <v>42</v>
      </c>
      <c r="AT65" s="319">
        <f t="shared" si="165"/>
        <v>121.275</v>
      </c>
      <c r="AU65" s="319">
        <f t="shared" si="166"/>
        <v>5.775</v>
      </c>
      <c r="AW65" s="322" t="s">
        <v>42</v>
      </c>
      <c r="AX65" s="319">
        <f t="shared" si="167"/>
        <v>0</v>
      </c>
      <c r="AY65" s="319">
        <f t="shared" si="168"/>
        <v>0</v>
      </c>
    </row>
    <row r="66" ht="14.25" customHeight="1">
      <c r="E66" s="322" t="s">
        <v>42</v>
      </c>
      <c r="F66" s="319">
        <f t="shared" si="145"/>
        <v>0</v>
      </c>
      <c r="G66" s="321">
        <f t="shared" si="146"/>
        <v>0</v>
      </c>
      <c r="H66" s="320"/>
      <c r="I66" s="323" t="s">
        <v>43</v>
      </c>
      <c r="J66" s="319">
        <f t="shared" si="147"/>
        <v>127.33875</v>
      </c>
      <c r="K66" s="321">
        <f t="shared" si="148"/>
        <v>6.06375</v>
      </c>
      <c r="L66" s="320"/>
      <c r="M66" s="323" t="s">
        <v>43</v>
      </c>
      <c r="N66" s="319">
        <f t="shared" si="149"/>
        <v>127.33875</v>
      </c>
      <c r="O66" s="319">
        <f t="shared" si="150"/>
        <v>6.06375</v>
      </c>
      <c r="Q66" s="322" t="s">
        <v>43</v>
      </c>
      <c r="R66" s="319">
        <f t="shared" si="151"/>
        <v>127.33875</v>
      </c>
      <c r="S66" s="319">
        <f t="shared" si="152"/>
        <v>6.06375</v>
      </c>
      <c r="U66" s="322" t="s">
        <v>43</v>
      </c>
      <c r="V66" s="319">
        <f t="shared" si="153"/>
        <v>127.33875</v>
      </c>
      <c r="W66" s="319">
        <f t="shared" si="154"/>
        <v>6.06375</v>
      </c>
      <c r="Y66" s="322" t="s">
        <v>43</v>
      </c>
      <c r="Z66" s="319">
        <f t="shared" si="155"/>
        <v>127.33875</v>
      </c>
      <c r="AA66" s="319">
        <f t="shared" si="156"/>
        <v>6.06375</v>
      </c>
      <c r="AC66" s="322" t="s">
        <v>43</v>
      </c>
      <c r="AD66" s="319">
        <f t="shared" si="157"/>
        <v>127.33875</v>
      </c>
      <c r="AE66" s="319">
        <f t="shared" si="158"/>
        <v>6.06375</v>
      </c>
      <c r="AG66" s="322" t="s">
        <v>43</v>
      </c>
      <c r="AH66" s="319">
        <f t="shared" si="159"/>
        <v>0</v>
      </c>
      <c r="AI66" s="319">
        <f t="shared" si="160"/>
        <v>0</v>
      </c>
      <c r="AK66" s="322" t="s">
        <v>43</v>
      </c>
      <c r="AL66" s="319">
        <f t="shared" si="161"/>
        <v>127.33875</v>
      </c>
      <c r="AM66" s="319">
        <f t="shared" si="162"/>
        <v>6.06375</v>
      </c>
      <c r="AO66" s="322" t="s">
        <v>43</v>
      </c>
      <c r="AP66" s="319">
        <f t="shared" si="163"/>
        <v>0</v>
      </c>
      <c r="AQ66" s="319">
        <f t="shared" si="164"/>
        <v>0</v>
      </c>
      <c r="AS66" s="322" t="s">
        <v>43</v>
      </c>
      <c r="AT66" s="319">
        <f t="shared" si="165"/>
        <v>127.33875</v>
      </c>
      <c r="AU66" s="319">
        <f t="shared" si="166"/>
        <v>6.06375</v>
      </c>
      <c r="AW66" s="322" t="s">
        <v>43</v>
      </c>
      <c r="AX66" s="319">
        <f t="shared" si="167"/>
        <v>0</v>
      </c>
      <c r="AY66" s="319">
        <f t="shared" si="168"/>
        <v>0</v>
      </c>
    </row>
    <row r="67" ht="14.25" customHeight="1">
      <c r="E67" s="322"/>
      <c r="F67" s="319"/>
      <c r="G67" s="321"/>
      <c r="H67" s="320"/>
      <c r="I67" s="323"/>
      <c r="J67" s="319"/>
      <c r="K67" s="321"/>
      <c r="L67" s="320"/>
      <c r="M67" s="323"/>
      <c r="N67" s="319"/>
      <c r="O67" s="319"/>
      <c r="Q67" s="322"/>
      <c r="R67" s="319"/>
      <c r="S67" s="319"/>
      <c r="U67" s="322"/>
      <c r="V67" s="319"/>
      <c r="W67" s="319"/>
      <c r="Y67" s="322"/>
      <c r="Z67" s="319"/>
      <c r="AA67" s="319"/>
      <c r="AC67" s="322"/>
      <c r="AD67" s="319"/>
      <c r="AE67" s="319"/>
      <c r="AG67" s="322"/>
      <c r="AH67" s="319"/>
      <c r="AI67" s="319"/>
      <c r="AK67" s="322"/>
      <c r="AL67" s="319"/>
      <c r="AM67" s="319"/>
      <c r="AO67" s="322"/>
      <c r="AP67" s="319"/>
      <c r="AQ67" s="319"/>
      <c r="AS67" s="322"/>
      <c r="AT67" s="319"/>
      <c r="AU67" s="319"/>
      <c r="AW67" s="322"/>
      <c r="AX67" s="319"/>
      <c r="AY67" s="319"/>
    </row>
    <row r="68" ht="14.25" customHeight="1">
      <c r="E68" s="322" t="s">
        <v>39</v>
      </c>
      <c r="F68" s="319">
        <f>SHARES!AZ3</f>
        <v>0</v>
      </c>
      <c r="G68" s="321"/>
      <c r="H68" s="320"/>
      <c r="I68" s="323" t="s">
        <v>40</v>
      </c>
      <c r="J68" s="319">
        <f>SHARES!AZ4</f>
        <v>100</v>
      </c>
      <c r="K68" s="321"/>
      <c r="L68" s="320"/>
      <c r="M68" s="323" t="s">
        <v>40</v>
      </c>
      <c r="N68" s="319">
        <f>SHARES!AZ5</f>
        <v>100</v>
      </c>
      <c r="O68" s="319"/>
      <c r="Q68" s="322" t="s">
        <v>40</v>
      </c>
      <c r="R68" s="319">
        <f>SHARES!AZ6</f>
        <v>100</v>
      </c>
      <c r="S68" s="319"/>
      <c r="U68" s="322" t="s">
        <v>40</v>
      </c>
      <c r="V68" s="319">
        <f>SHARES!AZ7</f>
        <v>100</v>
      </c>
      <c r="W68" s="319"/>
      <c r="Y68" s="322" t="s">
        <v>40</v>
      </c>
      <c r="Z68" s="319">
        <f>SHARES!AZ8</f>
        <v>0</v>
      </c>
      <c r="AA68" s="319"/>
      <c r="AC68" s="322" t="s">
        <v>40</v>
      </c>
      <c r="AD68" s="319">
        <f>SHARES!AZ9</f>
        <v>0</v>
      </c>
      <c r="AE68" s="319"/>
      <c r="AG68" s="322" t="s">
        <v>40</v>
      </c>
      <c r="AH68" s="319">
        <f>SHARES!AZ10</f>
        <v>0</v>
      </c>
      <c r="AI68" s="319"/>
      <c r="AK68" s="322" t="s">
        <v>40</v>
      </c>
      <c r="AL68" s="319">
        <f>SHARES!AZ11</f>
        <v>100</v>
      </c>
      <c r="AM68" s="319"/>
      <c r="AO68" s="322" t="s">
        <v>40</v>
      </c>
      <c r="AP68" s="319">
        <f>SHARES!AZ12</f>
        <v>0</v>
      </c>
      <c r="AQ68" s="319"/>
      <c r="AS68" s="322" t="s">
        <v>40</v>
      </c>
      <c r="AT68" s="319">
        <f>SHARES!AZ13</f>
        <v>0</v>
      </c>
      <c r="AU68" s="319"/>
      <c r="AW68" s="322" t="s">
        <v>40</v>
      </c>
      <c r="AX68" s="319">
        <f>SHARES!AZ14</f>
        <v>0</v>
      </c>
      <c r="AY68" s="319"/>
    </row>
    <row r="69" ht="14.25" customHeight="1">
      <c r="E69" s="322" t="s">
        <v>40</v>
      </c>
      <c r="F69" s="319">
        <f>F68*1.1</f>
        <v>0</v>
      </c>
      <c r="G69" s="321">
        <f>F68*0.1</f>
        <v>0</v>
      </c>
      <c r="H69" s="320"/>
      <c r="I69" s="323" t="s">
        <v>41</v>
      </c>
      <c r="J69" s="319">
        <f>J68*1.1</f>
        <v>110</v>
      </c>
      <c r="K69" s="321">
        <f>J68*0.1</f>
        <v>10</v>
      </c>
      <c r="L69" s="320"/>
      <c r="M69" s="323" t="s">
        <v>41</v>
      </c>
      <c r="N69" s="319">
        <f>N68*1.1</f>
        <v>110</v>
      </c>
      <c r="O69" s="319">
        <f>N68*0.1</f>
        <v>10</v>
      </c>
      <c r="Q69" s="322" t="s">
        <v>41</v>
      </c>
      <c r="R69" s="319">
        <f>R68*1.1</f>
        <v>110</v>
      </c>
      <c r="S69" s="319">
        <f>R68*0.1</f>
        <v>10</v>
      </c>
      <c r="U69" s="322" t="s">
        <v>41</v>
      </c>
      <c r="V69" s="319">
        <f>V68*1.1</f>
        <v>110</v>
      </c>
      <c r="W69" s="319">
        <f>V68*0.1</f>
        <v>10</v>
      </c>
      <c r="Y69" s="322" t="s">
        <v>41</v>
      </c>
      <c r="Z69" s="319">
        <f>Z68*1.1</f>
        <v>0</v>
      </c>
      <c r="AA69" s="319">
        <f>Z68*0.1</f>
        <v>0</v>
      </c>
      <c r="AC69" s="322" t="s">
        <v>41</v>
      </c>
      <c r="AD69" s="319">
        <f>AD68*1.1</f>
        <v>0</v>
      </c>
      <c r="AE69" s="319">
        <f>AD68*0.1</f>
        <v>0</v>
      </c>
      <c r="AG69" s="322" t="s">
        <v>41</v>
      </c>
      <c r="AH69" s="319">
        <f>AH68*1.1</f>
        <v>0</v>
      </c>
      <c r="AI69" s="319">
        <f>AH68*0.1</f>
        <v>0</v>
      </c>
      <c r="AK69" s="322" t="s">
        <v>41</v>
      </c>
      <c r="AL69" s="319">
        <f>AL68*1.1</f>
        <v>110</v>
      </c>
      <c r="AM69" s="319">
        <f>AL68*0.1</f>
        <v>10</v>
      </c>
      <c r="AO69" s="322" t="s">
        <v>41</v>
      </c>
      <c r="AP69" s="319">
        <f>AP68*1.1</f>
        <v>0</v>
      </c>
      <c r="AQ69" s="319">
        <f>AP68*0.1</f>
        <v>0</v>
      </c>
      <c r="AS69" s="322" t="s">
        <v>41</v>
      </c>
      <c r="AT69" s="319">
        <f>AT68*1.1</f>
        <v>0</v>
      </c>
      <c r="AU69" s="319">
        <f>AT68*0.1</f>
        <v>0</v>
      </c>
      <c r="AW69" s="322" t="s">
        <v>41</v>
      </c>
      <c r="AX69" s="319">
        <f>AX68*1.1</f>
        <v>0</v>
      </c>
      <c r="AY69" s="319">
        <f>AX68*0.1</f>
        <v>0</v>
      </c>
    </row>
    <row r="70" ht="14.25" customHeight="1">
      <c r="E70" s="322" t="s">
        <v>41</v>
      </c>
      <c r="F70" s="319">
        <f t="shared" ref="F70:F71" si="169">F69*1.05</f>
        <v>0</v>
      </c>
      <c r="G70" s="321">
        <f t="shared" ref="G70:G71" si="170">F69*0.05</f>
        <v>0</v>
      </c>
      <c r="H70" s="320"/>
      <c r="I70" s="323" t="s">
        <v>42</v>
      </c>
      <c r="J70" s="319">
        <f t="shared" ref="J70:J71" si="171">J69*1.05</f>
        <v>115.5</v>
      </c>
      <c r="K70" s="321">
        <f t="shared" ref="K70:K71" si="172">J69*0.05</f>
        <v>5.5</v>
      </c>
      <c r="L70" s="320"/>
      <c r="M70" s="323" t="s">
        <v>42</v>
      </c>
      <c r="N70" s="319">
        <f t="shared" ref="N70:N71" si="173">N69*1.05</f>
        <v>115.5</v>
      </c>
      <c r="O70" s="319">
        <f t="shared" ref="O70:O71" si="174">N69*0.05</f>
        <v>5.5</v>
      </c>
      <c r="Q70" s="322" t="s">
        <v>42</v>
      </c>
      <c r="R70" s="319">
        <f t="shared" ref="R70:R71" si="175">R69*1.05</f>
        <v>115.5</v>
      </c>
      <c r="S70" s="319">
        <f t="shared" ref="S70:S71" si="176">R69*0.05</f>
        <v>5.5</v>
      </c>
      <c r="U70" s="322" t="s">
        <v>42</v>
      </c>
      <c r="V70" s="319">
        <f t="shared" ref="V70:V71" si="177">V69*1.05</f>
        <v>115.5</v>
      </c>
      <c r="W70" s="319">
        <f t="shared" ref="W70:W71" si="178">V69*0.05</f>
        <v>5.5</v>
      </c>
      <c r="Y70" s="322" t="s">
        <v>42</v>
      </c>
      <c r="Z70" s="319">
        <f t="shared" ref="Z70:Z71" si="179">Z69*1.05</f>
        <v>0</v>
      </c>
      <c r="AA70" s="319">
        <f t="shared" ref="AA70:AA71" si="180">Z69*0.05</f>
        <v>0</v>
      </c>
      <c r="AC70" s="322" t="s">
        <v>42</v>
      </c>
      <c r="AD70" s="319">
        <f t="shared" ref="AD70:AD71" si="181">AD69*1.05</f>
        <v>0</v>
      </c>
      <c r="AE70" s="319">
        <f t="shared" ref="AE70:AE71" si="182">AD69*0.05</f>
        <v>0</v>
      </c>
      <c r="AG70" s="322" t="s">
        <v>42</v>
      </c>
      <c r="AH70" s="319">
        <f t="shared" ref="AH70:AH71" si="183">AH69*1.05</f>
        <v>0</v>
      </c>
      <c r="AI70" s="319">
        <f t="shared" ref="AI70:AI71" si="184">AH69*0.05</f>
        <v>0</v>
      </c>
      <c r="AK70" s="322" t="s">
        <v>42</v>
      </c>
      <c r="AL70" s="319">
        <f t="shared" ref="AL70:AL71" si="185">AL69*1.05</f>
        <v>115.5</v>
      </c>
      <c r="AM70" s="319">
        <f t="shared" ref="AM70:AM71" si="186">AL69*0.05</f>
        <v>5.5</v>
      </c>
      <c r="AO70" s="322" t="s">
        <v>42</v>
      </c>
      <c r="AP70" s="319">
        <f t="shared" ref="AP70:AP71" si="187">AP69*1.05</f>
        <v>0</v>
      </c>
      <c r="AQ70" s="319">
        <f t="shared" ref="AQ70:AQ71" si="188">AP69*0.05</f>
        <v>0</v>
      </c>
      <c r="AS70" s="322" t="s">
        <v>42</v>
      </c>
      <c r="AT70" s="319">
        <f t="shared" ref="AT70:AT71" si="189">AT69*1.05</f>
        <v>0</v>
      </c>
      <c r="AU70" s="319">
        <f t="shared" ref="AU70:AU71" si="190">AT69*0.05</f>
        <v>0</v>
      </c>
      <c r="AW70" s="322" t="s">
        <v>42</v>
      </c>
      <c r="AX70" s="319">
        <f t="shared" ref="AX70:AX71" si="191">AX69*1.05</f>
        <v>0</v>
      </c>
      <c r="AY70" s="319">
        <f t="shared" ref="AY70:AY71" si="192">AX69*0.05</f>
        <v>0</v>
      </c>
    </row>
    <row r="71" ht="14.25" customHeight="1">
      <c r="E71" s="322" t="s">
        <v>42</v>
      </c>
      <c r="F71" s="319">
        <f t="shared" si="169"/>
        <v>0</v>
      </c>
      <c r="G71" s="321">
        <f t="shared" si="170"/>
        <v>0</v>
      </c>
      <c r="H71" s="320"/>
      <c r="I71" s="323" t="s">
        <v>43</v>
      </c>
      <c r="J71" s="319">
        <f t="shared" si="171"/>
        <v>121.275</v>
      </c>
      <c r="K71" s="321">
        <f t="shared" si="172"/>
        <v>5.775</v>
      </c>
      <c r="L71" s="320"/>
      <c r="M71" s="323" t="s">
        <v>43</v>
      </c>
      <c r="N71" s="319">
        <f t="shared" si="173"/>
        <v>121.275</v>
      </c>
      <c r="O71" s="319">
        <f t="shared" si="174"/>
        <v>5.775</v>
      </c>
      <c r="Q71" s="322" t="s">
        <v>43</v>
      </c>
      <c r="R71" s="319">
        <f t="shared" si="175"/>
        <v>121.275</v>
      </c>
      <c r="S71" s="319">
        <f t="shared" si="176"/>
        <v>5.775</v>
      </c>
      <c r="U71" s="322" t="s">
        <v>43</v>
      </c>
      <c r="V71" s="319">
        <f t="shared" si="177"/>
        <v>121.275</v>
      </c>
      <c r="W71" s="319">
        <f t="shared" si="178"/>
        <v>5.775</v>
      </c>
      <c r="Y71" s="322" t="s">
        <v>43</v>
      </c>
      <c r="Z71" s="319">
        <f t="shared" si="179"/>
        <v>0</v>
      </c>
      <c r="AA71" s="319">
        <f t="shared" si="180"/>
        <v>0</v>
      </c>
      <c r="AC71" s="322" t="s">
        <v>43</v>
      </c>
      <c r="AD71" s="319">
        <f t="shared" si="181"/>
        <v>0</v>
      </c>
      <c r="AE71" s="319">
        <f t="shared" si="182"/>
        <v>0</v>
      </c>
      <c r="AG71" s="322" t="s">
        <v>43</v>
      </c>
      <c r="AH71" s="319">
        <f t="shared" si="183"/>
        <v>0</v>
      </c>
      <c r="AI71" s="319">
        <f t="shared" si="184"/>
        <v>0</v>
      </c>
      <c r="AK71" s="322" t="s">
        <v>43</v>
      </c>
      <c r="AL71" s="319">
        <f t="shared" si="185"/>
        <v>121.275</v>
      </c>
      <c r="AM71" s="319">
        <f t="shared" si="186"/>
        <v>5.775</v>
      </c>
      <c r="AO71" s="322" t="s">
        <v>43</v>
      </c>
      <c r="AP71" s="319">
        <f t="shared" si="187"/>
        <v>0</v>
      </c>
      <c r="AQ71" s="319">
        <f t="shared" si="188"/>
        <v>0</v>
      </c>
      <c r="AS71" s="322" t="s">
        <v>43</v>
      </c>
      <c r="AT71" s="319">
        <f t="shared" si="189"/>
        <v>0</v>
      </c>
      <c r="AU71" s="319">
        <f t="shared" si="190"/>
        <v>0</v>
      </c>
      <c r="AW71" s="322" t="s">
        <v>43</v>
      </c>
      <c r="AX71" s="319">
        <f t="shared" si="191"/>
        <v>0</v>
      </c>
      <c r="AY71" s="319">
        <f t="shared" si="192"/>
        <v>0</v>
      </c>
    </row>
    <row r="72" ht="14.25" customHeight="1">
      <c r="E72" s="322"/>
      <c r="F72" s="319"/>
      <c r="G72" s="321"/>
      <c r="H72" s="320"/>
      <c r="I72" s="323"/>
      <c r="J72" s="319"/>
      <c r="K72" s="321"/>
      <c r="L72" s="320"/>
      <c r="M72" s="323"/>
      <c r="N72" s="319"/>
      <c r="O72" s="319"/>
      <c r="Q72" s="322"/>
      <c r="R72" s="319"/>
      <c r="S72" s="319"/>
      <c r="U72" s="322"/>
      <c r="V72" s="319"/>
      <c r="W72" s="319"/>
      <c r="Y72" s="322"/>
      <c r="Z72" s="319"/>
      <c r="AA72" s="319"/>
      <c r="AC72" s="322"/>
      <c r="AD72" s="319"/>
      <c r="AE72" s="319"/>
      <c r="AG72" s="322"/>
      <c r="AH72" s="319"/>
      <c r="AI72" s="319"/>
      <c r="AK72" s="322"/>
      <c r="AL72" s="319"/>
      <c r="AM72" s="319"/>
      <c r="AO72" s="322"/>
      <c r="AP72" s="319"/>
      <c r="AQ72" s="319"/>
      <c r="AS72" s="322"/>
      <c r="AT72" s="319"/>
      <c r="AU72" s="319"/>
      <c r="AW72" s="322"/>
      <c r="AX72" s="319"/>
      <c r="AY72" s="319"/>
    </row>
    <row r="73" ht="14.25" customHeight="1">
      <c r="E73" s="322" t="s">
        <v>40</v>
      </c>
      <c r="F73" s="319">
        <f>SHARES!BG3</f>
        <v>100</v>
      </c>
      <c r="G73" s="321"/>
      <c r="H73" s="320"/>
      <c r="I73" s="322" t="s">
        <v>40</v>
      </c>
      <c r="J73" s="319">
        <f>SHARES!BG4</f>
        <v>100</v>
      </c>
      <c r="K73" s="321"/>
      <c r="L73" s="320"/>
      <c r="M73" s="322" t="s">
        <v>40</v>
      </c>
      <c r="N73" s="319">
        <f>SHARES!BG5</f>
        <v>100</v>
      </c>
      <c r="O73" s="319"/>
      <c r="Q73" s="322" t="s">
        <v>40</v>
      </c>
      <c r="R73" s="319">
        <f>SHARES!BG6</f>
        <v>100</v>
      </c>
      <c r="S73" s="319"/>
      <c r="U73" s="322" t="s">
        <v>40</v>
      </c>
      <c r="V73" s="319">
        <f>SHARES!BG7</f>
        <v>100</v>
      </c>
      <c r="W73" s="319"/>
      <c r="Y73" s="322" t="s">
        <v>40</v>
      </c>
      <c r="Z73" s="319">
        <f>SHARES!BG8</f>
        <v>100</v>
      </c>
      <c r="AA73" s="319"/>
      <c r="AC73" s="322" t="s">
        <v>41</v>
      </c>
      <c r="AD73" s="319">
        <f>SHARES!BG9</f>
        <v>100</v>
      </c>
      <c r="AE73" s="319"/>
      <c r="AG73" s="322" t="s">
        <v>41</v>
      </c>
      <c r="AH73" s="319">
        <f>SHARES!BG10</f>
        <v>100</v>
      </c>
      <c r="AI73" s="319"/>
      <c r="AK73" s="322" t="s">
        <v>41</v>
      </c>
      <c r="AL73" s="319">
        <f>SHARES!BG11</f>
        <v>100</v>
      </c>
      <c r="AM73" s="319"/>
      <c r="AO73" s="322" t="s">
        <v>41</v>
      </c>
      <c r="AP73" s="319">
        <f>SHARES!BG12</f>
        <v>100</v>
      </c>
      <c r="AQ73" s="319"/>
      <c r="AS73" s="322" t="s">
        <v>41</v>
      </c>
      <c r="AT73" s="319">
        <f>SHARES!BG13</f>
        <v>100</v>
      </c>
      <c r="AU73" s="319"/>
      <c r="AW73" s="322" t="s">
        <v>41</v>
      </c>
      <c r="AX73" s="319">
        <f>SHARES!BG14</f>
        <v>100</v>
      </c>
      <c r="AY73" s="319"/>
    </row>
    <row r="74" ht="14.25" customHeight="1">
      <c r="E74" s="322" t="s">
        <v>41</v>
      </c>
      <c r="F74" s="319">
        <f>F73*1.1</f>
        <v>110</v>
      </c>
      <c r="G74" s="321">
        <f>F73*0.1</f>
        <v>10</v>
      </c>
      <c r="H74" s="320"/>
      <c r="I74" s="322" t="s">
        <v>41</v>
      </c>
      <c r="J74" s="319">
        <f>J73*1.1</f>
        <v>110</v>
      </c>
      <c r="K74" s="321">
        <f>J73*0.1</f>
        <v>10</v>
      </c>
      <c r="L74" s="320"/>
      <c r="M74" s="322" t="s">
        <v>41</v>
      </c>
      <c r="N74" s="319">
        <f>N73*1.1</f>
        <v>110</v>
      </c>
      <c r="O74" s="319">
        <f>N73*0.1</f>
        <v>10</v>
      </c>
      <c r="Q74" s="322" t="s">
        <v>41</v>
      </c>
      <c r="R74" s="319">
        <f>R73*1.1</f>
        <v>110</v>
      </c>
      <c r="S74" s="319">
        <f>R73*0.1</f>
        <v>10</v>
      </c>
      <c r="U74" s="322" t="s">
        <v>41</v>
      </c>
      <c r="V74" s="319">
        <f>V73*1.1</f>
        <v>110</v>
      </c>
      <c r="W74" s="319">
        <f>V73*0.1</f>
        <v>10</v>
      </c>
      <c r="Y74" s="322" t="s">
        <v>41</v>
      </c>
      <c r="Z74" s="319">
        <f>Z73*1.1</f>
        <v>110</v>
      </c>
      <c r="AA74" s="319">
        <f>Z73*0.1</f>
        <v>10</v>
      </c>
      <c r="AC74" s="322" t="s">
        <v>42</v>
      </c>
      <c r="AD74" s="319">
        <f>AD73*1.1</f>
        <v>110</v>
      </c>
      <c r="AE74" s="319">
        <f>AD73*0.1</f>
        <v>10</v>
      </c>
      <c r="AG74" s="322" t="s">
        <v>42</v>
      </c>
      <c r="AH74" s="319">
        <f>AH73*1.1</f>
        <v>110</v>
      </c>
      <c r="AI74" s="319">
        <f>AH73*0.1</f>
        <v>10</v>
      </c>
      <c r="AK74" s="322" t="s">
        <v>42</v>
      </c>
      <c r="AL74" s="319">
        <f>AL73*1.1</f>
        <v>110</v>
      </c>
      <c r="AM74" s="319">
        <f>AL73*0.1</f>
        <v>10</v>
      </c>
      <c r="AO74" s="322" t="s">
        <v>42</v>
      </c>
      <c r="AP74" s="319">
        <f>AP73*1.1</f>
        <v>110</v>
      </c>
      <c r="AQ74" s="319">
        <f>AP73*0.1</f>
        <v>10</v>
      </c>
      <c r="AS74" s="322" t="s">
        <v>42</v>
      </c>
      <c r="AT74" s="319">
        <f>AT73*1.1</f>
        <v>110</v>
      </c>
      <c r="AU74" s="319">
        <f>AT73*0.1</f>
        <v>10</v>
      </c>
      <c r="AW74" s="322" t="s">
        <v>42</v>
      </c>
      <c r="AX74" s="319">
        <f>AX73*1.1</f>
        <v>110</v>
      </c>
      <c r="AY74" s="319">
        <f>AX73*0.1</f>
        <v>10</v>
      </c>
    </row>
    <row r="75" ht="14.25" customHeight="1">
      <c r="E75" s="322" t="s">
        <v>42</v>
      </c>
      <c r="F75" s="319">
        <f>F74*1.05</f>
        <v>115.5</v>
      </c>
      <c r="G75" s="321">
        <f>F74*0.05</f>
        <v>5.5</v>
      </c>
      <c r="H75" s="320"/>
      <c r="I75" s="322" t="s">
        <v>42</v>
      </c>
      <c r="J75" s="319">
        <f>J74*1.05</f>
        <v>115.5</v>
      </c>
      <c r="K75" s="321">
        <f>J74*0.05</f>
        <v>5.5</v>
      </c>
      <c r="L75" s="320"/>
      <c r="M75" s="322" t="s">
        <v>42</v>
      </c>
      <c r="N75" s="319">
        <f>N74*1.05</f>
        <v>115.5</v>
      </c>
      <c r="O75" s="319">
        <f>N74*0.05</f>
        <v>5.5</v>
      </c>
      <c r="Q75" s="322" t="s">
        <v>42</v>
      </c>
      <c r="R75" s="319">
        <f>R74*1.05</f>
        <v>115.5</v>
      </c>
      <c r="S75" s="319">
        <f>R74*0.05</f>
        <v>5.5</v>
      </c>
      <c r="U75" s="322" t="s">
        <v>42</v>
      </c>
      <c r="V75" s="319">
        <f>V74*1.05</f>
        <v>115.5</v>
      </c>
      <c r="W75" s="319">
        <f>V74*0.05</f>
        <v>5.5</v>
      </c>
      <c r="Y75" s="322" t="s">
        <v>42</v>
      </c>
      <c r="Z75" s="319">
        <f>Z74*1.05</f>
        <v>115.5</v>
      </c>
      <c r="AA75" s="319">
        <f>Z74*0.05</f>
        <v>5.5</v>
      </c>
      <c r="AC75" s="322" t="s">
        <v>43</v>
      </c>
      <c r="AD75" s="319">
        <f>AD74*1.05</f>
        <v>115.5</v>
      </c>
      <c r="AE75" s="319">
        <f>AD74*0.05</f>
        <v>5.5</v>
      </c>
      <c r="AG75" s="322" t="s">
        <v>43</v>
      </c>
      <c r="AH75" s="319">
        <f>AH74*1.05</f>
        <v>115.5</v>
      </c>
      <c r="AI75" s="319">
        <f>AH74*0.05</f>
        <v>5.5</v>
      </c>
      <c r="AK75" s="322" t="s">
        <v>43</v>
      </c>
      <c r="AL75" s="319">
        <f>AL74*1.05</f>
        <v>115.5</v>
      </c>
      <c r="AM75" s="319">
        <f>AL74*0.05</f>
        <v>5.5</v>
      </c>
      <c r="AO75" s="322" t="s">
        <v>43</v>
      </c>
      <c r="AP75" s="319">
        <f>AP74*1.05</f>
        <v>115.5</v>
      </c>
      <c r="AQ75" s="319">
        <f>AP74*0.05</f>
        <v>5.5</v>
      </c>
      <c r="AS75" s="322" t="s">
        <v>43</v>
      </c>
      <c r="AT75" s="319">
        <f>AT74*1.05</f>
        <v>115.5</v>
      </c>
      <c r="AU75" s="319">
        <f>AT74*0.05</f>
        <v>5.5</v>
      </c>
      <c r="AW75" s="322" t="s">
        <v>43</v>
      </c>
      <c r="AX75" s="319">
        <f>AX74*1.05</f>
        <v>115.5</v>
      </c>
      <c r="AY75" s="319">
        <f>AX74*0.05</f>
        <v>5.5</v>
      </c>
    </row>
    <row r="76" ht="14.25" customHeight="1">
      <c r="E76" s="322"/>
      <c r="F76" s="319"/>
      <c r="G76" s="321"/>
      <c r="H76" s="320"/>
      <c r="I76" s="323"/>
      <c r="J76" s="319"/>
      <c r="K76" s="321"/>
      <c r="L76" s="320"/>
      <c r="M76" s="323"/>
      <c r="N76" s="319"/>
      <c r="O76" s="319"/>
      <c r="Q76" s="322"/>
      <c r="R76" s="319"/>
      <c r="S76" s="319"/>
      <c r="U76" s="322"/>
      <c r="V76" s="319"/>
      <c r="W76" s="319"/>
      <c r="Y76" s="322"/>
      <c r="Z76" s="319"/>
      <c r="AA76" s="319"/>
      <c r="AC76" s="322"/>
      <c r="AD76" s="319"/>
      <c r="AE76" s="319"/>
      <c r="AG76" s="322"/>
      <c r="AH76" s="319"/>
      <c r="AI76" s="319"/>
      <c r="AK76" s="322"/>
      <c r="AL76" s="319"/>
      <c r="AM76" s="319"/>
      <c r="AO76" s="322"/>
      <c r="AP76" s="319"/>
      <c r="AQ76" s="319"/>
      <c r="AS76" s="322"/>
      <c r="AT76" s="319"/>
      <c r="AU76" s="319"/>
      <c r="AW76" s="322"/>
      <c r="AX76" s="319"/>
      <c r="AY76" s="319"/>
    </row>
    <row r="77" ht="14.25" customHeight="1">
      <c r="E77" s="322" t="s">
        <v>41</v>
      </c>
      <c r="F77" s="324">
        <v>0.0</v>
      </c>
      <c r="G77" s="321"/>
      <c r="H77" s="320"/>
      <c r="I77" s="322" t="s">
        <v>41</v>
      </c>
      <c r="J77" s="324">
        <v>0.0</v>
      </c>
      <c r="K77" s="321"/>
      <c r="L77" s="320"/>
      <c r="M77" s="322" t="s">
        <v>41</v>
      </c>
      <c r="N77" s="324">
        <v>0.0</v>
      </c>
      <c r="O77" s="321"/>
      <c r="Q77" s="322" t="s">
        <v>41</v>
      </c>
      <c r="R77" s="324">
        <v>0.0</v>
      </c>
      <c r="S77" s="321"/>
      <c r="U77" s="322" t="s">
        <v>41</v>
      </c>
      <c r="V77" s="324">
        <v>0.0</v>
      </c>
      <c r="W77" s="321"/>
      <c r="Y77" s="322" t="s">
        <v>41</v>
      </c>
      <c r="Z77" s="324">
        <v>0.0</v>
      </c>
      <c r="AA77" s="321"/>
      <c r="AC77" s="322" t="s">
        <v>41</v>
      </c>
      <c r="AD77" s="324">
        <v>0.0</v>
      </c>
      <c r="AE77" s="321"/>
      <c r="AG77" s="322" t="s">
        <v>41</v>
      </c>
      <c r="AH77" s="324">
        <v>0.0</v>
      </c>
      <c r="AI77" s="321"/>
      <c r="AK77" s="322" t="s">
        <v>41</v>
      </c>
      <c r="AL77" s="324">
        <v>0.0</v>
      </c>
      <c r="AM77" s="321"/>
      <c r="AO77" s="322" t="s">
        <v>41</v>
      </c>
      <c r="AP77" s="324">
        <v>0.0</v>
      </c>
      <c r="AQ77" s="321"/>
      <c r="AS77" s="322" t="s">
        <v>41</v>
      </c>
      <c r="AT77" s="324">
        <v>100.0</v>
      </c>
      <c r="AU77" s="321"/>
      <c r="AW77" s="322" t="s">
        <v>41</v>
      </c>
      <c r="AX77" s="324">
        <v>0.0</v>
      </c>
      <c r="AY77" s="321"/>
    </row>
    <row r="78" ht="14.25" customHeight="1">
      <c r="E78" s="322" t="s">
        <v>42</v>
      </c>
      <c r="F78" s="324">
        <v>0.0</v>
      </c>
      <c r="G78" s="321">
        <f>F77*0</f>
        <v>0</v>
      </c>
      <c r="H78" s="320"/>
      <c r="I78" s="322" t="s">
        <v>42</v>
      </c>
      <c r="J78" s="324">
        <v>0.0</v>
      </c>
      <c r="K78" s="321">
        <f>J77*0</f>
        <v>0</v>
      </c>
      <c r="L78" s="320"/>
      <c r="M78" s="322" t="s">
        <v>42</v>
      </c>
      <c r="N78" s="324">
        <v>0.0</v>
      </c>
      <c r="O78" s="321">
        <f>N77*0</f>
        <v>0</v>
      </c>
      <c r="Q78" s="322" t="s">
        <v>42</v>
      </c>
      <c r="R78" s="324">
        <v>0.0</v>
      </c>
      <c r="S78" s="321">
        <f>R77*0</f>
        <v>0</v>
      </c>
      <c r="U78" s="322" t="s">
        <v>42</v>
      </c>
      <c r="V78" s="324">
        <v>0.0</v>
      </c>
      <c r="W78" s="321">
        <f>V77*0</f>
        <v>0</v>
      </c>
      <c r="Y78" s="322" t="s">
        <v>42</v>
      </c>
      <c r="Z78" s="324">
        <v>0.0</v>
      </c>
      <c r="AA78" s="321">
        <f>Z77*0</f>
        <v>0</v>
      </c>
      <c r="AC78" s="322" t="s">
        <v>42</v>
      </c>
      <c r="AD78" s="324">
        <v>0.0</v>
      </c>
      <c r="AE78" s="321">
        <f>AD77*0</f>
        <v>0</v>
      </c>
      <c r="AG78" s="322" t="s">
        <v>42</v>
      </c>
      <c r="AH78" s="324">
        <v>0.0</v>
      </c>
      <c r="AI78" s="321">
        <f>AH77*0</f>
        <v>0</v>
      </c>
      <c r="AK78" s="322" t="s">
        <v>42</v>
      </c>
      <c r="AL78" s="324">
        <v>0.0</v>
      </c>
      <c r="AM78" s="321">
        <f>AL77*0</f>
        <v>0</v>
      </c>
      <c r="AO78" s="322" t="s">
        <v>42</v>
      </c>
      <c r="AP78" s="324">
        <v>0.0</v>
      </c>
      <c r="AQ78" s="321">
        <f>AP77*0</f>
        <v>0</v>
      </c>
      <c r="AS78" s="322" t="s">
        <v>42</v>
      </c>
      <c r="AT78" s="324">
        <v>0.0</v>
      </c>
      <c r="AU78" s="321">
        <f>AT77*0</f>
        <v>0</v>
      </c>
      <c r="AW78" s="322" t="s">
        <v>42</v>
      </c>
      <c r="AX78" s="324">
        <v>0.0</v>
      </c>
      <c r="AY78" s="321">
        <f>AX77*0</f>
        <v>0</v>
      </c>
    </row>
    <row r="79" ht="14.25" customHeight="1">
      <c r="E79" s="322"/>
      <c r="F79" s="319"/>
      <c r="G79" s="321"/>
      <c r="H79" s="320"/>
      <c r="I79" s="322"/>
      <c r="J79" s="319"/>
      <c r="K79" s="321"/>
      <c r="L79" s="320"/>
      <c r="M79" s="322"/>
      <c r="N79" s="319"/>
      <c r="O79" s="321"/>
      <c r="Q79" s="322"/>
      <c r="R79" s="319"/>
      <c r="S79" s="321"/>
      <c r="U79" s="322"/>
      <c r="V79" s="319"/>
      <c r="W79" s="321"/>
      <c r="Y79" s="322"/>
      <c r="Z79" s="319"/>
      <c r="AA79" s="321"/>
      <c r="AC79" s="322"/>
      <c r="AD79" s="319"/>
      <c r="AE79" s="321"/>
      <c r="AG79" s="322"/>
      <c r="AH79" s="319"/>
      <c r="AI79" s="321"/>
      <c r="AK79" s="322"/>
      <c r="AL79" s="319"/>
      <c r="AM79" s="321"/>
      <c r="AO79" s="322"/>
      <c r="AP79" s="319"/>
      <c r="AQ79" s="321"/>
      <c r="AS79" s="322"/>
      <c r="AT79" s="319"/>
      <c r="AU79" s="321"/>
      <c r="AW79" s="322"/>
      <c r="AX79" s="319"/>
      <c r="AY79" s="321"/>
    </row>
    <row r="80" ht="14.25" customHeight="1">
      <c r="E80" s="322" t="s">
        <v>42</v>
      </c>
      <c r="F80" s="324">
        <v>0.0</v>
      </c>
      <c r="G80" s="321">
        <f>F79*0.1</f>
        <v>0</v>
      </c>
      <c r="H80" s="320"/>
      <c r="I80" s="322" t="s">
        <v>42</v>
      </c>
      <c r="J80" s="324">
        <v>0.0</v>
      </c>
      <c r="K80" s="321">
        <f>J79*0.1</f>
        <v>0</v>
      </c>
      <c r="L80" s="320"/>
      <c r="M80" s="322" t="s">
        <v>42</v>
      </c>
      <c r="N80" s="324">
        <v>0.0</v>
      </c>
      <c r="O80" s="321">
        <f>N79*0.1</f>
        <v>0</v>
      </c>
      <c r="Q80" s="322" t="s">
        <v>42</v>
      </c>
      <c r="R80" s="324">
        <v>0.0</v>
      </c>
      <c r="S80" s="321">
        <f>R79*0.1</f>
        <v>0</v>
      </c>
      <c r="U80" s="322" t="s">
        <v>42</v>
      </c>
      <c r="V80" s="324">
        <v>0.0</v>
      </c>
      <c r="W80" s="321">
        <f>V79*0.1</f>
        <v>0</v>
      </c>
      <c r="Y80" s="322" t="s">
        <v>42</v>
      </c>
      <c r="Z80" s="324">
        <v>0.0</v>
      </c>
      <c r="AA80" s="321">
        <f>Z79*0.1</f>
        <v>0</v>
      </c>
      <c r="AC80" s="322" t="s">
        <v>42</v>
      </c>
      <c r="AD80" s="324">
        <v>0.0</v>
      </c>
      <c r="AE80" s="321">
        <f>AD79*0.1</f>
        <v>0</v>
      </c>
      <c r="AG80" s="322" t="s">
        <v>42</v>
      </c>
      <c r="AH80" s="324">
        <v>0.0</v>
      </c>
      <c r="AI80" s="321">
        <f>AH79*0.1</f>
        <v>0</v>
      </c>
      <c r="AK80" s="322" t="s">
        <v>42</v>
      </c>
      <c r="AL80" s="324">
        <v>0.0</v>
      </c>
      <c r="AM80" s="321">
        <f>AL79*0.1</f>
        <v>0</v>
      </c>
      <c r="AO80" s="322" t="s">
        <v>42</v>
      </c>
      <c r="AP80" s="324">
        <v>0.0</v>
      </c>
      <c r="AQ80" s="321">
        <f>AP79*0.1</f>
        <v>0</v>
      </c>
      <c r="AS80" s="322" t="s">
        <v>42</v>
      </c>
      <c r="AT80" s="324">
        <v>100.0</v>
      </c>
      <c r="AU80" s="321">
        <f>AT79*0.1</f>
        <v>0</v>
      </c>
      <c r="AW80" s="322" t="s">
        <v>42</v>
      </c>
      <c r="AX80" s="324">
        <v>0.0</v>
      </c>
      <c r="AY80" s="321">
        <f>AX79*0.1</f>
        <v>0</v>
      </c>
    </row>
    <row r="81" ht="14.25" customHeight="1">
      <c r="E81" s="322"/>
      <c r="F81" s="319"/>
      <c r="G81" s="321"/>
      <c r="H81" s="320"/>
      <c r="I81" s="323"/>
      <c r="J81" s="319"/>
      <c r="K81" s="321"/>
      <c r="L81" s="320"/>
      <c r="M81" s="323"/>
      <c r="N81" s="319"/>
      <c r="O81" s="319"/>
      <c r="Q81" s="322"/>
      <c r="R81" s="319"/>
      <c r="S81" s="319"/>
      <c r="U81" s="322"/>
      <c r="V81" s="319"/>
      <c r="W81" s="319"/>
      <c r="Y81" s="322"/>
      <c r="Z81" s="319"/>
      <c r="AA81" s="319"/>
      <c r="AC81" s="322"/>
      <c r="AD81" s="319"/>
      <c r="AE81" s="319"/>
      <c r="AG81" s="322"/>
      <c r="AH81" s="319"/>
      <c r="AI81" s="319"/>
      <c r="AK81" s="322"/>
      <c r="AL81" s="319"/>
      <c r="AM81" s="319"/>
      <c r="AO81" s="322"/>
      <c r="AP81" s="319"/>
      <c r="AQ81" s="319"/>
      <c r="AS81" s="322"/>
      <c r="AT81" s="319"/>
      <c r="AU81" s="319"/>
      <c r="AW81" s="322"/>
      <c r="AX81" s="319"/>
      <c r="AY81" s="319"/>
    </row>
    <row r="82" ht="14.25" customHeight="1">
      <c r="E82" s="322" t="s">
        <v>15</v>
      </c>
      <c r="F82" s="319">
        <f>F14+F25+F36+F45+F53+F60+F66+F71+F75+F78+F80</f>
        <v>1024.954429</v>
      </c>
      <c r="G82" s="321"/>
      <c r="H82" s="320"/>
      <c r="I82" s="323" t="s">
        <v>15</v>
      </c>
      <c r="J82" s="319">
        <f>J14+J25+J36+J45+J53+J60+J66+J71+J75+J78+J80</f>
        <v>1273.568179</v>
      </c>
      <c r="K82" s="321"/>
      <c r="L82" s="320"/>
      <c r="M82" s="323" t="s">
        <v>15</v>
      </c>
      <c r="N82" s="319">
        <f>N14+N25+N36+N45+N53+N60+N66+N71+N75+N78+N80</f>
        <v>1273.568179</v>
      </c>
      <c r="O82" s="319"/>
      <c r="Q82" s="322" t="s">
        <v>15</v>
      </c>
      <c r="R82" s="319">
        <f>R14+R25+R36+R45+R53+R60+R66+R71+R75+R78+R80</f>
        <v>1102.922075</v>
      </c>
      <c r="S82" s="319"/>
      <c r="U82" s="322" t="s">
        <v>15</v>
      </c>
      <c r="V82" s="319">
        <f>V14+V25+V36+V45+V53+V60+V66+V71+V75+V78+V80</f>
        <v>1273.568179</v>
      </c>
      <c r="W82" s="319"/>
      <c r="Y82" s="322" t="s">
        <v>15</v>
      </c>
      <c r="Z82" s="319">
        <f>Z14+Z25+Z36+Z45+Z53+Z60+Z66+Z71+Z75+Z78+Z80</f>
        <v>997.5121324</v>
      </c>
      <c r="AA82" s="319"/>
      <c r="AC82" s="322" t="s">
        <v>15</v>
      </c>
      <c r="AD82" s="319">
        <f>AD14+AD25+AD36+AD45+AD53+AD60+AD66+AD71+AD75+AD78+AD80</f>
        <v>1152.293179</v>
      </c>
      <c r="AE82" s="319"/>
      <c r="AG82" s="322" t="s">
        <v>15</v>
      </c>
      <c r="AH82" s="319">
        <f>AH14+AH25+AH36+AH45+AH53+AH60+AH66+AH71+AH75+AH78+AH80</f>
        <v>691.7882263</v>
      </c>
      <c r="AI82" s="319"/>
      <c r="AK82" s="322" t="s">
        <v>15</v>
      </c>
      <c r="AL82" s="319">
        <f>AL14+AL25+AL36+AL45+AL53+AL60+AL66+AL71+AL75+AL78+AL80</f>
        <v>948.1410287</v>
      </c>
      <c r="AM82" s="319"/>
      <c r="AO82" s="322" t="s">
        <v>15</v>
      </c>
      <c r="AP82" s="319">
        <f>AP14+AP25+AP36+AP45+AP53+AP60+AP66+AP71+AP75+AP78+AP80</f>
        <v>389.5966594</v>
      </c>
      <c r="AQ82" s="319"/>
      <c r="AS82" s="322" t="s">
        <v>15</v>
      </c>
      <c r="AT82" s="319">
        <f>AT14+AT25+AT36+AT45+AT53+AT60+AT66+AT71+AT75+AT78+AT80</f>
        <v>616.9354094</v>
      </c>
      <c r="AU82" s="319"/>
      <c r="AW82" s="322" t="s">
        <v>15</v>
      </c>
      <c r="AX82" s="319">
        <f>AX14+AX25+AX36+AX45+AX53+AX60+AX66+AX71+AX75+AX78+AX80</f>
        <v>115.5</v>
      </c>
      <c r="AY82" s="319"/>
    </row>
    <row r="83" ht="14.25" customHeight="1">
      <c r="E83" s="322" t="s">
        <v>71</v>
      </c>
      <c r="F83" s="37">
        <f>F84/200</f>
        <v>3.5</v>
      </c>
      <c r="G83" s="321"/>
      <c r="H83" s="320"/>
      <c r="I83" s="323" t="s">
        <v>71</v>
      </c>
      <c r="J83" s="37">
        <f>J84/200</f>
        <v>4.5</v>
      </c>
      <c r="K83" s="321"/>
      <c r="L83" s="320"/>
      <c r="M83" s="323" t="s">
        <v>71</v>
      </c>
      <c r="N83" s="37">
        <f>N84/200</f>
        <v>4.5</v>
      </c>
      <c r="O83" s="319"/>
      <c r="Q83" s="322" t="s">
        <v>71</v>
      </c>
      <c r="R83" s="37">
        <f>R84/200</f>
        <v>4</v>
      </c>
      <c r="S83" s="319"/>
      <c r="U83" s="322" t="s">
        <v>71</v>
      </c>
      <c r="V83" s="37">
        <f>V84/200</f>
        <v>4.5</v>
      </c>
      <c r="W83" s="319"/>
      <c r="Y83" s="322" t="s">
        <v>71</v>
      </c>
      <c r="Z83" s="37">
        <f>Z84/200</f>
        <v>3.5</v>
      </c>
      <c r="AA83" s="319"/>
      <c r="AC83" s="322" t="s">
        <v>71</v>
      </c>
      <c r="AD83" s="37">
        <f>AD84/200</f>
        <v>4</v>
      </c>
      <c r="AE83" s="319"/>
      <c r="AG83" s="322" t="s">
        <v>71</v>
      </c>
      <c r="AH83" s="37">
        <f>AH84/200</f>
        <v>2.5</v>
      </c>
      <c r="AI83" s="319"/>
      <c r="AK83" s="322" t="s">
        <v>71</v>
      </c>
      <c r="AL83" s="37">
        <f>AL84/200</f>
        <v>3.5</v>
      </c>
      <c r="AM83" s="319"/>
      <c r="AO83" s="322" t="s">
        <v>71</v>
      </c>
      <c r="AP83" s="37">
        <f>AP84/200</f>
        <v>1.5</v>
      </c>
      <c r="AQ83" s="319"/>
      <c r="AS83" s="322" t="s">
        <v>71</v>
      </c>
      <c r="AT83" s="37">
        <f>AT84/200</f>
        <v>3</v>
      </c>
      <c r="AU83" s="319"/>
      <c r="AW83" s="322" t="s">
        <v>71</v>
      </c>
      <c r="AX83" s="37">
        <f>AX84/200</f>
        <v>0.5</v>
      </c>
      <c r="AY83" s="319"/>
    </row>
    <row r="84" ht="14.25" customHeight="1">
      <c r="B84" s="346">
        <f t="shared" ref="B84:B85" si="193">SUM(V84,Z84,AD84,AH84,R84,F84,J84,N84,AL84,AP84,AT84,AX84 )</f>
        <v>7900</v>
      </c>
      <c r="E84" s="322" t="s">
        <v>72</v>
      </c>
      <c r="F84" s="326">
        <f>F4+F16+F28+F38+F47+F55+F62+F68+F73+F77 +F80</f>
        <v>700</v>
      </c>
      <c r="G84" s="327"/>
      <c r="H84" s="328"/>
      <c r="I84" s="323" t="s">
        <v>72</v>
      </c>
      <c r="J84" s="326">
        <f>J4+J16+J28+J38+J47+J55+J62+J68+J73+J77 +J80</f>
        <v>900</v>
      </c>
      <c r="K84" s="327"/>
      <c r="L84" s="328"/>
      <c r="M84" s="323" t="s">
        <v>72</v>
      </c>
      <c r="N84" s="326">
        <f>N4+N16+N28+N38+N47+N55+N62+N68+N73+N77 +N80</f>
        <v>900</v>
      </c>
      <c r="O84" s="37"/>
      <c r="Q84" s="322" t="s">
        <v>72</v>
      </c>
      <c r="R84" s="326">
        <f>R4+R16+R28+R38+R47+R55+R62+R68+R73+R77 +R80</f>
        <v>800</v>
      </c>
      <c r="S84" s="37"/>
      <c r="U84" s="322" t="s">
        <v>72</v>
      </c>
      <c r="V84" s="326">
        <f>V4+V16+V28+V38+V47+V55+V62+V68+V73+V77 +V80</f>
        <v>900</v>
      </c>
      <c r="W84" s="37"/>
      <c r="Y84" s="322" t="s">
        <v>72</v>
      </c>
      <c r="Z84" s="326">
        <f>Z4+Z16+Z28+Z38+Z47+Z55+Z62+Z68+Z73+Z77 +Z80</f>
        <v>700</v>
      </c>
      <c r="AA84" s="37"/>
      <c r="AC84" s="322" t="s">
        <v>72</v>
      </c>
      <c r="AD84" s="326">
        <f>AD4+AD16+AD28+AD38+AD47+AD55+AD62+AD68+AD73+AD77 +AD80</f>
        <v>800</v>
      </c>
      <c r="AE84" s="37"/>
      <c r="AG84" s="322" t="s">
        <v>72</v>
      </c>
      <c r="AH84" s="326">
        <f>AH4+AH16+AH28+AH38+AH47+AH55+AH62+AH68+AH73+AH77 +AH80</f>
        <v>500</v>
      </c>
      <c r="AI84" s="37"/>
      <c r="AK84" s="322" t="s">
        <v>72</v>
      </c>
      <c r="AL84" s="326">
        <f>AL4+AL16+AL28+AL38+AL47+AL55+AL62+AL68+AL73+AL77 +AL80</f>
        <v>700</v>
      </c>
      <c r="AM84" s="37"/>
      <c r="AO84" s="322" t="s">
        <v>72</v>
      </c>
      <c r="AP84" s="326">
        <f>AP4+AP16+AP28+AP38+AP47+AP55+AP62+AP68+AP73+AP77 +AP80</f>
        <v>300</v>
      </c>
      <c r="AQ84" s="37"/>
      <c r="AS84" s="322" t="s">
        <v>72</v>
      </c>
      <c r="AT84" s="326">
        <f>AT4+AT16+AT28+AT38+AT47+AT55+AT62+AT68+AT73+AT77 +AT80</f>
        <v>600</v>
      </c>
      <c r="AU84" s="37"/>
      <c r="AW84" s="322" t="s">
        <v>72</v>
      </c>
      <c r="AX84" s="326">
        <f>AX4+AX16+AX28+AX38+AX47+AX55+AX62+AX68+AX73+AX77 +AX80</f>
        <v>100</v>
      </c>
      <c r="AY84" s="37"/>
    </row>
    <row r="85" ht="14.25" customHeight="1">
      <c r="B85" s="346">
        <f t="shared" si="193"/>
        <v>2960.347676</v>
      </c>
      <c r="E85" s="322" t="s">
        <v>74</v>
      </c>
      <c r="F85" s="331">
        <f>F82-F84</f>
        <v>324.9544289</v>
      </c>
      <c r="G85" s="321">
        <f>SUM( (F85 * 100) / F84 )</f>
        <v>46.42206127</v>
      </c>
      <c r="H85" s="320"/>
      <c r="I85" s="323" t="s">
        <v>74</v>
      </c>
      <c r="J85" s="331">
        <f>J82-J84</f>
        <v>373.5681789</v>
      </c>
      <c r="K85" s="321">
        <f>SUM( (J85 * 100) / J84 )</f>
        <v>41.50757543</v>
      </c>
      <c r="L85" s="320"/>
      <c r="M85" s="323" t="s">
        <v>74</v>
      </c>
      <c r="N85" s="331">
        <f>N82-N84</f>
        <v>373.5681789</v>
      </c>
      <c r="O85" s="321">
        <f>SUM( (N85 * 100) / N84 )</f>
        <v>41.50757543</v>
      </c>
      <c r="Q85" s="322" t="s">
        <v>74</v>
      </c>
      <c r="R85" s="331">
        <f>R82-R84</f>
        <v>302.9220752</v>
      </c>
      <c r="S85" s="321">
        <f>SUM( (R85 * 100) / R84 )</f>
        <v>37.86525939</v>
      </c>
      <c r="U85" s="322" t="s">
        <v>74</v>
      </c>
      <c r="V85" s="331">
        <f>V82-V84</f>
        <v>373.5681789</v>
      </c>
      <c r="W85" s="321">
        <f>SUM( (V85 * 100) / V84 )</f>
        <v>41.50757543</v>
      </c>
      <c r="Y85" s="322" t="s">
        <v>74</v>
      </c>
      <c r="Z85" s="331">
        <f>Z82-Z84</f>
        <v>297.5121324</v>
      </c>
      <c r="AA85" s="321">
        <f>SUM( (Z85 * 100) / Z84 )</f>
        <v>42.5017332</v>
      </c>
      <c r="AC85" s="322" t="s">
        <v>74</v>
      </c>
      <c r="AD85" s="331">
        <f>AD82-AD84</f>
        <v>352.2931789</v>
      </c>
      <c r="AE85" s="321">
        <f>SUM( (AD85 * 100) / AD84 )</f>
        <v>44.03664736</v>
      </c>
      <c r="AG85" s="322" t="s">
        <v>74</v>
      </c>
      <c r="AH85" s="331">
        <f>AH82-AH84</f>
        <v>191.7882263</v>
      </c>
      <c r="AI85" s="321">
        <f>SUM( (AH85 * 100) / AH84 )</f>
        <v>38.35764527</v>
      </c>
      <c r="AK85" s="322" t="s">
        <v>74</v>
      </c>
      <c r="AL85" s="331">
        <f>AL82-AL84</f>
        <v>248.1410287</v>
      </c>
      <c r="AM85" s="321">
        <f>SUM( (AL85 * 100) / AL84 )</f>
        <v>35.44871838</v>
      </c>
      <c r="AO85" s="322" t="s">
        <v>74</v>
      </c>
      <c r="AP85" s="331">
        <f>AP82-AP84</f>
        <v>89.59665938</v>
      </c>
      <c r="AQ85" s="321">
        <f>SUM( (AP85 * 100) / AP84 )</f>
        <v>29.86555313</v>
      </c>
      <c r="AS85" s="322" t="s">
        <v>74</v>
      </c>
      <c r="AT85" s="331">
        <f>AT82-AT84</f>
        <v>16.93540938</v>
      </c>
      <c r="AU85" s="321">
        <f>SUM( (AT85 * 100) / AT84 )</f>
        <v>2.822568229</v>
      </c>
      <c r="AW85" s="322" t="s">
        <v>74</v>
      </c>
      <c r="AX85" s="331">
        <f>AX82-AX84</f>
        <v>15.5</v>
      </c>
      <c r="AY85" s="321">
        <f>SUM( (AX85 * 100) / AX84 )</f>
        <v>15.5</v>
      </c>
    </row>
    <row r="86" ht="14.25" customHeight="1">
      <c r="E86" s="341"/>
      <c r="F86" s="337">
        <f>sum(F84- F85)</f>
        <v>375.0455711</v>
      </c>
      <c r="G86" s="355"/>
      <c r="H86" s="320"/>
      <c r="I86" s="341"/>
      <c r="J86" s="337"/>
      <c r="K86" s="355"/>
      <c r="L86" s="320"/>
      <c r="M86" s="341"/>
      <c r="N86" s="337"/>
      <c r="O86" s="355"/>
      <c r="Q86" s="341"/>
      <c r="R86" s="337"/>
      <c r="S86" s="355"/>
      <c r="U86" s="341"/>
      <c r="V86" s="337"/>
      <c r="W86" s="355"/>
      <c r="Y86" s="341"/>
      <c r="Z86" s="337"/>
      <c r="AA86" s="355"/>
      <c r="AC86" s="341"/>
      <c r="AD86" s="337"/>
      <c r="AE86" s="355"/>
      <c r="AG86" s="341"/>
      <c r="AH86" s="337"/>
      <c r="AI86" s="355"/>
      <c r="AK86" s="341"/>
      <c r="AL86" s="337"/>
      <c r="AM86" s="355"/>
      <c r="AO86" s="341"/>
      <c r="AP86" s="337"/>
      <c r="AQ86" s="355"/>
      <c r="AS86" s="341"/>
      <c r="AT86" s="337"/>
      <c r="AU86" s="355"/>
      <c r="AW86" s="341"/>
      <c r="AX86" s="337"/>
      <c r="AY86" s="355"/>
    </row>
    <row r="87" ht="14.25" customHeight="1">
      <c r="A87" s="347"/>
      <c r="B87" s="346"/>
      <c r="C87" s="347"/>
      <c r="D87" s="354"/>
      <c r="E87" s="341"/>
      <c r="F87" s="337"/>
      <c r="G87" s="355"/>
      <c r="H87" s="320"/>
      <c r="I87" s="341"/>
      <c r="J87" s="337"/>
      <c r="K87" s="355"/>
      <c r="L87" s="320"/>
      <c r="M87" s="341"/>
      <c r="N87" s="337"/>
      <c r="O87" s="355"/>
      <c r="Q87" s="341"/>
      <c r="R87" s="337"/>
      <c r="S87" s="355"/>
      <c r="U87" s="341"/>
      <c r="V87" s="337"/>
      <c r="W87" s="355"/>
      <c r="Y87" s="341"/>
      <c r="Z87" s="337"/>
      <c r="AA87" s="355"/>
      <c r="AC87" s="341"/>
      <c r="AD87" s="337"/>
      <c r="AE87" s="355"/>
      <c r="AG87" s="341"/>
      <c r="AH87" s="337"/>
      <c r="AI87" s="355"/>
      <c r="AK87" s="341"/>
      <c r="AL87" s="337"/>
      <c r="AM87" s="355"/>
      <c r="AO87" s="341"/>
      <c r="AP87" s="337"/>
      <c r="AQ87" s="355"/>
      <c r="AS87" s="341"/>
      <c r="AT87" s="337"/>
      <c r="AU87" s="355"/>
      <c r="AW87" s="341"/>
      <c r="AX87" s="337"/>
      <c r="AY87" s="355"/>
    </row>
    <row r="88" ht="14.25" customHeight="1">
      <c r="A88" s="347" t="s">
        <v>15</v>
      </c>
      <c r="B88" s="346">
        <f t="shared" ref="B88:B90" si="194">SUM(V88,Z88,AD88,AH88,R88,F88,J88,N88,AL88,AP88,AT88,AX88 )</f>
        <v>10860.34768</v>
      </c>
      <c r="C88" s="347"/>
      <c r="D88" s="354"/>
      <c r="E88" s="341" t="s">
        <v>79</v>
      </c>
      <c r="F88" s="356">
        <f>F82</f>
        <v>1024.954429</v>
      </c>
      <c r="H88" s="328"/>
      <c r="I88" s="341" t="s">
        <v>79</v>
      </c>
      <c r="J88" s="356">
        <f>J82</f>
        <v>1273.568179</v>
      </c>
      <c r="L88" s="328"/>
      <c r="M88" s="341" t="s">
        <v>79</v>
      </c>
      <c r="N88" s="356">
        <f>N82</f>
        <v>1273.568179</v>
      </c>
      <c r="Q88" s="341" t="s">
        <v>79</v>
      </c>
      <c r="R88" s="356">
        <f>R82</f>
        <v>1102.922075</v>
      </c>
      <c r="U88" s="341" t="s">
        <v>79</v>
      </c>
      <c r="V88" s="356">
        <f>V82</f>
        <v>1273.568179</v>
      </c>
      <c r="Y88" s="341" t="s">
        <v>79</v>
      </c>
      <c r="Z88" s="356">
        <f>Z82</f>
        <v>997.5121324</v>
      </c>
      <c r="AC88" s="341" t="s">
        <v>79</v>
      </c>
      <c r="AD88" s="356">
        <f>AD82</f>
        <v>1152.293179</v>
      </c>
      <c r="AG88" s="341" t="s">
        <v>79</v>
      </c>
      <c r="AH88" s="356">
        <f>AH82</f>
        <v>691.7882263</v>
      </c>
      <c r="AK88" s="341" t="s">
        <v>79</v>
      </c>
      <c r="AL88" s="356">
        <f>AL82</f>
        <v>948.1410287</v>
      </c>
      <c r="AO88" s="341" t="s">
        <v>79</v>
      </c>
      <c r="AP88" s="356">
        <f>AP82</f>
        <v>389.5966594</v>
      </c>
      <c r="AS88" s="341" t="s">
        <v>79</v>
      </c>
      <c r="AT88" s="356">
        <f>AT82</f>
        <v>616.9354094</v>
      </c>
      <c r="AW88" s="341" t="s">
        <v>79</v>
      </c>
      <c r="AX88" s="356">
        <f>AX82</f>
        <v>115.5</v>
      </c>
    </row>
    <row r="89" ht="14.25" hidden="1" customHeight="1">
      <c r="A89" s="347"/>
      <c r="B89" s="346">
        <f t="shared" si="194"/>
        <v>22294.59562</v>
      </c>
      <c r="C89" s="347"/>
      <c r="D89" s="354"/>
      <c r="E89" s="341" t="s">
        <v>80</v>
      </c>
      <c r="F89" s="357">
        <f>'LOAN BALANCES'!CV6</f>
        <v>5312.275236</v>
      </c>
      <c r="H89" s="328"/>
      <c r="I89" s="341" t="s">
        <v>80</v>
      </c>
      <c r="J89" s="357">
        <f>'LOAN BALANCES'!CV7</f>
        <v>0</v>
      </c>
      <c r="L89" s="328"/>
      <c r="M89" s="341" t="s">
        <v>80</v>
      </c>
      <c r="N89" s="357">
        <f>'LOAN BALANCES'!CV8</f>
        <v>1685.997264</v>
      </c>
      <c r="Q89" s="341" t="s">
        <v>80</v>
      </c>
      <c r="R89" s="357">
        <f>'LOAN BALANCES'!CV9</f>
        <v>-4.421403984</v>
      </c>
      <c r="U89" s="341" t="s">
        <v>80</v>
      </c>
      <c r="V89" s="357">
        <f>'LOAN BALANCES'!CV10</f>
        <v>3724.572041</v>
      </c>
      <c r="Y89" s="341" t="s">
        <v>80</v>
      </c>
      <c r="Z89" s="357">
        <f>'LOAN BALANCES'!CV11</f>
        <v>2762.074298</v>
      </c>
      <c r="AC89" s="341" t="s">
        <v>80</v>
      </c>
      <c r="AD89" s="357">
        <f>'LOAN BALANCES'!CV12</f>
        <v>606.9151994</v>
      </c>
      <c r="AG89" s="341" t="s">
        <v>80</v>
      </c>
      <c r="AH89" s="357">
        <f>'LOAN BALANCES'!CV13</f>
        <v>3011.610747</v>
      </c>
      <c r="AK89" s="341" t="s">
        <v>80</v>
      </c>
      <c r="AL89" s="357">
        <f>'LOAN BALANCES'!CV14</f>
        <v>3329.270365</v>
      </c>
      <c r="AO89" s="341" t="s">
        <v>80</v>
      </c>
      <c r="AP89" s="357">
        <f>'LOAN BALANCES'!CV15</f>
        <v>1969.683125</v>
      </c>
      <c r="AS89" s="341" t="s">
        <v>80</v>
      </c>
      <c r="AT89" s="357">
        <f>'LOAN BALANCES'!CV16</f>
        <v>-103.38125</v>
      </c>
      <c r="AW89" s="341" t="s">
        <v>80</v>
      </c>
      <c r="AX89" s="357">
        <f>'LOAN BALANCES'!CV17</f>
        <v>0</v>
      </c>
    </row>
    <row r="90" ht="14.25" hidden="1" customHeight="1">
      <c r="A90" s="347"/>
      <c r="B90" s="346">
        <f t="shared" si="194"/>
        <v>-11434.24794</v>
      </c>
      <c r="C90" s="347"/>
      <c r="D90" s="358"/>
      <c r="E90" s="351" t="s">
        <v>82</v>
      </c>
      <c r="F90" s="352">
        <f>F88-F89</f>
        <v>-4287.320807</v>
      </c>
      <c r="G90" s="353"/>
      <c r="H90" s="350"/>
      <c r="I90" s="351" t="s">
        <v>82</v>
      </c>
      <c r="J90" s="352">
        <f>J88-J89</f>
        <v>1273.568179</v>
      </c>
      <c r="K90" s="353"/>
      <c r="L90" s="350"/>
      <c r="M90" s="351" t="s">
        <v>82</v>
      </c>
      <c r="N90" s="352">
        <f>N88-N89</f>
        <v>-412.4290852</v>
      </c>
      <c r="O90" s="353"/>
      <c r="P90" s="353"/>
      <c r="Q90" s="351" t="s">
        <v>82</v>
      </c>
      <c r="R90" s="352">
        <f>R88-R89</f>
        <v>1107.343479</v>
      </c>
      <c r="S90" s="353"/>
      <c r="T90" s="353"/>
      <c r="U90" s="351" t="s">
        <v>82</v>
      </c>
      <c r="V90" s="352">
        <f>V88-V89</f>
        <v>-2451.003862</v>
      </c>
      <c r="W90" s="353"/>
      <c r="X90" s="353"/>
      <c r="Y90" s="351" t="s">
        <v>82</v>
      </c>
      <c r="Z90" s="352">
        <f>Z88-Z89</f>
        <v>-1764.562165</v>
      </c>
      <c r="AA90" s="353"/>
      <c r="AB90" s="353"/>
      <c r="AC90" s="351" t="s">
        <v>82</v>
      </c>
      <c r="AD90" s="352">
        <f>AD88-AD89</f>
        <v>545.3779795</v>
      </c>
      <c r="AE90" s="353"/>
      <c r="AF90" s="353"/>
      <c r="AG90" s="351" t="s">
        <v>82</v>
      </c>
      <c r="AH90" s="352">
        <f>AH88-AH89</f>
        <v>-2319.822521</v>
      </c>
      <c r="AI90" s="353"/>
      <c r="AJ90" s="353"/>
      <c r="AK90" s="351" t="s">
        <v>82</v>
      </c>
      <c r="AL90" s="352">
        <f>AL88-AL89</f>
        <v>-2381.129336</v>
      </c>
      <c r="AM90" s="353"/>
      <c r="AN90" s="353"/>
      <c r="AO90" s="351" t="s">
        <v>82</v>
      </c>
      <c r="AP90" s="352">
        <f>AP88-AP89</f>
        <v>-1580.086466</v>
      </c>
      <c r="AQ90" s="353"/>
      <c r="AR90" s="353"/>
      <c r="AS90" s="351" t="s">
        <v>82</v>
      </c>
      <c r="AT90" s="352">
        <f>AT88-AT89</f>
        <v>720.3166594</v>
      </c>
      <c r="AU90" s="353"/>
      <c r="AV90" s="353"/>
      <c r="AW90" s="351" t="s">
        <v>82</v>
      </c>
      <c r="AX90" s="352">
        <f>AX88-AX89</f>
        <v>115.5</v>
      </c>
      <c r="AY90" s="353"/>
      <c r="AZ90" s="353"/>
    </row>
    <row r="91" ht="14.25" customHeight="1">
      <c r="D91" s="354"/>
    </row>
    <row r="92" ht="14.25" customHeight="1">
      <c r="D92" s="354"/>
    </row>
    <row r="93" ht="14.25" customHeight="1">
      <c r="D93" s="354"/>
    </row>
    <row r="94" ht="14.25" customHeight="1">
      <c r="D94" s="354"/>
    </row>
    <row r="95" ht="14.25" customHeight="1">
      <c r="D95" s="354"/>
    </row>
    <row r="96" ht="14.25" customHeight="1">
      <c r="D96" s="354"/>
    </row>
    <row r="97" ht="14.25" customHeight="1">
      <c r="D97" s="354"/>
    </row>
    <row r="98" ht="14.25" customHeight="1">
      <c r="D98" s="354"/>
    </row>
    <row r="99" ht="14.25" customHeight="1">
      <c r="D99" s="354"/>
    </row>
    <row r="100" ht="14.25" customHeight="1">
      <c r="D100" s="354"/>
    </row>
    <row r="101" ht="14.25" customHeight="1">
      <c r="D101" s="354"/>
    </row>
    <row r="102" ht="14.25" customHeight="1">
      <c r="D102" s="354"/>
    </row>
    <row r="103" ht="14.25" customHeight="1">
      <c r="D103" s="354"/>
    </row>
    <row r="104" ht="14.25" customHeight="1">
      <c r="D104" s="354"/>
    </row>
    <row r="105" ht="14.25" customHeight="1">
      <c r="D105" s="354"/>
    </row>
    <row r="106" ht="14.25" customHeight="1">
      <c r="D106" s="354"/>
    </row>
    <row r="107" ht="14.25" customHeight="1">
      <c r="D107" s="354"/>
    </row>
    <row r="108" ht="14.25" customHeight="1">
      <c r="D108" s="354"/>
    </row>
    <row r="109" ht="14.25" customHeight="1">
      <c r="D109" s="354"/>
    </row>
    <row r="110" ht="14.25" customHeight="1">
      <c r="D110" s="354"/>
    </row>
    <row r="111" ht="14.25" customHeight="1">
      <c r="D111" s="354"/>
    </row>
    <row r="112" ht="14.25" customHeight="1">
      <c r="D112" s="354"/>
    </row>
    <row r="113" ht="14.25" customHeight="1">
      <c r="D113" s="354"/>
    </row>
    <row r="114" ht="14.25" customHeight="1">
      <c r="D114" s="354"/>
    </row>
    <row r="115" ht="14.25" customHeight="1">
      <c r="D115" s="354"/>
    </row>
    <row r="116" ht="14.25" customHeight="1">
      <c r="D116" s="354"/>
    </row>
    <row r="117" ht="14.25" customHeight="1">
      <c r="D117" s="354"/>
    </row>
    <row r="118" ht="14.25" customHeight="1">
      <c r="D118" s="354"/>
    </row>
    <row r="119" ht="14.25" customHeight="1">
      <c r="D119" s="354"/>
    </row>
    <row r="120" ht="14.25" customHeight="1">
      <c r="D120" s="354"/>
    </row>
    <row r="121" ht="14.25" customHeight="1">
      <c r="D121" s="354"/>
    </row>
    <row r="122" ht="14.25" customHeight="1">
      <c r="D122" s="354"/>
    </row>
    <row r="123" ht="14.25" customHeight="1">
      <c r="D123" s="354"/>
    </row>
    <row r="124" ht="14.25" customHeight="1">
      <c r="D124" s="354"/>
    </row>
    <row r="125" ht="14.25" customHeight="1">
      <c r="D125" s="354"/>
    </row>
    <row r="126" ht="14.25" customHeight="1">
      <c r="D126" s="354"/>
    </row>
    <row r="127" ht="14.25" customHeight="1">
      <c r="D127" s="354"/>
    </row>
    <row r="128" ht="14.25" customHeight="1">
      <c r="D128" s="354"/>
    </row>
    <row r="129" ht="14.25" customHeight="1">
      <c r="D129" s="354"/>
    </row>
    <row r="130" ht="14.25" customHeight="1">
      <c r="D130" s="354"/>
    </row>
    <row r="131" ht="14.25" customHeight="1">
      <c r="D131" s="354"/>
    </row>
    <row r="132" ht="14.25" customHeight="1">
      <c r="D132" s="354"/>
    </row>
    <row r="133" ht="14.25" customHeight="1">
      <c r="D133" s="354"/>
    </row>
    <row r="134" ht="14.25" customHeight="1">
      <c r="D134" s="354"/>
    </row>
    <row r="135" ht="14.25" customHeight="1">
      <c r="D135" s="354"/>
    </row>
    <row r="136" ht="14.25" customHeight="1">
      <c r="D136" s="354"/>
    </row>
    <row r="137" ht="14.25" customHeight="1">
      <c r="D137" s="354"/>
    </row>
    <row r="138" ht="14.25" customHeight="1">
      <c r="D138" s="354"/>
    </row>
    <row r="139" ht="14.25" customHeight="1">
      <c r="D139" s="354"/>
    </row>
    <row r="140" ht="14.25" customHeight="1">
      <c r="D140" s="354"/>
    </row>
    <row r="141" ht="14.25" customHeight="1">
      <c r="D141" s="354"/>
    </row>
    <row r="142" ht="14.25" customHeight="1">
      <c r="D142" s="354"/>
    </row>
    <row r="143" ht="14.25" customHeight="1">
      <c r="D143" s="354"/>
    </row>
    <row r="144" ht="14.25" customHeight="1">
      <c r="D144" s="354"/>
    </row>
    <row r="145" ht="14.25" customHeight="1">
      <c r="D145" s="354"/>
    </row>
    <row r="146" ht="14.25" customHeight="1">
      <c r="D146" s="354"/>
    </row>
    <row r="147" ht="14.25" customHeight="1">
      <c r="D147" s="354"/>
    </row>
    <row r="148" ht="14.25" customHeight="1">
      <c r="D148" s="354"/>
    </row>
    <row r="149" ht="14.25" customHeight="1">
      <c r="D149" s="354"/>
    </row>
    <row r="150" ht="14.25" customHeight="1">
      <c r="D150" s="354"/>
    </row>
    <row r="151" ht="14.25" customHeight="1">
      <c r="D151" s="354"/>
    </row>
    <row r="152" ht="14.25" customHeight="1">
      <c r="D152" s="354"/>
    </row>
    <row r="153" ht="14.25" customHeight="1">
      <c r="D153" s="354"/>
    </row>
    <row r="154" ht="14.25" customHeight="1">
      <c r="D154" s="354"/>
    </row>
    <row r="155" ht="14.25" customHeight="1">
      <c r="D155" s="354"/>
    </row>
    <row r="156" ht="14.25" customHeight="1">
      <c r="D156" s="354"/>
    </row>
    <row r="157" ht="14.25" customHeight="1">
      <c r="D157" s="354"/>
    </row>
    <row r="158" ht="14.25" customHeight="1">
      <c r="D158" s="354"/>
    </row>
    <row r="159" ht="14.25" customHeight="1">
      <c r="D159" s="354"/>
    </row>
    <row r="160" ht="14.25" customHeight="1">
      <c r="D160" s="354"/>
    </row>
    <row r="161" ht="14.25" customHeight="1">
      <c r="D161" s="354"/>
    </row>
    <row r="162" ht="14.25" customHeight="1">
      <c r="D162" s="354"/>
    </row>
    <row r="163" ht="14.25" customHeight="1">
      <c r="D163" s="354"/>
    </row>
    <row r="164" ht="14.25" customHeight="1">
      <c r="D164" s="354"/>
    </row>
    <row r="165" ht="14.25" customHeight="1">
      <c r="D165" s="354"/>
    </row>
    <row r="166" ht="14.25" customHeight="1">
      <c r="D166" s="354"/>
    </row>
    <row r="167" ht="14.25" customHeight="1">
      <c r="D167" s="354"/>
    </row>
    <row r="168" ht="14.25" customHeight="1">
      <c r="D168" s="354"/>
    </row>
    <row r="169" ht="14.25" customHeight="1">
      <c r="D169" s="354"/>
    </row>
    <row r="170" ht="14.25" customHeight="1">
      <c r="D170" s="354"/>
    </row>
    <row r="171" ht="14.25" customHeight="1">
      <c r="D171" s="354"/>
    </row>
    <row r="172" ht="14.25" customHeight="1">
      <c r="D172" s="354"/>
    </row>
    <row r="173" ht="14.25" customHeight="1">
      <c r="D173" s="354"/>
    </row>
    <row r="174" ht="14.25" customHeight="1">
      <c r="D174" s="354"/>
    </row>
    <row r="175" ht="14.25" customHeight="1">
      <c r="D175" s="354"/>
    </row>
    <row r="176" ht="14.25" customHeight="1">
      <c r="D176" s="354"/>
    </row>
    <row r="177" ht="14.25" customHeight="1">
      <c r="D177" s="354"/>
    </row>
    <row r="178" ht="14.25" customHeight="1">
      <c r="D178" s="354"/>
    </row>
    <row r="179" ht="14.25" customHeight="1">
      <c r="D179" s="354"/>
    </row>
    <row r="180" ht="14.25" customHeight="1">
      <c r="D180" s="354"/>
    </row>
    <row r="181" ht="14.25" customHeight="1">
      <c r="D181" s="354"/>
    </row>
    <row r="182" ht="14.25" customHeight="1">
      <c r="D182" s="354"/>
    </row>
    <row r="183" ht="14.25" customHeight="1">
      <c r="D183" s="354"/>
    </row>
    <row r="184" ht="14.25" customHeight="1">
      <c r="D184" s="354"/>
    </row>
    <row r="185" ht="14.25" customHeight="1">
      <c r="D185" s="354"/>
    </row>
    <row r="186" ht="14.25" customHeight="1">
      <c r="D186" s="354"/>
    </row>
    <row r="187" ht="14.25" customHeight="1">
      <c r="D187" s="354"/>
    </row>
    <row r="188" ht="14.25" customHeight="1">
      <c r="D188" s="354"/>
    </row>
    <row r="189" ht="14.25" customHeight="1">
      <c r="D189" s="354"/>
    </row>
    <row r="190" ht="14.25" customHeight="1">
      <c r="D190" s="354"/>
    </row>
    <row r="191" ht="14.25" customHeight="1">
      <c r="D191" s="354"/>
    </row>
    <row r="192" ht="14.25" customHeight="1">
      <c r="D192" s="354"/>
    </row>
    <row r="193" ht="14.25" customHeight="1">
      <c r="D193" s="354"/>
    </row>
    <row r="194" ht="14.25" customHeight="1">
      <c r="D194" s="354"/>
    </row>
    <row r="195" ht="14.25" customHeight="1">
      <c r="D195" s="354"/>
    </row>
    <row r="196" ht="14.25" customHeight="1">
      <c r="D196" s="354"/>
    </row>
    <row r="197" ht="14.25" customHeight="1">
      <c r="D197" s="354"/>
    </row>
    <row r="198" ht="14.25" customHeight="1">
      <c r="D198" s="354"/>
    </row>
    <row r="199" ht="14.25" customHeight="1">
      <c r="D199" s="354"/>
    </row>
    <row r="200" ht="14.25" customHeight="1">
      <c r="D200" s="354"/>
    </row>
    <row r="201" ht="14.25" customHeight="1">
      <c r="D201" s="354"/>
    </row>
    <row r="202" ht="14.25" customHeight="1">
      <c r="D202" s="354"/>
    </row>
    <row r="203" ht="14.25" customHeight="1">
      <c r="D203" s="354"/>
    </row>
    <row r="204" ht="14.25" customHeight="1">
      <c r="D204" s="354"/>
    </row>
    <row r="205" ht="14.25" customHeight="1">
      <c r="D205" s="354"/>
    </row>
    <row r="206" ht="14.25" customHeight="1">
      <c r="D206" s="354"/>
    </row>
    <row r="207" ht="14.25" customHeight="1">
      <c r="D207" s="354"/>
    </row>
    <row r="208" ht="14.25" customHeight="1">
      <c r="D208" s="354"/>
    </row>
    <row r="209" ht="14.25" customHeight="1">
      <c r="D209" s="354"/>
    </row>
    <row r="210" ht="14.25" customHeight="1">
      <c r="D210" s="354"/>
    </row>
    <row r="211" ht="14.25" customHeight="1">
      <c r="D211" s="354"/>
    </row>
    <row r="212" ht="14.25" customHeight="1">
      <c r="D212" s="354"/>
    </row>
    <row r="213" ht="14.25" customHeight="1">
      <c r="D213" s="354"/>
    </row>
    <row r="214" ht="14.25" customHeight="1">
      <c r="D214" s="354"/>
    </row>
    <row r="215" ht="14.25" customHeight="1">
      <c r="D215" s="354"/>
    </row>
    <row r="216" ht="14.25" customHeight="1">
      <c r="D216" s="354"/>
    </row>
    <row r="217" ht="14.25" customHeight="1">
      <c r="D217" s="354"/>
    </row>
    <row r="218" ht="14.25" customHeight="1">
      <c r="D218" s="354"/>
    </row>
    <row r="219" ht="14.25" customHeight="1">
      <c r="D219" s="354"/>
    </row>
    <row r="220" ht="14.25" customHeight="1">
      <c r="D220" s="354"/>
    </row>
    <row r="221" ht="14.25" customHeight="1">
      <c r="D221" s="354"/>
    </row>
    <row r="222" ht="14.25" customHeight="1">
      <c r="D222" s="354"/>
    </row>
    <row r="223" ht="14.25" customHeight="1">
      <c r="D223" s="354"/>
    </row>
    <row r="224" ht="14.25" customHeight="1">
      <c r="D224" s="354"/>
    </row>
    <row r="225" ht="14.25" customHeight="1">
      <c r="D225" s="354"/>
    </row>
    <row r="226" ht="14.25" customHeight="1">
      <c r="D226" s="354"/>
    </row>
    <row r="227" ht="14.25" customHeight="1">
      <c r="D227" s="354"/>
    </row>
    <row r="228" ht="14.25" customHeight="1">
      <c r="D228" s="354"/>
    </row>
    <row r="229" ht="14.25" customHeight="1">
      <c r="D229" s="354"/>
    </row>
    <row r="230" ht="14.25" customHeight="1">
      <c r="D230" s="354"/>
    </row>
    <row r="231" ht="14.25" customHeight="1">
      <c r="D231" s="354"/>
    </row>
    <row r="232" ht="14.25" customHeight="1">
      <c r="D232" s="354"/>
    </row>
    <row r="233" ht="14.25" customHeight="1">
      <c r="D233" s="354"/>
    </row>
    <row r="234" ht="14.25" customHeight="1">
      <c r="D234" s="354"/>
    </row>
    <row r="235" ht="14.25" customHeight="1">
      <c r="D235" s="354"/>
    </row>
    <row r="236" ht="14.25" customHeight="1">
      <c r="D236" s="354"/>
    </row>
    <row r="237" ht="14.25" customHeight="1">
      <c r="D237" s="354"/>
    </row>
    <row r="238" ht="14.25" customHeight="1">
      <c r="D238" s="354"/>
    </row>
    <row r="239" ht="14.25" customHeight="1">
      <c r="D239" s="354"/>
    </row>
    <row r="240" ht="14.25" customHeight="1">
      <c r="D240" s="354"/>
    </row>
    <row r="241" ht="14.25" customHeight="1">
      <c r="D241" s="354"/>
    </row>
    <row r="242" ht="14.25" customHeight="1">
      <c r="D242" s="354"/>
    </row>
    <row r="243" ht="14.25" customHeight="1">
      <c r="D243" s="354"/>
    </row>
    <row r="244" ht="14.25" customHeight="1">
      <c r="D244" s="354"/>
    </row>
    <row r="245" ht="14.25" customHeight="1">
      <c r="D245" s="354"/>
    </row>
    <row r="246" ht="14.25" customHeight="1">
      <c r="D246" s="354"/>
    </row>
    <row r="247" ht="14.25" customHeight="1">
      <c r="D247" s="354"/>
    </row>
    <row r="248" ht="14.25" customHeight="1">
      <c r="D248" s="354"/>
    </row>
    <row r="249" ht="14.25" customHeight="1">
      <c r="D249" s="354"/>
    </row>
    <row r="250" ht="14.25" customHeight="1">
      <c r="D250" s="354"/>
    </row>
    <row r="251" ht="14.25" customHeight="1">
      <c r="D251" s="354"/>
    </row>
    <row r="252" ht="14.25" customHeight="1">
      <c r="D252" s="354"/>
    </row>
    <row r="253" ht="14.25" customHeight="1">
      <c r="D253" s="354"/>
    </row>
    <row r="254" ht="14.25" customHeight="1">
      <c r="D254" s="354"/>
    </row>
    <row r="255" ht="14.25" customHeight="1">
      <c r="D255" s="354"/>
    </row>
    <row r="256" ht="14.25" customHeight="1">
      <c r="D256" s="354"/>
    </row>
    <row r="257" ht="14.25" customHeight="1">
      <c r="D257" s="354"/>
    </row>
    <row r="258" ht="14.25" customHeight="1">
      <c r="D258" s="354"/>
    </row>
    <row r="259" ht="14.25" customHeight="1">
      <c r="D259" s="354"/>
    </row>
    <row r="260" ht="14.25" customHeight="1">
      <c r="D260" s="354"/>
    </row>
    <row r="261" ht="14.25" customHeight="1">
      <c r="D261" s="354"/>
    </row>
    <row r="262" ht="14.25" customHeight="1">
      <c r="D262" s="354"/>
    </row>
    <row r="263" ht="14.25" customHeight="1">
      <c r="D263" s="354"/>
    </row>
    <row r="264" ht="14.25" customHeight="1">
      <c r="D264" s="354"/>
    </row>
    <row r="265" ht="14.25" customHeight="1">
      <c r="D265" s="354"/>
    </row>
    <row r="266" ht="14.25" customHeight="1">
      <c r="D266" s="354"/>
    </row>
    <row r="267" ht="14.25" customHeight="1">
      <c r="D267" s="354"/>
    </row>
    <row r="268" ht="14.25" customHeight="1">
      <c r="D268" s="354"/>
    </row>
    <row r="269" ht="14.25" customHeight="1">
      <c r="D269" s="354"/>
    </row>
    <row r="270" ht="14.25" customHeight="1">
      <c r="D270" s="354"/>
    </row>
    <row r="271" ht="14.25" customHeight="1">
      <c r="D271" s="354"/>
    </row>
    <row r="272" ht="14.25" customHeight="1">
      <c r="D272" s="354"/>
    </row>
    <row r="273" ht="14.25" customHeight="1">
      <c r="D273" s="354"/>
    </row>
    <row r="274" ht="14.25" customHeight="1">
      <c r="D274" s="354"/>
    </row>
    <row r="275" ht="14.25" customHeight="1">
      <c r="D275" s="354"/>
    </row>
    <row r="276" ht="14.25" customHeight="1">
      <c r="D276" s="354"/>
    </row>
    <row r="277" ht="14.25" customHeight="1">
      <c r="D277" s="354"/>
    </row>
    <row r="278" ht="14.25" customHeight="1">
      <c r="D278" s="354"/>
    </row>
    <row r="279" ht="14.25" customHeight="1">
      <c r="D279" s="354"/>
    </row>
    <row r="280" ht="14.25" customHeight="1">
      <c r="D280" s="354"/>
    </row>
    <row r="281" ht="14.25" customHeight="1">
      <c r="D281" s="354"/>
    </row>
    <row r="282" ht="14.25" customHeight="1">
      <c r="D282" s="354"/>
    </row>
    <row r="283" ht="14.25" customHeight="1">
      <c r="D283" s="354"/>
    </row>
    <row r="284" ht="14.25" customHeight="1">
      <c r="D284" s="354"/>
    </row>
    <row r="285" ht="14.25" customHeight="1">
      <c r="D285" s="354"/>
    </row>
    <row r="286" ht="14.25" customHeight="1">
      <c r="D286" s="354"/>
    </row>
    <row r="287" ht="14.25" customHeight="1">
      <c r="D287" s="354"/>
    </row>
    <row r="288" ht="14.25" customHeight="1">
      <c r="D288" s="354"/>
    </row>
    <row r="289" ht="14.25" customHeight="1">
      <c r="D289" s="354"/>
    </row>
    <row r="290" ht="14.25" customHeight="1">
      <c r="D290" s="35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hidden="1" min="6" max="6" width="14.43"/>
  </cols>
  <sheetData>
    <row r="2">
      <c r="D2" s="329"/>
      <c r="E2" s="329">
        <v>85.0</v>
      </c>
      <c r="F2" s="329">
        <v>86.0</v>
      </c>
      <c r="G2" s="329">
        <v>87.0</v>
      </c>
      <c r="H2" s="329">
        <v>88.0</v>
      </c>
      <c r="I2" s="329">
        <v>89.0</v>
      </c>
      <c r="J2" s="329">
        <v>90.0</v>
      </c>
    </row>
    <row r="3">
      <c r="C3" s="318" t="s">
        <v>97</v>
      </c>
      <c r="D3" s="318" t="s">
        <v>1</v>
      </c>
      <c r="E3" s="318" t="s">
        <v>98</v>
      </c>
      <c r="F3" s="318" t="s">
        <v>99</v>
      </c>
      <c r="G3" s="318" t="s">
        <v>2</v>
      </c>
      <c r="H3" s="322" t="s">
        <v>79</v>
      </c>
      <c r="I3" s="322" t="s">
        <v>13</v>
      </c>
      <c r="J3" s="322" t="s">
        <v>100</v>
      </c>
      <c r="K3" s="318" t="s">
        <v>101</v>
      </c>
    </row>
    <row r="4">
      <c r="B4" s="329" t="s">
        <v>102</v>
      </c>
      <c r="C4" s="186" t="str">
        <f>INVESTMENT!E91</f>
        <v>Shubart</v>
      </c>
      <c r="D4" s="186">
        <f>SHARES!BV3</f>
        <v>1600</v>
      </c>
      <c r="E4" s="359">
        <f>INVESTMENT!F85</f>
        <v>774.9490555</v>
      </c>
      <c r="F4" s="359">
        <f>INVESTMENT!F86</f>
        <v>324.9544289</v>
      </c>
      <c r="G4" s="360">
        <f>INVESTMENT!F87</f>
        <v>700</v>
      </c>
      <c r="H4" s="359">
        <f>INVESTMENT!F88</f>
        <v>3074.949055</v>
      </c>
      <c r="I4" s="361">
        <f>INVESTMENT!F89</f>
        <v>5312.275236</v>
      </c>
      <c r="J4" s="362">
        <f>INVESTMENT!F90</f>
        <v>-2237.326181</v>
      </c>
      <c r="K4" s="329" t="s">
        <v>103</v>
      </c>
    </row>
    <row r="5">
      <c r="A5" s="329">
        <v>9.78958789E8</v>
      </c>
      <c r="B5" s="329" t="s">
        <v>104</v>
      </c>
      <c r="C5" s="186" t="str">
        <f>INVESTMENT!I91</f>
        <v>Peter</v>
      </c>
      <c r="D5" s="186">
        <f>SHARES!BV4</f>
        <v>4400</v>
      </c>
      <c r="E5" s="360">
        <f>INVESTMENT!J85</f>
        <v>1080.059153</v>
      </c>
      <c r="F5" s="359">
        <f>INVESTMENT!J86</f>
        <v>373.5681789</v>
      </c>
      <c r="G5" s="359">
        <f>INVESTMENT!J87</f>
        <v>900</v>
      </c>
      <c r="H5" s="359">
        <f>INVESTMENT!J88</f>
        <v>6880.059153</v>
      </c>
      <c r="I5" s="362">
        <f>INVESTMENT!J89</f>
        <v>0</v>
      </c>
      <c r="J5" s="362">
        <f>INVESTMENT!J90</f>
        <v>6880.059153</v>
      </c>
      <c r="K5" s="329" t="s">
        <v>105</v>
      </c>
    </row>
    <row r="6">
      <c r="B6" s="329" t="s">
        <v>106</v>
      </c>
      <c r="C6" s="186" t="str">
        <f>INVESTMENT!M91</f>
        <v>Jailos</v>
      </c>
      <c r="D6" s="186">
        <f>SHARES!BV5</f>
        <v>2000</v>
      </c>
      <c r="E6" s="359">
        <f>INVESTMENT!N85</f>
        <v>801.8138578</v>
      </c>
      <c r="F6" s="359">
        <f>INVESTMENT!N86</f>
        <v>373.5681789</v>
      </c>
      <c r="G6" s="363">
        <f>INVESTMENT!N87</f>
        <v>900</v>
      </c>
      <c r="H6" s="359">
        <f>INVESTMENT!N88</f>
        <v>4201.813858</v>
      </c>
      <c r="I6" s="362">
        <f>INVESTMENT!N89</f>
        <v>1685.997264</v>
      </c>
      <c r="J6" s="362">
        <f>INVESTMENT!N90</f>
        <v>2515.816594</v>
      </c>
      <c r="K6" s="329" t="s">
        <v>105</v>
      </c>
    </row>
    <row r="7">
      <c r="B7" s="329" t="s">
        <v>107</v>
      </c>
      <c r="C7" s="186" t="str">
        <f>INVESTMENT!Q91</f>
        <v>Gabriel</v>
      </c>
      <c r="D7" s="186">
        <f>SHARES!BV6</f>
        <v>2500</v>
      </c>
      <c r="E7" s="359">
        <f>INVESTMENT!R85</f>
        <v>828.8217753</v>
      </c>
      <c r="F7" s="359">
        <f>INVESTMENT!R86</f>
        <v>302.9220752</v>
      </c>
      <c r="G7" s="359">
        <f>INVESTMENT!R87</f>
        <v>800</v>
      </c>
      <c r="H7" s="359">
        <f>INVESTMENT!R88</f>
        <v>4128.821775</v>
      </c>
      <c r="I7" s="362">
        <f>INVESTMENT!R89</f>
        <v>-4.421403984</v>
      </c>
      <c r="J7" s="362">
        <f>INVESTMENT!R90</f>
        <v>4133.243179</v>
      </c>
      <c r="K7" s="329" t="s">
        <v>105</v>
      </c>
    </row>
    <row r="8">
      <c r="B8" s="329" t="s">
        <v>108</v>
      </c>
      <c r="C8" s="186" t="str">
        <f>INVESTMENT!U91</f>
        <v>Daniel</v>
      </c>
      <c r="D8" s="186">
        <f>SHARES!BV7</f>
        <v>2000</v>
      </c>
      <c r="E8" s="359">
        <f>INVESTMENT!V85</f>
        <v>814.5477328</v>
      </c>
      <c r="F8" s="359">
        <f>INVESTMENT!V86</f>
        <v>373.5681789</v>
      </c>
      <c r="G8" s="359">
        <f>INVESTMENT!V87</f>
        <v>900</v>
      </c>
      <c r="H8" s="359">
        <f>INVESTMENT!V88</f>
        <v>3714.547733</v>
      </c>
      <c r="I8" s="362">
        <f>INVESTMENT!V89</f>
        <v>3724.572041</v>
      </c>
      <c r="J8" s="362">
        <f>INVESTMENT!V90</f>
        <v>-10.02430771</v>
      </c>
      <c r="K8" s="329" t="s">
        <v>103</v>
      </c>
    </row>
    <row r="9">
      <c r="B9" s="329" t="s">
        <v>109</v>
      </c>
      <c r="C9" s="186" t="str">
        <f>INVESTMENT!Y91</f>
        <v>Faides</v>
      </c>
      <c r="D9" s="186">
        <f>SHARES!BV8</f>
        <v>1400</v>
      </c>
      <c r="E9" s="359">
        <f>INVESTMENT!Z85</f>
        <v>595.0242648</v>
      </c>
      <c r="F9" s="359">
        <f>INVESTMENT!Z86</f>
        <v>297.5121324</v>
      </c>
      <c r="G9" s="359">
        <f>INVESTMENT!Z87</f>
        <v>700</v>
      </c>
      <c r="H9" s="359">
        <f>INVESTMENT!Z88</f>
        <v>2695.024265</v>
      </c>
      <c r="I9" s="362">
        <f>INVESTMENT!Z89</f>
        <v>2762.074298</v>
      </c>
      <c r="J9" s="362">
        <f>INVESTMENT!Z90</f>
        <v>-67.05003271</v>
      </c>
      <c r="K9" s="329" t="s">
        <v>103</v>
      </c>
    </row>
    <row r="10">
      <c r="B10" s="329" t="s">
        <v>110</v>
      </c>
      <c r="C10" s="186" t="str">
        <f>INVESTMENT!AC91</f>
        <v>Clera</v>
      </c>
      <c r="D10" s="186">
        <f>SHARES!BV9</f>
        <v>1400</v>
      </c>
      <c r="E10" s="359">
        <f>INVESTMENT!AD85</f>
        <v>673.5863578</v>
      </c>
      <c r="F10" s="359">
        <f>INVESTMENT!AD86</f>
        <v>352.2931789</v>
      </c>
      <c r="G10" s="359">
        <f>INVESTMENT!AD87</f>
        <v>800</v>
      </c>
      <c r="H10" s="359">
        <f>INVESTMENT!AD88</f>
        <v>2873.586358</v>
      </c>
      <c r="I10" s="362">
        <f>INVESTMENT!AD89</f>
        <v>606.9151994</v>
      </c>
      <c r="J10" s="362">
        <f>INVESTMENT!AD90</f>
        <v>2266.671158</v>
      </c>
      <c r="K10" s="329" t="s">
        <v>105</v>
      </c>
    </row>
    <row r="11">
      <c r="B11" s="329" t="s">
        <v>111</v>
      </c>
      <c r="C11" s="186" t="str">
        <f>INVESTMENT!AG91</f>
        <v>Maureen</v>
      </c>
      <c r="D11" s="186">
        <f>SHARES!BV10</f>
        <v>1800</v>
      </c>
      <c r="E11" s="359">
        <f>INVESTMENT!AH85</f>
        <v>712.4101442</v>
      </c>
      <c r="F11" s="359">
        <f>INVESTMENT!AH86</f>
        <v>191.7882263</v>
      </c>
      <c r="G11" s="359">
        <f>INVESTMENT!AH87</f>
        <v>500</v>
      </c>
      <c r="H11" s="359">
        <f>INVESTMENT!AH88</f>
        <v>3012.410144</v>
      </c>
      <c r="I11" s="362">
        <f>INVESTMENT!AH89</f>
        <v>3011.610747</v>
      </c>
      <c r="J11" s="362">
        <f>INVESTMENT!AH90</f>
        <v>0.7993973594</v>
      </c>
      <c r="K11" s="329" t="s">
        <v>105</v>
      </c>
    </row>
    <row r="12">
      <c r="B12" s="329" t="s">
        <v>112</v>
      </c>
      <c r="C12" s="186" t="str">
        <f>INVESTMENT!AK91</f>
        <v>Lesa</v>
      </c>
      <c r="D12" s="186">
        <f>SHARES!BV11</f>
        <v>1400</v>
      </c>
      <c r="E12" s="359">
        <f>INVESTMENT!AL85</f>
        <v>496.2820573</v>
      </c>
      <c r="F12" s="359">
        <f>INVESTMENT!AL86</f>
        <v>248.1410287</v>
      </c>
      <c r="G12" s="359">
        <f>INVESTMENT!AL87</f>
        <v>700</v>
      </c>
      <c r="H12" s="359">
        <f>INVESTMENT!AL88</f>
        <v>2596.282057</v>
      </c>
      <c r="I12" s="362">
        <f>INVESTMENT!AL89</f>
        <v>3329.270365</v>
      </c>
      <c r="J12" s="362">
        <f>INVESTMENT!AL90</f>
        <v>-732.9883074</v>
      </c>
      <c r="K12" s="329" t="s">
        <v>103</v>
      </c>
    </row>
    <row r="13">
      <c r="B13" s="329" t="s">
        <v>113</v>
      </c>
      <c r="C13" s="186" t="str">
        <f>INVESTMENT!AO91</f>
        <v>Michelle</v>
      </c>
      <c r="D13" s="186">
        <f>SHARES!BV12</f>
        <v>1200</v>
      </c>
      <c r="E13" s="359">
        <f>INVESTMENT!AP85</f>
        <v>471.3210938</v>
      </c>
      <c r="F13" s="359">
        <f>INVESTMENT!AP86</f>
        <v>89.59665938</v>
      </c>
      <c r="G13" s="359">
        <f>INVESTMENT!AP87</f>
        <v>300</v>
      </c>
      <c r="H13" s="359">
        <f>INVESTMENT!AP88</f>
        <v>1971.321094</v>
      </c>
      <c r="I13" s="362">
        <f>INVESTMENT!AP89</f>
        <v>1969.683125</v>
      </c>
      <c r="J13" s="362">
        <f>INVESTMENT!AP90</f>
        <v>1.63796875</v>
      </c>
      <c r="K13" s="329" t="s">
        <v>105</v>
      </c>
    </row>
    <row r="14">
      <c r="B14" s="329" t="s">
        <v>114</v>
      </c>
      <c r="C14" s="186" t="str">
        <f>INVESTMENT!AS91</f>
        <v>Rosemary</v>
      </c>
      <c r="D14" s="186">
        <f>SHARES!BV13</f>
        <v>800</v>
      </c>
      <c r="E14" s="359">
        <f>INVESTMENT!AT85</f>
        <v>233.8708188</v>
      </c>
      <c r="F14" s="359">
        <f>INVESTMENT!AT86</f>
        <v>16.93540938</v>
      </c>
      <c r="G14" s="359">
        <f>INVESTMENT!AT87</f>
        <v>400</v>
      </c>
      <c r="H14" s="359">
        <f>INVESTMENT!AT88</f>
        <v>1633.870819</v>
      </c>
      <c r="I14" s="362">
        <f>INVESTMENT!AT89</f>
        <v>-103.38125</v>
      </c>
      <c r="J14" s="362">
        <f>INVESTMENT!AT90</f>
        <v>1737.252069</v>
      </c>
      <c r="K14" s="329" t="s">
        <v>105</v>
      </c>
    </row>
    <row r="15">
      <c r="B15" s="329" t="s">
        <v>115</v>
      </c>
      <c r="C15" s="186" t="str">
        <f>INVESTMENT!AW91</f>
        <v>Osward</v>
      </c>
      <c r="D15" s="186">
        <f>SHARES!BV14</f>
        <v>200</v>
      </c>
      <c r="E15" s="359">
        <f>INVESTMENT!AX85</f>
        <v>31</v>
      </c>
      <c r="F15" s="359">
        <f>INVESTMENT!AX86</f>
        <v>15.5</v>
      </c>
      <c r="G15" s="359">
        <f>INVESTMENT!AX87</f>
        <v>100</v>
      </c>
      <c r="H15" s="359">
        <f>INVESTMENT!AX88</f>
        <v>331</v>
      </c>
      <c r="I15" s="362">
        <f>INVESTMENT!AX89</f>
        <v>0</v>
      </c>
      <c r="J15" s="362">
        <f>INVESTMENT!AX90</f>
        <v>331</v>
      </c>
      <c r="K15" s="329" t="s">
        <v>105</v>
      </c>
    </row>
    <row r="17">
      <c r="I17" s="364" t="s">
        <v>116</v>
      </c>
      <c r="J17" s="365">
        <f>Bank!E15</f>
        <v>16467</v>
      </c>
    </row>
    <row r="18">
      <c r="I18" s="364" t="s">
        <v>117</v>
      </c>
      <c r="J18" s="366">
        <f>sum(J4, J8, J9, J11, J13 )</f>
        <v>-2311.963155</v>
      </c>
    </row>
    <row r="19">
      <c r="I19" s="364" t="s">
        <v>118</v>
      </c>
      <c r="J19" s="366">
        <f>sum(J5, J7, J6, J10, J12, J14, J15 ) </f>
        <v>17131.05385</v>
      </c>
    </row>
    <row r="20">
      <c r="I20" s="364" t="s">
        <v>119</v>
      </c>
      <c r="J20" s="362">
        <f>sum(J17, J18, J19 )</f>
        <v>31286.09069</v>
      </c>
    </row>
  </sheetData>
  <conditionalFormatting sqref="J4:J15 J20">
    <cfRule type="cellIs" dxfId="4" priority="1" operator="greaterThanOrEqual">
      <formula>0</formula>
    </cfRule>
  </conditionalFormatting>
  <conditionalFormatting sqref="J4:J15 J20">
    <cfRule type="cellIs" dxfId="5" priority="2" operator="lessThan">
      <formula>0</formula>
    </cfRule>
  </conditionalFormatting>
  <conditionalFormatting sqref="K4:K5">
    <cfRule type="expression" dxfId="6" priority="3">
      <formula>"i4 &gt; 0"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</cols>
  <sheetData>
    <row r="1">
      <c r="B1" s="329" t="s">
        <v>120</v>
      </c>
      <c r="C1" s="329" t="s">
        <v>121</v>
      </c>
      <c r="D1" s="329" t="s">
        <v>122</v>
      </c>
      <c r="E1" s="329" t="s">
        <v>123</v>
      </c>
    </row>
    <row r="2">
      <c r="A2" s="20" t="s">
        <v>7</v>
      </c>
    </row>
    <row r="3">
      <c r="A3" s="34" t="s">
        <v>18</v>
      </c>
      <c r="B3" s="186">
        <f>SHARES!BP3</f>
        <v>2000</v>
      </c>
      <c r="C3" s="329">
        <f>SHARES!BS3</f>
        <v>1000</v>
      </c>
      <c r="E3" s="186">
        <f t="shared" ref="E3:E14" si="1">sum(B3:D3)</f>
        <v>3000</v>
      </c>
    </row>
    <row r="4">
      <c r="A4" s="50" t="s">
        <v>19</v>
      </c>
      <c r="B4" s="186">
        <f>SHARES!BP4</f>
        <v>500</v>
      </c>
      <c r="C4" s="329">
        <f>SHARES!BS4</f>
        <v>0</v>
      </c>
      <c r="E4" s="186">
        <f t="shared" si="1"/>
        <v>500</v>
      </c>
    </row>
    <row r="5">
      <c r="A5" s="62" t="s">
        <v>20</v>
      </c>
      <c r="B5" s="186">
        <f>SHARES!BP5</f>
        <v>500</v>
      </c>
      <c r="C5" s="329">
        <v>500.0</v>
      </c>
      <c r="E5" s="186">
        <f t="shared" si="1"/>
        <v>1000</v>
      </c>
    </row>
    <row r="6">
      <c r="A6" s="75" t="s">
        <v>21</v>
      </c>
      <c r="B6" s="186">
        <f>SHARES!BP6</f>
        <v>0</v>
      </c>
      <c r="C6" s="329">
        <f>SHARES!BS6</f>
        <v>0</v>
      </c>
      <c r="E6" s="186">
        <f t="shared" si="1"/>
        <v>0</v>
      </c>
    </row>
    <row r="7">
      <c r="A7" s="88" t="s">
        <v>22</v>
      </c>
      <c r="B7" s="186">
        <f>SHARES!BP7</f>
        <v>700</v>
      </c>
      <c r="C7" s="329">
        <f>SHARES!BS7</f>
        <v>1300</v>
      </c>
      <c r="E7" s="186">
        <f t="shared" si="1"/>
        <v>2000</v>
      </c>
    </row>
    <row r="8">
      <c r="A8" s="90" t="s">
        <v>23</v>
      </c>
      <c r="B8" s="186">
        <f>SHARES!BP8</f>
        <v>1000</v>
      </c>
      <c r="C8" s="329">
        <f>SHARES!BS8</f>
        <v>0</v>
      </c>
      <c r="E8" s="186">
        <f t="shared" si="1"/>
        <v>1000</v>
      </c>
    </row>
    <row r="9">
      <c r="A9" s="103" t="s">
        <v>24</v>
      </c>
      <c r="B9" s="186">
        <f>SHARES!BP9</f>
        <v>2600</v>
      </c>
      <c r="C9" s="329">
        <f>SHARES!BS9</f>
        <v>300</v>
      </c>
      <c r="E9" s="186">
        <f t="shared" si="1"/>
        <v>2900</v>
      </c>
    </row>
    <row r="10">
      <c r="A10" s="116" t="s">
        <v>25</v>
      </c>
      <c r="B10" s="186">
        <f>SHARES!BP10</f>
        <v>0</v>
      </c>
      <c r="C10" s="329">
        <f>SHARES!BS10</f>
        <v>647</v>
      </c>
      <c r="E10" s="186">
        <f t="shared" si="1"/>
        <v>647</v>
      </c>
    </row>
    <row r="11">
      <c r="A11" s="129" t="s">
        <v>26</v>
      </c>
      <c r="B11" s="186">
        <f>SHARES!BP11</f>
        <v>500</v>
      </c>
      <c r="C11" s="329">
        <f>SHARES!BS11</f>
        <v>1000</v>
      </c>
      <c r="E11" s="186">
        <f t="shared" si="1"/>
        <v>1500</v>
      </c>
    </row>
    <row r="12">
      <c r="A12" s="141" t="s">
        <v>27</v>
      </c>
      <c r="B12" s="186">
        <f>SHARES!BP12</f>
        <v>0</v>
      </c>
      <c r="C12" s="329">
        <v>2950.0</v>
      </c>
      <c r="E12" s="186">
        <f t="shared" si="1"/>
        <v>2950</v>
      </c>
    </row>
    <row r="13">
      <c r="A13" s="142" t="s">
        <v>28</v>
      </c>
      <c r="B13" s="186">
        <f>SHARES!BP13</f>
        <v>970</v>
      </c>
      <c r="C13" s="329">
        <f>SHARES!BS13</f>
        <v>0</v>
      </c>
      <c r="E13" s="186">
        <f t="shared" si="1"/>
        <v>970</v>
      </c>
    </row>
    <row r="14">
      <c r="A14" s="155" t="s">
        <v>29</v>
      </c>
      <c r="B14" s="186">
        <f>SHARES!BP14</f>
        <v>0</v>
      </c>
      <c r="C14" s="329">
        <f>SHARES!BS14</f>
        <v>0</v>
      </c>
      <c r="E14" s="186">
        <f t="shared" si="1"/>
        <v>0</v>
      </c>
    </row>
    <row r="15">
      <c r="A15" s="170" t="s">
        <v>15</v>
      </c>
      <c r="B15" s="338">
        <f t="shared" ref="B15:E15" si="2">SUM(B2:B14)</f>
        <v>8770</v>
      </c>
      <c r="C15" s="338">
        <f t="shared" si="2"/>
        <v>7697</v>
      </c>
      <c r="D15" s="186">
        <f t="shared" si="2"/>
        <v>0</v>
      </c>
      <c r="E15" s="338">
        <f t="shared" si="2"/>
        <v>16467</v>
      </c>
    </row>
  </sheetData>
  <drawing r:id="rId1"/>
</worksheet>
</file>