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ccmih-my.sharepoint.com/personal/evans_ngeki_zccm-ih_com_zm/Documents/INF CASH/"/>
    </mc:Choice>
  </mc:AlternateContent>
  <xr:revisionPtr revIDLastSave="6" documentId="8_{8EB6D4E0-77CE-4404-8950-AA4CE695561E}" xr6:coauthVersionLast="47" xr6:coauthVersionMax="47" xr10:uidLastSave="{73995942-D723-49EC-AA7F-1A6775963E7C}"/>
  <bookViews>
    <workbookView xWindow="-110" yWindow="-110" windowWidth="19420" windowHeight="10300" activeTab="8" xr2:uid="{00000000-000D-0000-FFFF-FFFF00000000}"/>
  </bookViews>
  <sheets>
    <sheet name="Shares" sheetId="1" r:id="rId1"/>
    <sheet name="final" sheetId="17" state="hidden" r:id="rId2"/>
    <sheet name="Calculations" sheetId="9" state="hidden" r:id="rId3"/>
    <sheet name="Admins" sheetId="18" state="hidden" r:id="rId4"/>
    <sheet name="New Repayment Schedule" sheetId="15" r:id="rId5"/>
    <sheet name="Repayment Schedule" sheetId="4" state="hidden" r:id="rId6"/>
    <sheet name="Loan Applicants" sheetId="3" r:id="rId7"/>
    <sheet name="REDLIST ALERT" sheetId="14" state="hidden" r:id="rId8"/>
    <sheet name="Shareout" sheetId="6" r:id="rId9"/>
    <sheet name="LOAN BALANCE" sheetId="13" state="hidden" r:id="rId10"/>
    <sheet name="Penalties" sheetId="7" r:id="rId11"/>
    <sheet name="Summary" sheetId="12" state="hidden" r:id="rId12"/>
    <sheet name="Sheet1" sheetId="10" state="hidden" r:id="rId13"/>
  </sheets>
  <externalReferences>
    <externalReference r:id="rId14"/>
  </externalReferences>
  <definedNames>
    <definedName name="_xlnm._FilterDatabase" localSheetId="2" hidden="1">Calculations!$B$5:$H$32</definedName>
    <definedName name="_xlnm._FilterDatabase" localSheetId="1" hidden="1">final!$A$2:$G$38</definedName>
    <definedName name="_xlnm._FilterDatabase" localSheetId="6" hidden="1">'Loan Applicants'!$B$2:$O$28</definedName>
    <definedName name="_xlnm._FilterDatabase" localSheetId="7" hidden="1">'REDLIST ALERT'!$A$1:$K$28</definedName>
    <definedName name="_xlnm._FilterDatabase" localSheetId="5" hidden="1">'Repayment Schedule'!$A$76:$Z$85</definedName>
    <definedName name="Augusttotalinfracash">Calculations!#REF!</definedName>
    <definedName name="BalAug">Calculations!#REF!</definedName>
    <definedName name="Excessinfracash2023">final!$H$1</definedName>
    <definedName name="FL">[1]Calculations!$G$43</definedName>
    <definedName name="FL_Total">'Loan Applicants'!#REF!</definedName>
    <definedName name="FLAUGUST2024">Calculations!$D$32</definedName>
    <definedName name="INFINVEST" localSheetId="4">[1]Shares!$B$4:$Z$41</definedName>
    <definedName name="INFINVEST" localSheetId="11">Summary!$B$4:$Z$26</definedName>
    <definedName name="INFINVEST">Shares!$B$4:$Z$28</definedName>
    <definedName name="INFMO">[1]Shares!$B$4:$Z$41</definedName>
    <definedName name="INFMONEYSHARES">[1]Shares!$B$4:$Z$42</definedName>
    <definedName name="infracashexcess2024">'REDLIST ALERT'!$D$38</definedName>
    <definedName name="INFRACASHshares2025">Shares!$B$4:$Z$29</definedName>
    <definedName name="INFRCASHTOTALSHARE2023">Shares!$Y$31</definedName>
    <definedName name="INFSHARES" localSheetId="4">Shares!$B$4:$X$29</definedName>
    <definedName name="INFSHARES" localSheetId="11">Summary!$B$4:$X$33</definedName>
    <definedName name="INFSHARES">Shares!$B$4:$X$28</definedName>
    <definedName name="INFTOTAL" localSheetId="4">Shares!$Y$31</definedName>
    <definedName name="INFTOTAL" localSheetId="11">Summary!$Y$34</definedName>
    <definedName name="INFTOTAL">Shares!$Y$30</definedName>
    <definedName name="loan">'New Repayment Schedule'!$H$6:$DD$30</definedName>
    <definedName name="LOANTOTAL" localSheetId="4">#REF!</definedName>
    <definedName name="LOANTOTAL">#REF!</definedName>
    <definedName name="TotalFL" localSheetId="11">Summary!$Y$36</definedName>
    <definedName name="TotalFL">Shares!$Y$32</definedName>
    <definedName name="Totalinfracash2024">Shares!$Y$30-Shares!$Y$29</definedName>
    <definedName name="TOTALLOAN">'LOAN BALANCE'!$B$3:$M$33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29" i="15" l="1"/>
  <c r="J6" i="18"/>
  <c r="P33" i="9"/>
  <c r="CI25" i="15"/>
  <c r="CI26" i="15"/>
  <c r="CI27" i="15"/>
  <c r="CI28" i="15"/>
  <c r="CI29" i="15"/>
  <c r="CI24" i="15"/>
  <c r="CI7" i="15"/>
  <c r="CI8" i="15"/>
  <c r="CI9" i="15"/>
  <c r="CI10" i="15"/>
  <c r="CI11" i="15"/>
  <c r="CI12" i="15"/>
  <c r="CI13" i="15"/>
  <c r="CI14" i="15"/>
  <c r="CI15" i="15"/>
  <c r="CI16" i="15"/>
  <c r="CI17" i="15"/>
  <c r="CI18" i="15"/>
  <c r="CI19" i="15"/>
  <c r="CI20" i="15"/>
  <c r="CI21" i="15"/>
  <c r="CI22" i="15"/>
  <c r="CI23" i="15"/>
  <c r="CI6" i="15"/>
  <c r="BY7" i="15"/>
  <c r="BY8" i="15"/>
  <c r="BY9" i="15"/>
  <c r="BY10" i="15"/>
  <c r="BY11" i="15"/>
  <c r="BY12" i="15"/>
  <c r="BY13" i="15"/>
  <c r="BY14" i="15"/>
  <c r="BY15" i="15"/>
  <c r="BY16" i="15"/>
  <c r="BY17" i="15"/>
  <c r="BY18" i="15"/>
  <c r="BY19" i="15"/>
  <c r="BY20" i="15"/>
  <c r="BY21" i="15"/>
  <c r="BY22" i="15"/>
  <c r="BY23" i="15"/>
  <c r="BY6" i="15"/>
  <c r="BP7" i="15"/>
  <c r="BP8" i="15"/>
  <c r="BP9" i="15"/>
  <c r="BP10" i="15"/>
  <c r="BP11" i="15"/>
  <c r="BP12" i="15"/>
  <c r="BP13" i="15"/>
  <c r="BP14" i="15"/>
  <c r="BP15" i="15"/>
  <c r="BP16" i="15"/>
  <c r="BP17" i="15"/>
  <c r="BP18" i="15"/>
  <c r="BP19" i="15"/>
  <c r="BP20" i="15"/>
  <c r="BP21" i="15"/>
  <c r="BP22" i="15"/>
  <c r="BP23" i="15"/>
  <c r="BP24" i="15"/>
  <c r="BP25" i="15"/>
  <c r="BP26" i="15"/>
  <c r="BP27" i="15"/>
  <c r="BP28" i="15"/>
  <c r="BP29" i="15"/>
  <c r="BP30" i="15"/>
  <c r="BP6" i="15"/>
  <c r="BH7" i="15"/>
  <c r="BH8" i="15"/>
  <c r="BH9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6" i="15"/>
  <c r="AR7" i="15"/>
  <c r="AR8" i="15"/>
  <c r="AR9" i="15"/>
  <c r="AR10" i="15"/>
  <c r="AR11" i="15"/>
  <c r="AR12" i="15"/>
  <c r="AR13" i="15"/>
  <c r="AR14" i="15"/>
  <c r="AR15" i="15"/>
  <c r="AR16" i="15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6" i="15"/>
  <c r="AJ6" i="15"/>
  <c r="AJ7" i="15"/>
  <c r="AJ8" i="15"/>
  <c r="AJ9" i="15"/>
  <c r="AJ10" i="15"/>
  <c r="AJ11" i="15"/>
  <c r="AJ12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13" i="15"/>
  <c r="AB13" i="15"/>
  <c r="CP31" i="15"/>
  <c r="CP29" i="15"/>
  <c r="CB80" i="6"/>
  <c r="CR80" i="6"/>
  <c r="E2" i="18"/>
  <c r="F2" i="18"/>
  <c r="E42" i="18"/>
  <c r="E45" i="18" s="1"/>
  <c r="B32" i="18"/>
  <c r="E29" i="18"/>
  <c r="D29" i="18"/>
  <c r="C29" i="18"/>
  <c r="B29" i="18"/>
  <c r="B34" i="18" s="1"/>
  <c r="B37" i="18" s="1"/>
  <c r="CL24" i="15" l="1"/>
  <c r="Y30" i="1"/>
  <c r="L4" i="18"/>
  <c r="L5" i="18"/>
  <c r="L7" i="18"/>
  <c r="L6" i="18"/>
  <c r="C28" i="14" l="1"/>
  <c r="D28" i="14"/>
  <c r="F27" i="14"/>
  <c r="H27" i="14" s="1"/>
  <c r="E27" i="14"/>
  <c r="D27" i="14"/>
  <c r="C27" i="14"/>
  <c r="CO24" i="15"/>
  <c r="CU24" i="15" s="1"/>
  <c r="BV24" i="15"/>
  <c r="I3" i="18"/>
  <c r="N6" i="9"/>
  <c r="O6" i="9"/>
  <c r="M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6" i="9"/>
  <c r="P34" i="9" l="1"/>
  <c r="P6" i="9"/>
  <c r="I8" i="18"/>
  <c r="L3" i="18"/>
  <c r="L8" i="18" s="1"/>
  <c r="D35" i="14"/>
  <c r="D16" i="14"/>
  <c r="E15" i="14"/>
  <c r="D2" i="14"/>
  <c r="D26" i="14"/>
  <c r="D25" i="14"/>
  <c r="D24" i="14"/>
  <c r="D23" i="14"/>
  <c r="D22" i="14"/>
  <c r="D21" i="14"/>
  <c r="D20" i="14"/>
  <c r="CC24" i="15"/>
  <c r="BT24" i="15"/>
  <c r="BI24" i="15"/>
  <c r="BI25" i="15"/>
  <c r="BA24" i="15"/>
  <c r="BB24" i="15" s="1"/>
  <c r="BE24" i="15" s="1"/>
  <c r="BA25" i="15"/>
  <c r="CE24" i="15"/>
  <c r="CB24" i="15"/>
  <c r="CJ19" i="15"/>
  <c r="CJ20" i="15"/>
  <c r="CJ21" i="15"/>
  <c r="CJ22" i="15"/>
  <c r="CJ23" i="15"/>
  <c r="CJ18" i="15"/>
  <c r="CJ11" i="15"/>
  <c r="CJ12" i="15"/>
  <c r="CJ13" i="15"/>
  <c r="CJ14" i="15"/>
  <c r="CJ15" i="15"/>
  <c r="CJ16" i="15"/>
  <c r="CJ17" i="15"/>
  <c r="DB23" i="15"/>
  <c r="DB24" i="15"/>
  <c r="DB25" i="15"/>
  <c r="BX77" i="6"/>
  <c r="BY78" i="6" s="1"/>
  <c r="BX73" i="6"/>
  <c r="BY74" i="6" s="1"/>
  <c r="BX68" i="6"/>
  <c r="BY69" i="6" s="1"/>
  <c r="BX62" i="6"/>
  <c r="BY63" i="6" s="1"/>
  <c r="BX55" i="6"/>
  <c r="BX56" i="6" s="1"/>
  <c r="BX47" i="6"/>
  <c r="BX48" i="6" s="1"/>
  <c r="BX38" i="6"/>
  <c r="BY39" i="6" s="1"/>
  <c r="BX28" i="6"/>
  <c r="BX29" i="6" s="1"/>
  <c r="BX16" i="6"/>
  <c r="BY17" i="6" s="1"/>
  <c r="BX4" i="6"/>
  <c r="BY5" i="6" s="1"/>
  <c r="G77" i="6"/>
  <c r="H78" i="6" s="1"/>
  <c r="G73" i="6"/>
  <c r="G74" i="6" s="1"/>
  <c r="G68" i="6"/>
  <c r="H69" i="6" s="1"/>
  <c r="G62" i="6"/>
  <c r="H63" i="6" s="1"/>
  <c r="G55" i="6"/>
  <c r="H56" i="6" s="1"/>
  <c r="G47" i="6"/>
  <c r="G48" i="6" s="1"/>
  <c r="G38" i="6"/>
  <c r="H39" i="6" s="1"/>
  <c r="G28" i="6"/>
  <c r="G29" i="6" s="1"/>
  <c r="G16" i="6"/>
  <c r="H17" i="6" s="1"/>
  <c r="G4" i="6"/>
  <c r="G5" i="6" s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" i="14"/>
  <c r="M33" i="9"/>
  <c r="F36" i="9"/>
  <c r="F37" i="9"/>
  <c r="F38" i="9"/>
  <c r="F40" i="9"/>
  <c r="F42" i="9"/>
  <c r="F43" i="9"/>
  <c r="F44" i="9"/>
  <c r="F45" i="9"/>
  <c r="F46" i="9"/>
  <c r="F47" i="9"/>
  <c r="F48" i="9"/>
  <c r="F49" i="9"/>
  <c r="F50" i="9"/>
  <c r="F51" i="9"/>
  <c r="F52" i="9"/>
  <c r="F53" i="9"/>
  <c r="F55" i="9"/>
  <c r="F56" i="9"/>
  <c r="F57" i="9"/>
  <c r="F35" i="9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4" i="1"/>
  <c r="BC24" i="15" l="1"/>
  <c r="CM24" i="15"/>
  <c r="BJ24" i="15"/>
  <c r="BY30" i="6"/>
  <c r="BX30" i="6"/>
  <c r="BY49" i="6"/>
  <c r="BX49" i="6"/>
  <c r="BY57" i="6"/>
  <c r="BX57" i="6"/>
  <c r="BX74" i="6"/>
  <c r="BX78" i="6"/>
  <c r="BY56" i="6"/>
  <c r="BY29" i="6"/>
  <c r="BX39" i="6"/>
  <c r="BY48" i="6"/>
  <c r="BX69" i="6"/>
  <c r="BX82" i="6"/>
  <c r="BX81" i="6" s="1"/>
  <c r="BX63" i="6"/>
  <c r="BX5" i="6"/>
  <c r="BX17" i="6"/>
  <c r="H30" i="6"/>
  <c r="G30" i="6"/>
  <c r="H49" i="6"/>
  <c r="G49" i="6"/>
  <c r="H6" i="6"/>
  <c r="G6" i="6"/>
  <c r="H75" i="6"/>
  <c r="G75" i="6"/>
  <c r="G63" i="6"/>
  <c r="H5" i="6"/>
  <c r="H74" i="6"/>
  <c r="G78" i="6"/>
  <c r="H29" i="6"/>
  <c r="G39" i="6"/>
  <c r="H48" i="6"/>
  <c r="G69" i="6"/>
  <c r="G82" i="6"/>
  <c r="G81" i="6" s="1"/>
  <c r="G17" i="6"/>
  <c r="G56" i="6"/>
  <c r="BM24" i="15" l="1"/>
  <c r="BK24" i="15"/>
  <c r="CX24" i="15"/>
  <c r="DC24" i="15" s="1"/>
  <c r="CV24" i="15"/>
  <c r="BY70" i="6"/>
  <c r="BX70" i="6"/>
  <c r="BY58" i="6"/>
  <c r="BX58" i="6"/>
  <c r="BY6" i="6"/>
  <c r="BX6" i="6"/>
  <c r="BY40" i="6"/>
  <c r="BX40" i="6"/>
  <c r="BY50" i="6"/>
  <c r="BX50" i="6"/>
  <c r="BX31" i="6"/>
  <c r="BY31" i="6"/>
  <c r="BY64" i="6"/>
  <c r="BX64" i="6"/>
  <c r="BX75" i="6"/>
  <c r="BY75" i="6"/>
  <c r="BY18" i="6"/>
  <c r="BX18" i="6"/>
  <c r="H57" i="6"/>
  <c r="G57" i="6"/>
  <c r="H18" i="6"/>
  <c r="G18" i="6"/>
  <c r="G31" i="6"/>
  <c r="H31" i="6"/>
  <c r="H70" i="6"/>
  <c r="G70" i="6"/>
  <c r="H40" i="6"/>
  <c r="G40" i="6"/>
  <c r="G64" i="6"/>
  <c r="H64" i="6"/>
  <c r="H7" i="6"/>
  <c r="G7" i="6"/>
  <c r="G50" i="6"/>
  <c r="H50" i="6"/>
  <c r="BX86" i="6" l="1"/>
  <c r="E20" i="14" s="1"/>
  <c r="F20" i="14" s="1"/>
  <c r="H20" i="14" s="1"/>
  <c r="BY32" i="6"/>
  <c r="BX32" i="6"/>
  <c r="BX41" i="6"/>
  <c r="BY41" i="6"/>
  <c r="BY65" i="6"/>
  <c r="BX65" i="6"/>
  <c r="BY7" i="6"/>
  <c r="BX7" i="6"/>
  <c r="BX51" i="6"/>
  <c r="BY51" i="6"/>
  <c r="BY59" i="6"/>
  <c r="BX59" i="6"/>
  <c r="BY19" i="6"/>
  <c r="BX19" i="6"/>
  <c r="BX71" i="6"/>
  <c r="BY71" i="6"/>
  <c r="G51" i="6"/>
  <c r="H51" i="6"/>
  <c r="H8" i="6"/>
  <c r="G8" i="6"/>
  <c r="G65" i="6"/>
  <c r="H65" i="6"/>
  <c r="G41" i="6"/>
  <c r="H41" i="6"/>
  <c r="G71" i="6"/>
  <c r="H71" i="6"/>
  <c r="G32" i="6"/>
  <c r="H32" i="6"/>
  <c r="H19" i="6"/>
  <c r="G19" i="6"/>
  <c r="H58" i="6"/>
  <c r="G58" i="6"/>
  <c r="BY20" i="6" l="1"/>
  <c r="BX20" i="6"/>
  <c r="BX60" i="6"/>
  <c r="BY60" i="6"/>
  <c r="BY8" i="6"/>
  <c r="BX8" i="6"/>
  <c r="BX52" i="6"/>
  <c r="BY52" i="6"/>
  <c r="BX66" i="6"/>
  <c r="BY66" i="6"/>
  <c r="BY42" i="6"/>
  <c r="BX42" i="6"/>
  <c r="BY33" i="6"/>
  <c r="BX33" i="6"/>
  <c r="H59" i="6"/>
  <c r="G59" i="6"/>
  <c r="G66" i="6"/>
  <c r="H66" i="6"/>
  <c r="H20" i="6"/>
  <c r="G20" i="6"/>
  <c r="H42" i="6"/>
  <c r="G42" i="6"/>
  <c r="H33" i="6"/>
  <c r="G33" i="6"/>
  <c r="G9" i="6"/>
  <c r="H9" i="6"/>
  <c r="G52" i="6"/>
  <c r="H52" i="6"/>
  <c r="BY43" i="6" l="1"/>
  <c r="BX43" i="6"/>
  <c r="BX9" i="6"/>
  <c r="BY9" i="6"/>
  <c r="BY34" i="6"/>
  <c r="BX34" i="6"/>
  <c r="BY53" i="6"/>
  <c r="BX53" i="6"/>
  <c r="BX21" i="6"/>
  <c r="BY21" i="6"/>
  <c r="H34" i="6"/>
  <c r="G34" i="6"/>
  <c r="G53" i="6"/>
  <c r="H53" i="6"/>
  <c r="H10" i="6"/>
  <c r="G10" i="6"/>
  <c r="G43" i="6"/>
  <c r="H43" i="6"/>
  <c r="H21" i="6"/>
  <c r="G21" i="6"/>
  <c r="H60" i="6"/>
  <c r="G60" i="6"/>
  <c r="BY44" i="6" l="1"/>
  <c r="BX44" i="6"/>
  <c r="BX22" i="6"/>
  <c r="BY22" i="6"/>
  <c r="BY35" i="6"/>
  <c r="BX35" i="6"/>
  <c r="BY10" i="6"/>
  <c r="BX10" i="6"/>
  <c r="G11" i="6"/>
  <c r="H11" i="6"/>
  <c r="G22" i="6"/>
  <c r="H22" i="6"/>
  <c r="H44" i="6"/>
  <c r="G44" i="6"/>
  <c r="G35" i="6"/>
  <c r="H35" i="6"/>
  <c r="BY45" i="6" l="1"/>
  <c r="BX45" i="6"/>
  <c r="BX11" i="6"/>
  <c r="BY11" i="6"/>
  <c r="BY36" i="6"/>
  <c r="BX36" i="6"/>
  <c r="BY23" i="6"/>
  <c r="BX23" i="6"/>
  <c r="H36" i="6"/>
  <c r="G36" i="6"/>
  <c r="G45" i="6"/>
  <c r="H45" i="6"/>
  <c r="H23" i="6"/>
  <c r="G23" i="6"/>
  <c r="H12" i="6"/>
  <c r="G12" i="6"/>
  <c r="BX12" i="6" l="1"/>
  <c r="BY12" i="6"/>
  <c r="BX24" i="6"/>
  <c r="BY24" i="6"/>
  <c r="H24" i="6"/>
  <c r="G24" i="6"/>
  <c r="G13" i="6"/>
  <c r="H13" i="6"/>
  <c r="BY25" i="6" l="1"/>
  <c r="BX25" i="6"/>
  <c r="BX13" i="6"/>
  <c r="BY13" i="6"/>
  <c r="G14" i="6"/>
  <c r="H14" i="6"/>
  <c r="H25" i="6"/>
  <c r="G25" i="6"/>
  <c r="BX14" i="6" l="1"/>
  <c r="BX80" i="6" s="1"/>
  <c r="BY14" i="6"/>
  <c r="G80" i="6"/>
  <c r="BX85" i="6" l="1"/>
  <c r="BX87" i="6" s="1"/>
  <c r="BX83" i="6"/>
  <c r="G85" i="6"/>
  <c r="G83" i="6"/>
  <c r="D3" i="14" l="1"/>
  <c r="H7" i="9" l="1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4" i="1"/>
  <c r="J24" i="9"/>
  <c r="AD10" i="15"/>
  <c r="BG6" i="15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4" i="1"/>
  <c r="H6" i="9"/>
  <c r="AD30" i="15"/>
  <c r="AD25" i="15"/>
  <c r="AD26" i="15"/>
  <c r="AD27" i="15"/>
  <c r="AD28" i="15"/>
  <c r="AD29" i="15"/>
  <c r="AD24" i="15"/>
  <c r="AD7" i="15"/>
  <c r="AD8" i="15"/>
  <c r="AD9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W30" i="15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4" i="1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3" i="3"/>
  <c r="G26" i="3"/>
  <c r="G27" i="3"/>
  <c r="G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3" i="3"/>
  <c r="DB7" i="15"/>
  <c r="CS7" i="15"/>
  <c r="CJ7" i="15"/>
  <c r="BZ7" i="15"/>
  <c r="BQ7" i="15"/>
  <c r="BI7" i="15"/>
  <c r="BA7" i="15"/>
  <c r="AS7" i="15"/>
  <c r="AK7" i="15"/>
  <c r="AC7" i="15"/>
  <c r="U7" i="15"/>
  <c r="M7" i="15"/>
  <c r="L7" i="15"/>
  <c r="N7" i="15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4" i="1"/>
  <c r="Y5" i="1"/>
  <c r="I5" i="1"/>
  <c r="G5" i="1"/>
  <c r="E5" i="1"/>
  <c r="C5" i="1"/>
  <c r="R32" i="9"/>
  <c r="M34" i="9"/>
  <c r="N33" i="9"/>
  <c r="N34" i="9" s="1"/>
  <c r="O33" i="9"/>
  <c r="O34" i="9" s="1"/>
  <c r="Q33" i="9"/>
  <c r="R7" i="9"/>
  <c r="R8" i="9"/>
  <c r="R9" i="9"/>
  <c r="R10" i="9"/>
  <c r="S10" i="9" s="1"/>
  <c r="R11" i="9"/>
  <c r="S11" i="9" s="1"/>
  <c r="R12" i="9"/>
  <c r="S12" i="9" s="1"/>
  <c r="R13" i="9"/>
  <c r="S13" i="9" s="1"/>
  <c r="R14" i="9"/>
  <c r="S14" i="9" s="1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3" i="9" l="1"/>
  <c r="Q6" i="9"/>
  <c r="R6" i="9" s="1"/>
  <c r="Q7" i="15"/>
  <c r="Z5" i="1"/>
  <c r="O7" i="15" s="1"/>
  <c r="Q34" i="9" l="1"/>
  <c r="T7" i="15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4" i="1"/>
  <c r="S19" i="9"/>
  <c r="G30" i="9"/>
  <c r="S15" i="9"/>
  <c r="S16" i="9"/>
  <c r="S17" i="9"/>
  <c r="S18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Q24" i="15"/>
  <c r="T23" i="15"/>
  <c r="T24" i="15"/>
  <c r="T25" i="15"/>
  <c r="T26" i="15"/>
  <c r="T27" i="15"/>
  <c r="U23" i="15"/>
  <c r="U24" i="15"/>
  <c r="U25" i="15"/>
  <c r="U26" i="15"/>
  <c r="Y22" i="1"/>
  <c r="C22" i="1"/>
  <c r="T9" i="15"/>
  <c r="T11" i="15"/>
  <c r="T12" i="15"/>
  <c r="T14" i="15"/>
  <c r="S9" i="9" l="1"/>
  <c r="S8" i="9"/>
  <c r="Y7" i="15"/>
  <c r="W7" i="15"/>
  <c r="Z22" i="1"/>
  <c r="O24" i="15" l="1"/>
  <c r="W24" i="15"/>
  <c r="AB7" i="15"/>
  <c r="N26" i="7"/>
  <c r="M26" i="7"/>
  <c r="H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G26" i="7"/>
  <c r="D26" i="7"/>
  <c r="O3" i="7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4" i="1"/>
  <c r="C25" i="1"/>
  <c r="C26" i="1"/>
  <c r="C27" i="1"/>
  <c r="C28" i="1"/>
  <c r="C29" i="1"/>
  <c r="S4" i="6"/>
  <c r="CI30" i="15"/>
  <c r="BY27" i="15"/>
  <c r="BY29" i="15"/>
  <c r="BY30" i="15"/>
  <c r="AG7" i="15" l="1"/>
  <c r="AE7" i="15"/>
  <c r="O26" i="7"/>
  <c r="C26" i="7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" i="14"/>
  <c r="AL7" i="15" l="1"/>
  <c r="CY31" i="15"/>
  <c r="D30" i="9"/>
  <c r="H30" i="9" s="1"/>
  <c r="AO7" i="15" l="1"/>
  <c r="AT7" i="15" s="1"/>
  <c r="AM7" i="15"/>
  <c r="J8" i="18"/>
  <c r="E30" i="9"/>
  <c r="C30" i="9"/>
  <c r="AW7" i="15" l="1"/>
  <c r="BB7" i="15" s="1"/>
  <c r="AU7" i="15"/>
  <c r="D31" i="14" l="1"/>
  <c r="BE7" i="15"/>
  <c r="BJ7" i="15" s="1"/>
  <c r="BC7" i="15"/>
  <c r="S47" i="6"/>
  <c r="BM7" i="15" l="1"/>
  <c r="BS7" i="15" s="1"/>
  <c r="BK7" i="15"/>
  <c r="BV7" i="15" l="1"/>
  <c r="BT7" i="15"/>
  <c r="BT77" i="6"/>
  <c r="BU78" i="6" s="1"/>
  <c r="BT73" i="6"/>
  <c r="BU74" i="6" s="1"/>
  <c r="BT68" i="6"/>
  <c r="BU69" i="6" s="1"/>
  <c r="BT62" i="6"/>
  <c r="BU63" i="6" s="1"/>
  <c r="BT55" i="6"/>
  <c r="BU56" i="6" s="1"/>
  <c r="BT47" i="6"/>
  <c r="BU48" i="6" s="1"/>
  <c r="BT38" i="6"/>
  <c r="BU39" i="6" s="1"/>
  <c r="BT28" i="6"/>
  <c r="BU29" i="6" s="1"/>
  <c r="BT16" i="6"/>
  <c r="BU17" i="6" s="1"/>
  <c r="BT4" i="6"/>
  <c r="BU5" i="6" s="1"/>
  <c r="N30" i="1"/>
  <c r="L30" i="1"/>
  <c r="J7" i="9" l="1"/>
  <c r="K7" i="9" s="1"/>
  <c r="CB7" i="15"/>
  <c r="BT74" i="6"/>
  <c r="BT82" i="6"/>
  <c r="BT81" i="6" s="1"/>
  <c r="BT63" i="6"/>
  <c r="BT5" i="6"/>
  <c r="BT17" i="6"/>
  <c r="BT56" i="6"/>
  <c r="BT78" i="6"/>
  <c r="BT29" i="6"/>
  <c r="BT48" i="6"/>
  <c r="BT39" i="6"/>
  <c r="BT69" i="6"/>
  <c r="Y18" i="15"/>
  <c r="AG18" i="15" s="1"/>
  <c r="N18" i="15"/>
  <c r="Q18" i="15" s="1"/>
  <c r="X4" i="6"/>
  <c r="S16" i="6"/>
  <c r="F30" i="9"/>
  <c r="K24" i="9"/>
  <c r="AC14" i="9"/>
  <c r="AC15" i="9" s="1"/>
  <c r="AB14" i="9"/>
  <c r="AB15" i="9" s="1"/>
  <c r="AA14" i="9"/>
  <c r="AA15" i="9" s="1"/>
  <c r="Z14" i="9"/>
  <c r="Z15" i="9" s="1"/>
  <c r="Y14" i="9"/>
  <c r="Y15" i="9" s="1"/>
  <c r="X14" i="9"/>
  <c r="X15" i="9" s="1"/>
  <c r="W13" i="9"/>
  <c r="AD13" i="9" s="1"/>
  <c r="W12" i="9"/>
  <c r="AD12" i="9" s="1"/>
  <c r="AD11" i="9"/>
  <c r="W10" i="9"/>
  <c r="C3" i="3"/>
  <c r="D3" i="3"/>
  <c r="E3" i="3"/>
  <c r="H28" i="3"/>
  <c r="I28" i="3"/>
  <c r="J28" i="3"/>
  <c r="K28" i="3"/>
  <c r="L28" i="3"/>
  <c r="M28" i="3"/>
  <c r="N28" i="3"/>
  <c r="CE7" i="15" l="1"/>
  <c r="CL7" i="15" s="1"/>
  <c r="CO7" i="15" s="1"/>
  <c r="CC7" i="15"/>
  <c r="CM7" i="15"/>
  <c r="S33" i="9"/>
  <c r="O17" i="3"/>
  <c r="O19" i="3"/>
  <c r="BU70" i="6"/>
  <c r="BT70" i="6"/>
  <c r="BU40" i="6"/>
  <c r="BT40" i="6"/>
  <c r="BU49" i="6"/>
  <c r="BT49" i="6"/>
  <c r="BU30" i="6"/>
  <c r="BT30" i="6"/>
  <c r="BU57" i="6"/>
  <c r="BT57" i="6"/>
  <c r="BU18" i="6"/>
  <c r="BT18" i="6"/>
  <c r="BU6" i="6"/>
  <c r="BT6" i="6"/>
  <c r="BU64" i="6"/>
  <c r="BT64" i="6"/>
  <c r="BU75" i="6"/>
  <c r="BT75" i="6"/>
  <c r="O3" i="3"/>
  <c r="O14" i="3"/>
  <c r="W14" i="9"/>
  <c r="AD14" i="9" s="1"/>
  <c r="AD10" i="9"/>
  <c r="O15" i="3"/>
  <c r="O20" i="3"/>
  <c r="O4" i="3"/>
  <c r="O13" i="3"/>
  <c r="O11" i="3"/>
  <c r="O27" i="3"/>
  <c r="O21" i="3"/>
  <c r="O5" i="3"/>
  <c r="O12" i="3"/>
  <c r="O16" i="3"/>
  <c r="O18" i="3"/>
  <c r="O26" i="3"/>
  <c r="O10" i="3"/>
  <c r="O25" i="3"/>
  <c r="O9" i="3"/>
  <c r="O24" i="3"/>
  <c r="O8" i="3"/>
  <c r="O23" i="3"/>
  <c r="O7" i="3"/>
  <c r="O22" i="3"/>
  <c r="O6" i="3"/>
  <c r="R31" i="15"/>
  <c r="DB20" i="15"/>
  <c r="CS20" i="15"/>
  <c r="BZ20" i="15"/>
  <c r="BQ20" i="15"/>
  <c r="BI20" i="15"/>
  <c r="BA20" i="15"/>
  <c r="AS20" i="15"/>
  <c r="AK20" i="15"/>
  <c r="AC20" i="15"/>
  <c r="AB20" i="15"/>
  <c r="U20" i="15"/>
  <c r="M20" i="15"/>
  <c r="L20" i="15"/>
  <c r="N20" i="15" s="1"/>
  <c r="Y18" i="1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4" i="13"/>
  <c r="CR7" i="15" l="1"/>
  <c r="CU7" i="15" s="1"/>
  <c r="Z18" i="1"/>
  <c r="W20" i="15" s="1"/>
  <c r="H31" i="9"/>
  <c r="D32" i="9" s="1"/>
  <c r="O28" i="3"/>
  <c r="BU58" i="6"/>
  <c r="BT58" i="6"/>
  <c r="BT71" i="6"/>
  <c r="BU71" i="6"/>
  <c r="BU65" i="6"/>
  <c r="BT65" i="6"/>
  <c r="BU7" i="6"/>
  <c r="BT7" i="6"/>
  <c r="BU19" i="6"/>
  <c r="BT19" i="6"/>
  <c r="BU31" i="6"/>
  <c r="BT31" i="6"/>
  <c r="BU50" i="6"/>
  <c r="BT50" i="6"/>
  <c r="BT41" i="6"/>
  <c r="BU41" i="6"/>
  <c r="T6" i="9"/>
  <c r="Q20" i="15"/>
  <c r="H33" i="17"/>
  <c r="P36" i="17"/>
  <c r="O1" i="17"/>
  <c r="N1" i="17"/>
  <c r="M1" i="17"/>
  <c r="L1" i="17"/>
  <c r="K1" i="17"/>
  <c r="J1" i="17"/>
  <c r="H1" i="17"/>
  <c r="CS18" i="15"/>
  <c r="CX7" i="15" l="1"/>
  <c r="CV7" i="15"/>
  <c r="T20" i="15"/>
  <c r="BU42" i="6"/>
  <c r="BT42" i="6"/>
  <c r="BU51" i="6"/>
  <c r="BT51" i="6"/>
  <c r="BU32" i="6"/>
  <c r="BT32" i="6"/>
  <c r="BU20" i="6"/>
  <c r="BT20" i="6"/>
  <c r="BU8" i="6"/>
  <c r="BT8" i="6"/>
  <c r="BU66" i="6"/>
  <c r="BT66" i="6"/>
  <c r="BU59" i="6"/>
  <c r="BT59" i="6"/>
  <c r="DA7" i="15" l="1"/>
  <c r="DC7" i="15" s="1"/>
  <c r="Y20" i="15"/>
  <c r="BT60" i="6"/>
  <c r="BU60" i="6"/>
  <c r="BU9" i="6"/>
  <c r="BT9" i="6"/>
  <c r="BT21" i="6"/>
  <c r="BU21" i="6"/>
  <c r="BT33" i="6"/>
  <c r="BU33" i="6"/>
  <c r="BU52" i="6"/>
  <c r="BT52" i="6"/>
  <c r="BU43" i="6"/>
  <c r="BT43" i="6"/>
  <c r="G86" i="6" l="1"/>
  <c r="G87" i="6" s="1"/>
  <c r="DD7" i="15"/>
  <c r="AG20" i="15"/>
  <c r="BU44" i="6"/>
  <c r="BT44" i="6"/>
  <c r="BU53" i="6"/>
  <c r="BT53" i="6"/>
  <c r="BU34" i="6"/>
  <c r="BT34" i="6"/>
  <c r="BU22" i="6"/>
  <c r="BT22" i="6"/>
  <c r="BU10" i="6"/>
  <c r="BT10" i="6"/>
  <c r="Y16" i="1"/>
  <c r="CA11" i="15"/>
  <c r="E3" i="14" l="1"/>
  <c r="F3" i="14" s="1"/>
  <c r="H3" i="14" s="1"/>
  <c r="AL20" i="15"/>
  <c r="AO20" i="15" s="1"/>
  <c r="BU11" i="6"/>
  <c r="BT11" i="6"/>
  <c r="BU23" i="6"/>
  <c r="BT23" i="6"/>
  <c r="BU35" i="6"/>
  <c r="BT35" i="6"/>
  <c r="BU45" i="6"/>
  <c r="BT45" i="6"/>
  <c r="C44" i="17"/>
  <c r="Z16" i="1"/>
  <c r="W18" i="15" s="1"/>
  <c r="D30" i="1"/>
  <c r="AT20" i="15" l="1"/>
  <c r="AW20" i="15" s="1"/>
  <c r="BB20" i="15" s="1"/>
  <c r="BU36" i="6"/>
  <c r="BT36" i="6"/>
  <c r="BU24" i="6"/>
  <c r="BT24" i="6"/>
  <c r="BU12" i="6"/>
  <c r="BT12" i="6"/>
  <c r="BE20" i="15" l="1"/>
  <c r="BU13" i="6"/>
  <c r="BT13" i="6"/>
  <c r="BU25" i="6"/>
  <c r="BT25" i="6"/>
  <c r="BJ20" i="15" l="1"/>
  <c r="BU14" i="6"/>
  <c r="BT14" i="6"/>
  <c r="BT80" i="6" s="1"/>
  <c r="BM20" i="15" l="1"/>
  <c r="BT85" i="6"/>
  <c r="D19" i="14" s="1"/>
  <c r="BT83" i="6"/>
  <c r="BS20" i="15" l="1"/>
  <c r="BV20" i="15" l="1"/>
  <c r="J20" i="9" l="1"/>
  <c r="K20" i="9" s="1"/>
  <c r="CB20" i="15"/>
  <c r="CE20" i="15" l="1"/>
  <c r="CL20" i="15" s="1"/>
  <c r="CO20" i="15" s="1"/>
  <c r="CR20" i="15" l="1"/>
  <c r="CU20" i="15" s="1"/>
  <c r="CX20" i="15" l="1"/>
  <c r="C14" i="17"/>
  <c r="AK18" i="15"/>
  <c r="DA20" i="15" l="1"/>
  <c r="DC20" i="15" s="1"/>
  <c r="AL18" i="15"/>
  <c r="BI17" i="15"/>
  <c r="BI18" i="15"/>
  <c r="BI19" i="15"/>
  <c r="BA17" i="15"/>
  <c r="BA18" i="15"/>
  <c r="BA19" i="15"/>
  <c r="BA21" i="15"/>
  <c r="AS17" i="15"/>
  <c r="AS18" i="15"/>
  <c r="AS19" i="15"/>
  <c r="AS21" i="15"/>
  <c r="J30" i="1"/>
  <c r="H30" i="1"/>
  <c r="F30" i="1"/>
  <c r="BH86" i="6" l="1"/>
  <c r="E16" i="14" s="1"/>
  <c r="F16" i="14" s="1"/>
  <c r="H16" i="14" s="1"/>
  <c r="AO18" i="15"/>
  <c r="AT18" i="15" s="1"/>
  <c r="AW18" i="15" l="1"/>
  <c r="BB18" i="15" l="1"/>
  <c r="M20" i="13"/>
  <c r="Z31" i="15"/>
  <c r="CZ77" i="6"/>
  <c r="CZ78" i="6" s="1"/>
  <c r="CZ73" i="6"/>
  <c r="DA74" i="6" s="1"/>
  <c r="CZ68" i="6"/>
  <c r="CZ69" i="6" s="1"/>
  <c r="CZ62" i="6"/>
  <c r="DA63" i="6" s="1"/>
  <c r="CZ55" i="6"/>
  <c r="CZ56" i="6" s="1"/>
  <c r="CZ47" i="6"/>
  <c r="DA48" i="6" s="1"/>
  <c r="CZ38" i="6"/>
  <c r="CZ39" i="6" s="1"/>
  <c r="CZ28" i="6"/>
  <c r="DA29" i="6" s="1"/>
  <c r="CZ16" i="6"/>
  <c r="CZ17" i="6" s="1"/>
  <c r="CR4" i="6"/>
  <c r="CV4" i="6"/>
  <c r="CV77" i="6"/>
  <c r="CV78" i="6" s="1"/>
  <c r="CV73" i="6"/>
  <c r="CW74" i="6" s="1"/>
  <c r="CV68" i="6"/>
  <c r="CW69" i="6" s="1"/>
  <c r="CV62" i="6"/>
  <c r="CW63" i="6" s="1"/>
  <c r="CV55" i="6"/>
  <c r="CV56" i="6" s="1"/>
  <c r="CV47" i="6"/>
  <c r="CW48" i="6" s="1"/>
  <c r="CV38" i="6"/>
  <c r="CW39" i="6" s="1"/>
  <c r="CV28" i="6"/>
  <c r="CW29" i="6" s="1"/>
  <c r="CV16" i="6"/>
  <c r="CV17" i="6" s="1"/>
  <c r="CN4" i="6"/>
  <c r="CJ4" i="6"/>
  <c r="CB4" i="6"/>
  <c r="CF4" i="6"/>
  <c r="BP4" i="6"/>
  <c r="BL4" i="6"/>
  <c r="BH4" i="6"/>
  <c r="AV77" i="6"/>
  <c r="AV78" i="6" s="1"/>
  <c r="AV73" i="6"/>
  <c r="AW74" i="6" s="1"/>
  <c r="AV68" i="6"/>
  <c r="AW69" i="6" s="1"/>
  <c r="AV62" i="6"/>
  <c r="AW63" i="6" s="1"/>
  <c r="AV55" i="6"/>
  <c r="AV56" i="6" s="1"/>
  <c r="AV47" i="6"/>
  <c r="AW48" i="6" s="1"/>
  <c r="AV38" i="6"/>
  <c r="AW39" i="6" s="1"/>
  <c r="AV28" i="6"/>
  <c r="AW29" i="6" s="1"/>
  <c r="AV16" i="6"/>
  <c r="AV17" i="6" s="1"/>
  <c r="AV4" i="6"/>
  <c r="AV5" i="6" s="1"/>
  <c r="AW6" i="6" s="1"/>
  <c r="BD4" i="6"/>
  <c r="AR4" i="6"/>
  <c r="AN4" i="6"/>
  <c r="AJ4" i="6"/>
  <c r="AF4" i="6"/>
  <c r="AB4" i="6"/>
  <c r="O4" i="6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4" i="13"/>
  <c r="K4" i="6"/>
  <c r="C4" i="6"/>
  <c r="M8" i="15"/>
  <c r="M9" i="15"/>
  <c r="M10" i="15"/>
  <c r="M11" i="15"/>
  <c r="M12" i="15"/>
  <c r="M13" i="15"/>
  <c r="M14" i="15"/>
  <c r="M15" i="15"/>
  <c r="M16" i="15"/>
  <c r="M17" i="15"/>
  <c r="M19" i="15"/>
  <c r="M21" i="15"/>
  <c r="M22" i="15"/>
  <c r="M23" i="15"/>
  <c r="M25" i="15"/>
  <c r="M26" i="15"/>
  <c r="M27" i="15"/>
  <c r="M28" i="15"/>
  <c r="M29" i="15"/>
  <c r="M30" i="15"/>
  <c r="M6" i="15"/>
  <c r="CZ31" i="15"/>
  <c r="CQ31" i="15"/>
  <c r="CH31" i="15"/>
  <c r="CH33" i="15" s="1"/>
  <c r="CG31" i="15"/>
  <c r="CF31" i="15"/>
  <c r="BX31" i="15"/>
  <c r="BW31" i="15"/>
  <c r="BO31" i="15"/>
  <c r="BN31" i="15"/>
  <c r="BG31" i="15"/>
  <c r="BI31" i="15" s="1"/>
  <c r="BF31" i="15"/>
  <c r="AY31" i="15"/>
  <c r="AX31" i="15"/>
  <c r="AQ31" i="15"/>
  <c r="AI31" i="15"/>
  <c r="AA31" i="15"/>
  <c r="S31" i="15"/>
  <c r="I31" i="15"/>
  <c r="DB30" i="15"/>
  <c r="CS30" i="15"/>
  <c r="CJ30" i="15"/>
  <c r="BZ30" i="15"/>
  <c r="BQ30" i="15"/>
  <c r="BI30" i="15"/>
  <c r="BA30" i="15"/>
  <c r="AS30" i="15"/>
  <c r="AK30" i="15"/>
  <c r="AC30" i="15"/>
  <c r="U30" i="15"/>
  <c r="L30" i="15"/>
  <c r="DB29" i="15"/>
  <c r="CS29" i="15"/>
  <c r="BZ29" i="15"/>
  <c r="BQ29" i="15"/>
  <c r="BI29" i="15"/>
  <c r="BA29" i="15"/>
  <c r="AS29" i="15"/>
  <c r="AK29" i="15"/>
  <c r="AC29" i="15"/>
  <c r="U29" i="15"/>
  <c r="T29" i="15"/>
  <c r="L29" i="15"/>
  <c r="DB28" i="15"/>
  <c r="CS28" i="15"/>
  <c r="CJ28" i="15"/>
  <c r="BZ28" i="15"/>
  <c r="BQ28" i="15"/>
  <c r="BI28" i="15"/>
  <c r="BA28" i="15"/>
  <c r="AS28" i="15"/>
  <c r="AK28" i="15"/>
  <c r="AC28" i="15"/>
  <c r="U28" i="15"/>
  <c r="L28" i="15"/>
  <c r="DB27" i="15"/>
  <c r="CS27" i="15"/>
  <c r="CJ27" i="15"/>
  <c r="BZ27" i="15"/>
  <c r="BQ27" i="15"/>
  <c r="BI27" i="15"/>
  <c r="BA27" i="15"/>
  <c r="AS27" i="15"/>
  <c r="AK27" i="15"/>
  <c r="AC27" i="15"/>
  <c r="U27" i="15"/>
  <c r="L27" i="15"/>
  <c r="DB26" i="15"/>
  <c r="CS26" i="15"/>
  <c r="CJ26" i="15"/>
  <c r="BZ26" i="15"/>
  <c r="BQ26" i="15"/>
  <c r="BI26" i="15"/>
  <c r="BA26" i="15"/>
  <c r="AS26" i="15"/>
  <c r="AK26" i="15"/>
  <c r="AC26" i="15"/>
  <c r="L26" i="15"/>
  <c r="CS25" i="15"/>
  <c r="CJ25" i="15"/>
  <c r="BZ25" i="15"/>
  <c r="BQ25" i="15"/>
  <c r="AS25" i="15"/>
  <c r="AK25" i="15"/>
  <c r="AC25" i="15"/>
  <c r="L25" i="15"/>
  <c r="CS23" i="15"/>
  <c r="BZ23" i="15"/>
  <c r="BQ23" i="15"/>
  <c r="BI23" i="15"/>
  <c r="BA23" i="15"/>
  <c r="AS23" i="15"/>
  <c r="AK23" i="15"/>
  <c r="AC23" i="15"/>
  <c r="L23" i="15"/>
  <c r="DB22" i="15"/>
  <c r="CS22" i="15"/>
  <c r="BZ22" i="15"/>
  <c r="BQ22" i="15"/>
  <c r="BI22" i="15"/>
  <c r="BA22" i="15"/>
  <c r="AS22" i="15"/>
  <c r="AK22" i="15"/>
  <c r="AC22" i="15"/>
  <c r="AB22" i="15"/>
  <c r="U22" i="15"/>
  <c r="L22" i="15"/>
  <c r="DB21" i="15"/>
  <c r="CS21" i="15"/>
  <c r="BZ21" i="15"/>
  <c r="BQ21" i="15"/>
  <c r="BI21" i="15"/>
  <c r="AK21" i="15"/>
  <c r="AC21" i="15"/>
  <c r="U21" i="15"/>
  <c r="L21" i="15"/>
  <c r="DB19" i="15"/>
  <c r="CS19" i="15"/>
  <c r="BZ19" i="15"/>
  <c r="BQ19" i="15"/>
  <c r="AK19" i="15"/>
  <c r="AC19" i="15"/>
  <c r="AB19" i="15"/>
  <c r="U19" i="15"/>
  <c r="T19" i="15"/>
  <c r="L19" i="15"/>
  <c r="DB17" i="15"/>
  <c r="CS17" i="15"/>
  <c r="BZ17" i="15"/>
  <c r="BQ17" i="15"/>
  <c r="AK17" i="15"/>
  <c r="AC17" i="15"/>
  <c r="U17" i="15"/>
  <c r="L17" i="15"/>
  <c r="DB16" i="15"/>
  <c r="CS16" i="15"/>
  <c r="BZ16" i="15"/>
  <c r="BQ16" i="15"/>
  <c r="BI16" i="15"/>
  <c r="BA16" i="15"/>
  <c r="AS16" i="15"/>
  <c r="AK16" i="15"/>
  <c r="AC16" i="15"/>
  <c r="U16" i="15"/>
  <c r="T16" i="15"/>
  <c r="L16" i="15"/>
  <c r="DB15" i="15"/>
  <c r="CS15" i="15"/>
  <c r="BZ15" i="15"/>
  <c r="BQ15" i="15"/>
  <c r="BI15" i="15"/>
  <c r="BA15" i="15"/>
  <c r="AS15" i="15"/>
  <c r="AK15" i="15"/>
  <c r="AC15" i="15"/>
  <c r="U15" i="15"/>
  <c r="L15" i="15"/>
  <c r="DB14" i="15"/>
  <c r="CS14" i="15"/>
  <c r="BZ14" i="15"/>
  <c r="BQ14" i="15"/>
  <c r="BI14" i="15"/>
  <c r="BA14" i="15"/>
  <c r="AS14" i="15"/>
  <c r="AK14" i="15"/>
  <c r="AC14" i="15"/>
  <c r="AB14" i="15"/>
  <c r="U14" i="15"/>
  <c r="L14" i="15"/>
  <c r="DB13" i="15"/>
  <c r="CS13" i="15"/>
  <c r="BZ13" i="15"/>
  <c r="BQ13" i="15"/>
  <c r="BI13" i="15"/>
  <c r="BA13" i="15"/>
  <c r="AS13" i="15"/>
  <c r="AK13" i="15"/>
  <c r="AC13" i="15"/>
  <c r="U13" i="15"/>
  <c r="L13" i="15"/>
  <c r="DB12" i="15"/>
  <c r="CS12" i="15"/>
  <c r="BZ12" i="15"/>
  <c r="BQ12" i="15"/>
  <c r="BI12" i="15"/>
  <c r="BA12" i="15"/>
  <c r="AS12" i="15"/>
  <c r="AK12" i="15"/>
  <c r="AC12" i="15"/>
  <c r="U12" i="15"/>
  <c r="L12" i="15"/>
  <c r="DB11" i="15"/>
  <c r="CS11" i="15"/>
  <c r="BZ11" i="15"/>
  <c r="BQ11" i="15"/>
  <c r="BI11" i="15"/>
  <c r="BA11" i="15"/>
  <c r="AS11" i="15"/>
  <c r="AK11" i="15"/>
  <c r="AC11" i="15"/>
  <c r="U11" i="15"/>
  <c r="L11" i="15"/>
  <c r="DB10" i="15"/>
  <c r="CS10" i="15"/>
  <c r="CJ10" i="15"/>
  <c r="BZ10" i="15"/>
  <c r="BQ10" i="15"/>
  <c r="BI10" i="15"/>
  <c r="BA10" i="15"/>
  <c r="AS10" i="15"/>
  <c r="AK10" i="15"/>
  <c r="AC10" i="15"/>
  <c r="U10" i="15"/>
  <c r="L10" i="15"/>
  <c r="DB9" i="15"/>
  <c r="CS9" i="15"/>
  <c r="CJ9" i="15"/>
  <c r="BZ9" i="15"/>
  <c r="BQ9" i="15"/>
  <c r="BI9" i="15"/>
  <c r="BA9" i="15"/>
  <c r="AS9" i="15"/>
  <c r="AK9" i="15"/>
  <c r="AC9" i="15"/>
  <c r="U9" i="15"/>
  <c r="L9" i="15"/>
  <c r="DB8" i="15"/>
  <c r="CS8" i="15"/>
  <c r="CJ8" i="15"/>
  <c r="BZ8" i="15"/>
  <c r="BQ8" i="15"/>
  <c r="BI8" i="15"/>
  <c r="BA8" i="15"/>
  <c r="AS8" i="15"/>
  <c r="AK8" i="15"/>
  <c r="AC8" i="15"/>
  <c r="U8" i="15"/>
  <c r="L8" i="15"/>
  <c r="DB6" i="15"/>
  <c r="CS6" i="15"/>
  <c r="CJ6" i="15"/>
  <c r="BZ6" i="15"/>
  <c r="BQ6" i="15"/>
  <c r="BI6" i="15"/>
  <c r="BA6" i="15"/>
  <c r="AS6" i="15"/>
  <c r="AK6" i="15"/>
  <c r="AC6" i="15"/>
  <c r="U6" i="15"/>
  <c r="L6" i="15"/>
  <c r="C4" i="1"/>
  <c r="BE18" i="15" l="1"/>
  <c r="N29" i="15"/>
  <c r="Q29" i="15" s="1"/>
  <c r="N10" i="15"/>
  <c r="Q10" i="15" s="1"/>
  <c r="T10" i="15" s="1"/>
  <c r="CZ4" i="6"/>
  <c r="DA5" i="6" s="1"/>
  <c r="Y29" i="1"/>
  <c r="C30" i="1"/>
  <c r="DA56" i="6"/>
  <c r="DA39" i="6"/>
  <c r="DA17" i="6"/>
  <c r="DA69" i="6"/>
  <c r="DA78" i="6"/>
  <c r="DA18" i="6"/>
  <c r="CZ18" i="6"/>
  <c r="DA70" i="6"/>
  <c r="CZ70" i="6"/>
  <c r="DA40" i="6"/>
  <c r="CZ40" i="6"/>
  <c r="DA57" i="6"/>
  <c r="CZ57" i="6"/>
  <c r="CZ29" i="6"/>
  <c r="CZ48" i="6"/>
  <c r="CZ63" i="6"/>
  <c r="CZ74" i="6"/>
  <c r="CV82" i="6"/>
  <c r="CV81" i="6" s="1"/>
  <c r="CW56" i="6"/>
  <c r="CW17" i="6"/>
  <c r="CW78" i="6"/>
  <c r="CW57" i="6"/>
  <c r="CV57" i="6"/>
  <c r="CW18" i="6"/>
  <c r="CV18" i="6"/>
  <c r="CV5" i="6"/>
  <c r="CV29" i="6"/>
  <c r="CV48" i="6"/>
  <c r="CV63" i="6"/>
  <c r="CV74" i="6"/>
  <c r="CW5" i="6"/>
  <c r="CV39" i="6"/>
  <c r="CV69" i="6"/>
  <c r="AW56" i="6"/>
  <c r="AV29" i="6"/>
  <c r="AW30" i="6" s="1"/>
  <c r="AW78" i="6"/>
  <c r="AV63" i="6"/>
  <c r="AW64" i="6" s="1"/>
  <c r="AV48" i="6"/>
  <c r="AW49" i="6" s="1"/>
  <c r="AV82" i="6"/>
  <c r="AV81" i="6" s="1"/>
  <c r="AW18" i="6"/>
  <c r="AV18" i="6"/>
  <c r="AW57" i="6"/>
  <c r="AV57" i="6"/>
  <c r="AW17" i="6"/>
  <c r="AV74" i="6"/>
  <c r="AW5" i="6"/>
  <c r="AV39" i="6"/>
  <c r="AV69" i="6"/>
  <c r="AV6" i="6"/>
  <c r="N11" i="15"/>
  <c r="Q11" i="15" s="1"/>
  <c r="K31" i="15"/>
  <c r="N6" i="15"/>
  <c r="Q6" i="15" s="1"/>
  <c r="T6" i="15" s="1"/>
  <c r="N17" i="15"/>
  <c r="N26" i="15"/>
  <c r="Q26" i="15" s="1"/>
  <c r="N15" i="15"/>
  <c r="N27" i="15"/>
  <c r="Q27" i="15" s="1"/>
  <c r="N16" i="15"/>
  <c r="Q16" i="15" s="1"/>
  <c r="N8" i="15"/>
  <c r="Q8" i="15" s="1"/>
  <c r="T8" i="15" s="1"/>
  <c r="N19" i="15"/>
  <c r="Q19" i="15" s="1"/>
  <c r="Y19" i="15" s="1"/>
  <c r="N22" i="15"/>
  <c r="Q22" i="15" s="1"/>
  <c r="N21" i="15"/>
  <c r="Q21" i="15" s="1"/>
  <c r="N23" i="15"/>
  <c r="Q23" i="15" s="1"/>
  <c r="N13" i="15"/>
  <c r="N28" i="15"/>
  <c r="Q28" i="15" s="1"/>
  <c r="N14" i="15"/>
  <c r="Q14" i="15" s="1"/>
  <c r="N25" i="15"/>
  <c r="Q25" i="15" s="1"/>
  <c r="N9" i="15"/>
  <c r="Q9" i="15" s="1"/>
  <c r="N12" i="15"/>
  <c r="N30" i="15"/>
  <c r="Z29" i="1" l="1"/>
  <c r="Q17" i="15"/>
  <c r="T17" i="15" s="1"/>
  <c r="Y17" i="15" s="1"/>
  <c r="Y11" i="15"/>
  <c r="T21" i="15"/>
  <c r="Y21" i="15" s="1"/>
  <c r="T22" i="15"/>
  <c r="BJ18" i="15"/>
  <c r="T28" i="15"/>
  <c r="Y28" i="15" s="1"/>
  <c r="CZ5" i="6"/>
  <c r="DA6" i="6" s="1"/>
  <c r="CZ82" i="6"/>
  <c r="CZ81" i="6" s="1"/>
  <c r="Y29" i="15"/>
  <c r="Y23" i="15"/>
  <c r="AV49" i="6"/>
  <c r="AW50" i="6" s="1"/>
  <c r="DA58" i="6"/>
  <c r="CZ58" i="6"/>
  <c r="DA19" i="6"/>
  <c r="CZ19" i="6"/>
  <c r="DA75" i="6"/>
  <c r="CZ75" i="6"/>
  <c r="DA64" i="6"/>
  <c r="CZ64" i="6"/>
  <c r="CZ71" i="6"/>
  <c r="DA71" i="6"/>
  <c r="DA30" i="6"/>
  <c r="CZ30" i="6"/>
  <c r="CZ41" i="6"/>
  <c r="DA41" i="6"/>
  <c r="DA49" i="6"/>
  <c r="CZ49" i="6"/>
  <c r="CW49" i="6"/>
  <c r="CV49" i="6"/>
  <c r="CW64" i="6"/>
  <c r="CV64" i="6"/>
  <c r="CW30" i="6"/>
  <c r="CV30" i="6"/>
  <c r="CW6" i="6"/>
  <c r="CV6" i="6"/>
  <c r="CW70" i="6"/>
  <c r="CV70" i="6"/>
  <c r="CW19" i="6"/>
  <c r="CV19" i="6"/>
  <c r="CW75" i="6"/>
  <c r="CV75" i="6"/>
  <c r="CW40" i="6"/>
  <c r="CV40" i="6"/>
  <c r="CW58" i="6"/>
  <c r="CV58" i="6"/>
  <c r="AV30" i="6"/>
  <c r="AW31" i="6" s="1"/>
  <c r="AV64" i="6"/>
  <c r="AW65" i="6" s="1"/>
  <c r="AW75" i="6"/>
  <c r="AV75" i="6"/>
  <c r="AW70" i="6"/>
  <c r="AV70" i="6"/>
  <c r="AW58" i="6"/>
  <c r="AV58" i="6"/>
  <c r="AW40" i="6"/>
  <c r="AV40" i="6"/>
  <c r="AW7" i="6"/>
  <c r="AV7" i="6"/>
  <c r="AW19" i="6"/>
  <c r="AV19" i="6"/>
  <c r="Q15" i="15"/>
  <c r="T15" i="15" s="1"/>
  <c r="Q13" i="15"/>
  <c r="Q12" i="15"/>
  <c r="Q30" i="15"/>
  <c r="T30" i="15" s="1"/>
  <c r="Y8" i="15"/>
  <c r="Y16" i="15"/>
  <c r="Y14" i="15"/>
  <c r="V6" i="15"/>
  <c r="N31" i="15"/>
  <c r="AB23" i="15" l="1"/>
  <c r="AG23" i="15" s="1"/>
  <c r="AL23" i="15" s="1"/>
  <c r="AB16" i="15"/>
  <c r="AG16" i="15" s="1"/>
  <c r="Y22" i="15"/>
  <c r="AG22" i="15" s="1"/>
  <c r="AL22" i="15" s="1"/>
  <c r="T13" i="15"/>
  <c r="Y13" i="15" s="1"/>
  <c r="AB21" i="15"/>
  <c r="AB29" i="15"/>
  <c r="BM18" i="15"/>
  <c r="BS18" i="15" s="1"/>
  <c r="BV18" i="15" s="1"/>
  <c r="AB11" i="15"/>
  <c r="AB28" i="15"/>
  <c r="CZ6" i="6"/>
  <c r="CZ7" i="6" s="1"/>
  <c r="AV50" i="6"/>
  <c r="AV51" i="6" s="1"/>
  <c r="Y30" i="15"/>
  <c r="AB30" i="15" s="1"/>
  <c r="Y26" i="15"/>
  <c r="AB26" i="15" s="1"/>
  <c r="DA42" i="6"/>
  <c r="CZ42" i="6"/>
  <c r="DA20" i="6"/>
  <c r="CZ20" i="6"/>
  <c r="DA50" i="6"/>
  <c r="CZ50" i="6"/>
  <c r="DA31" i="6"/>
  <c r="CZ31" i="6"/>
  <c r="DA59" i="6"/>
  <c r="CZ59" i="6"/>
  <c r="DA65" i="6"/>
  <c r="CZ65" i="6"/>
  <c r="CW31" i="6"/>
  <c r="CV31" i="6"/>
  <c r="CW7" i="6"/>
  <c r="CV7" i="6"/>
  <c r="CW20" i="6"/>
  <c r="CV20" i="6"/>
  <c r="CW65" i="6"/>
  <c r="CV65" i="6"/>
  <c r="CV41" i="6"/>
  <c r="CW41" i="6"/>
  <c r="CW59" i="6"/>
  <c r="CV59" i="6"/>
  <c r="CV71" i="6"/>
  <c r="CW71" i="6"/>
  <c r="CW50" i="6"/>
  <c r="CV50" i="6"/>
  <c r="AV31" i="6"/>
  <c r="AV32" i="6" s="1"/>
  <c r="AV65" i="6"/>
  <c r="AV66" i="6" s="1"/>
  <c r="AW20" i="6"/>
  <c r="AV20" i="6"/>
  <c r="AV41" i="6"/>
  <c r="AW41" i="6"/>
  <c r="AV71" i="6"/>
  <c r="AW71" i="6"/>
  <c r="AW8" i="6"/>
  <c r="AV8" i="6"/>
  <c r="AW59" i="6"/>
  <c r="AV59" i="6"/>
  <c r="Y25" i="15"/>
  <c r="Y12" i="15"/>
  <c r="Y27" i="15"/>
  <c r="Y10" i="15"/>
  <c r="Y6" i="15"/>
  <c r="AB6" i="15" s="1"/>
  <c r="AG14" i="15"/>
  <c r="Q31" i="15"/>
  <c r="AB17" i="15"/>
  <c r="AB8" i="15"/>
  <c r="Y9" i="15"/>
  <c r="AG19" i="15"/>
  <c r="J18" i="9" l="1"/>
  <c r="K18" i="9" s="1"/>
  <c r="CB18" i="15"/>
  <c r="CE18" i="15" s="1"/>
  <c r="CL18" i="15" s="1"/>
  <c r="CO18" i="15" s="1"/>
  <c r="AL14" i="15"/>
  <c r="AO14" i="15" s="1"/>
  <c r="AG29" i="15"/>
  <c r="AG21" i="15"/>
  <c r="AL19" i="15"/>
  <c r="AG11" i="15"/>
  <c r="AL11" i="15" s="1"/>
  <c r="AG28" i="15"/>
  <c r="V31" i="15"/>
  <c r="DA7" i="6"/>
  <c r="AB25" i="15"/>
  <c r="Y15" i="15"/>
  <c r="AB12" i="15"/>
  <c r="AO23" i="15"/>
  <c r="AG13" i="15"/>
  <c r="AW51" i="6"/>
  <c r="CZ60" i="6"/>
  <c r="DA60" i="6"/>
  <c r="DA32" i="6"/>
  <c r="CZ32" i="6"/>
  <c r="CZ66" i="6"/>
  <c r="DA66" i="6"/>
  <c r="CZ51" i="6"/>
  <c r="DA51" i="6"/>
  <c r="CZ21" i="6"/>
  <c r="DA21" i="6"/>
  <c r="DA43" i="6"/>
  <c r="CZ43" i="6"/>
  <c r="DA8" i="6"/>
  <c r="CZ8" i="6"/>
  <c r="CV51" i="6"/>
  <c r="CW51" i="6"/>
  <c r="CV21" i="6"/>
  <c r="CW21" i="6"/>
  <c r="CV66" i="6"/>
  <c r="CW66" i="6"/>
  <c r="CV60" i="6"/>
  <c r="CW60" i="6"/>
  <c r="CV8" i="6"/>
  <c r="CW8" i="6"/>
  <c r="CW42" i="6"/>
  <c r="CV42" i="6"/>
  <c r="CW32" i="6"/>
  <c r="CV32" i="6"/>
  <c r="AW66" i="6"/>
  <c r="AW32" i="6"/>
  <c r="AV60" i="6"/>
  <c r="AW60" i="6"/>
  <c r="AW52" i="6"/>
  <c r="AV52" i="6"/>
  <c r="AV21" i="6"/>
  <c r="AW21" i="6"/>
  <c r="AW42" i="6"/>
  <c r="AV42" i="6"/>
  <c r="AW9" i="6"/>
  <c r="AV9" i="6"/>
  <c r="AW33" i="6"/>
  <c r="AV33" i="6"/>
  <c r="AG17" i="15"/>
  <c r="AG30" i="15"/>
  <c r="AL16" i="15"/>
  <c r="AB10" i="15"/>
  <c r="AD6" i="15"/>
  <c r="AG8" i="15"/>
  <c r="AO22" i="15"/>
  <c r="AB9" i="15"/>
  <c r="AB27" i="15"/>
  <c r="AT14" i="15" l="1"/>
  <c r="AW14" i="15" s="1"/>
  <c r="AB15" i="15"/>
  <c r="AL28" i="15"/>
  <c r="AL29" i="15"/>
  <c r="AO29" i="15" s="1"/>
  <c r="AT23" i="15"/>
  <c r="AW23" i="15" s="1"/>
  <c r="AL21" i="15"/>
  <c r="AO19" i="15"/>
  <c r="AO11" i="15"/>
  <c r="AT11" i="15" s="1"/>
  <c r="AW11" i="15" s="1"/>
  <c r="AO28" i="15"/>
  <c r="AT28" i="15" s="1"/>
  <c r="AG25" i="15"/>
  <c r="AG26" i="15"/>
  <c r="AG12" i="15"/>
  <c r="AL12" i="15" s="1"/>
  <c r="Y31" i="15"/>
  <c r="AL13" i="15"/>
  <c r="DA44" i="6"/>
  <c r="CZ44" i="6"/>
  <c r="DA22" i="6"/>
  <c r="CZ22" i="6"/>
  <c r="DA52" i="6"/>
  <c r="CZ52" i="6"/>
  <c r="DA9" i="6"/>
  <c r="CZ9" i="6"/>
  <c r="DA33" i="6"/>
  <c r="CZ33" i="6"/>
  <c r="CW9" i="6"/>
  <c r="CV9" i="6"/>
  <c r="CW52" i="6"/>
  <c r="CV52" i="6"/>
  <c r="CW33" i="6"/>
  <c r="CV33" i="6"/>
  <c r="CW43" i="6"/>
  <c r="CV43" i="6"/>
  <c r="CW22" i="6"/>
  <c r="CV22" i="6"/>
  <c r="AW22" i="6"/>
  <c r="AV22" i="6"/>
  <c r="AW34" i="6"/>
  <c r="AV34" i="6"/>
  <c r="AW53" i="6"/>
  <c r="AV53" i="6"/>
  <c r="AW43" i="6"/>
  <c r="AV43" i="6"/>
  <c r="AW10" i="6"/>
  <c r="AV10" i="6"/>
  <c r="AG27" i="15"/>
  <c r="AG9" i="15"/>
  <c r="AT22" i="15"/>
  <c r="AG10" i="15"/>
  <c r="AL8" i="15"/>
  <c r="AO16" i="15"/>
  <c r="AG6" i="15"/>
  <c r="AJ30" i="15"/>
  <c r="AL30" i="15" s="1"/>
  <c r="AL17" i="15"/>
  <c r="N33" i="13"/>
  <c r="BB14" i="15" l="1"/>
  <c r="BE14" i="15" s="1"/>
  <c r="AD31" i="15"/>
  <c r="AG15" i="15"/>
  <c r="CR18" i="15"/>
  <c r="CU18" i="15" s="1"/>
  <c r="AL26" i="15"/>
  <c r="AO26" i="15" s="1"/>
  <c r="AO21" i="15"/>
  <c r="AT21" i="15" s="1"/>
  <c r="AW21" i="15" s="1"/>
  <c r="BB21" i="15" s="1"/>
  <c r="BE21" i="15" s="1"/>
  <c r="AL25" i="15"/>
  <c r="AO25" i="15" s="1"/>
  <c r="AT19" i="15"/>
  <c r="AW19" i="15" s="1"/>
  <c r="AT29" i="15"/>
  <c r="AW29" i="15" s="1"/>
  <c r="AO12" i="15"/>
  <c r="AT12" i="15" s="1"/>
  <c r="AW12" i="15" s="1"/>
  <c r="AO13" i="15"/>
  <c r="BB23" i="15"/>
  <c r="BE23" i="15" s="1"/>
  <c r="BB11" i="15"/>
  <c r="CZ45" i="6"/>
  <c r="DA45" i="6"/>
  <c r="DA10" i="6"/>
  <c r="CZ10" i="6"/>
  <c r="DA53" i="6"/>
  <c r="CZ53" i="6"/>
  <c r="DA34" i="6"/>
  <c r="CZ34" i="6"/>
  <c r="DA23" i="6"/>
  <c r="CZ23" i="6"/>
  <c r="CW44" i="6"/>
  <c r="CV44" i="6"/>
  <c r="CW34" i="6"/>
  <c r="CV34" i="6"/>
  <c r="CW53" i="6"/>
  <c r="CV53" i="6"/>
  <c r="CW23" i="6"/>
  <c r="CV23" i="6"/>
  <c r="CW10" i="6"/>
  <c r="CV10" i="6"/>
  <c r="AW35" i="6"/>
  <c r="AV35" i="6"/>
  <c r="AW44" i="6"/>
  <c r="AV44" i="6"/>
  <c r="AW11" i="6"/>
  <c r="AV11" i="6"/>
  <c r="AW23" i="6"/>
  <c r="AV23" i="6"/>
  <c r="AW22" i="15"/>
  <c r="AO30" i="15"/>
  <c r="AO8" i="15"/>
  <c r="AT16" i="15"/>
  <c r="AL10" i="15"/>
  <c r="AG31" i="15"/>
  <c r="AL9" i="15"/>
  <c r="AO17" i="15"/>
  <c r="AL27" i="15"/>
  <c r="AW28" i="15"/>
  <c r="AZ4" i="6"/>
  <c r="CR16" i="6"/>
  <c r="CN16" i="6"/>
  <c r="CJ16" i="6"/>
  <c r="CF16" i="6"/>
  <c r="CB16" i="6"/>
  <c r="BP16" i="6"/>
  <c r="BL16" i="6"/>
  <c r="BH16" i="6"/>
  <c r="BD16" i="6"/>
  <c r="AZ16" i="6"/>
  <c r="AR16" i="6"/>
  <c r="AN16" i="6"/>
  <c r="AJ16" i="6"/>
  <c r="AF16" i="6"/>
  <c r="AB16" i="6"/>
  <c r="X16" i="6"/>
  <c r="O16" i="6"/>
  <c r="C28" i="6"/>
  <c r="K28" i="6"/>
  <c r="O28" i="6"/>
  <c r="S28" i="6"/>
  <c r="X28" i="6"/>
  <c r="AB28" i="6"/>
  <c r="AF28" i="6"/>
  <c r="AJ28" i="6"/>
  <c r="AN28" i="6"/>
  <c r="AR28" i="6"/>
  <c r="AZ28" i="6"/>
  <c r="BD28" i="6"/>
  <c r="BH28" i="6"/>
  <c r="BL28" i="6"/>
  <c r="BP28" i="6"/>
  <c r="CB28" i="6"/>
  <c r="CF28" i="6"/>
  <c r="CJ28" i="6"/>
  <c r="CN28" i="6"/>
  <c r="CR28" i="6"/>
  <c r="CR38" i="6"/>
  <c r="CN38" i="6"/>
  <c r="CJ38" i="6"/>
  <c r="CF38" i="6"/>
  <c r="CB38" i="6"/>
  <c r="BP38" i="6"/>
  <c r="BL38" i="6"/>
  <c r="BH38" i="6"/>
  <c r="BD38" i="6"/>
  <c r="AZ38" i="6"/>
  <c r="AR38" i="6"/>
  <c r="AN38" i="6"/>
  <c r="AJ38" i="6"/>
  <c r="AF38" i="6"/>
  <c r="AB38" i="6"/>
  <c r="X38" i="6"/>
  <c r="S38" i="6"/>
  <c r="X47" i="6"/>
  <c r="AB47" i="6"/>
  <c r="AF47" i="6"/>
  <c r="AJ47" i="6"/>
  <c r="AN47" i="6"/>
  <c r="AR47" i="6"/>
  <c r="AZ47" i="6"/>
  <c r="BD47" i="6"/>
  <c r="BH47" i="6"/>
  <c r="BL47" i="6"/>
  <c r="BP47" i="6"/>
  <c r="CB47" i="6"/>
  <c r="CF47" i="6"/>
  <c r="CJ47" i="6"/>
  <c r="CN47" i="6"/>
  <c r="CR47" i="6"/>
  <c r="CR55" i="6"/>
  <c r="CN55" i="6"/>
  <c r="CJ55" i="6"/>
  <c r="CF55" i="6"/>
  <c r="CB55" i="6"/>
  <c r="BP55" i="6"/>
  <c r="BL55" i="6"/>
  <c r="BH55" i="6"/>
  <c r="BD55" i="6"/>
  <c r="AZ55" i="6"/>
  <c r="AR55" i="6"/>
  <c r="AN55" i="6"/>
  <c r="AJ55" i="6"/>
  <c r="AF55" i="6"/>
  <c r="AB55" i="6"/>
  <c r="X55" i="6"/>
  <c r="S55" i="6"/>
  <c r="S62" i="6"/>
  <c r="X62" i="6"/>
  <c r="AB62" i="6"/>
  <c r="AF62" i="6"/>
  <c r="AJ62" i="6"/>
  <c r="AN62" i="6"/>
  <c r="AR62" i="6"/>
  <c r="AZ62" i="6"/>
  <c r="BD62" i="6"/>
  <c r="BH62" i="6"/>
  <c r="BL62" i="6"/>
  <c r="BP62" i="6"/>
  <c r="CB62" i="6"/>
  <c r="CF62" i="6"/>
  <c r="CJ62" i="6"/>
  <c r="CN62" i="6"/>
  <c r="CR62" i="6"/>
  <c r="CR68" i="6"/>
  <c r="CN68" i="6"/>
  <c r="CJ68" i="6"/>
  <c r="CF68" i="6"/>
  <c r="CB68" i="6"/>
  <c r="BP68" i="6"/>
  <c r="BL68" i="6"/>
  <c r="BH68" i="6"/>
  <c r="BD68" i="6"/>
  <c r="AZ68" i="6"/>
  <c r="AR68" i="6"/>
  <c r="AN68" i="6"/>
  <c r="AJ68" i="6"/>
  <c r="AF68" i="6"/>
  <c r="AB68" i="6"/>
  <c r="X68" i="6"/>
  <c r="S68" i="6"/>
  <c r="S73" i="6"/>
  <c r="X73" i="6"/>
  <c r="AB73" i="6"/>
  <c r="AF73" i="6"/>
  <c r="AJ73" i="6"/>
  <c r="AN73" i="6"/>
  <c r="AR73" i="6"/>
  <c r="AZ73" i="6"/>
  <c r="BH73" i="6"/>
  <c r="BL73" i="6"/>
  <c r="BP73" i="6"/>
  <c r="CB73" i="6"/>
  <c r="CF73" i="6"/>
  <c r="CJ73" i="6"/>
  <c r="CN73" i="6"/>
  <c r="CR73" i="6"/>
  <c r="CR77" i="6"/>
  <c r="CN77" i="6"/>
  <c r="CJ77" i="6"/>
  <c r="CF77" i="6"/>
  <c r="CB77" i="6"/>
  <c r="BP77" i="6"/>
  <c r="BL77" i="6"/>
  <c r="BH77" i="6"/>
  <c r="BD77" i="6"/>
  <c r="AZ77" i="6"/>
  <c r="AR77" i="6"/>
  <c r="AN77" i="6"/>
  <c r="AJ77" i="6"/>
  <c r="AF77" i="6"/>
  <c r="AB77" i="6"/>
  <c r="X77" i="6"/>
  <c r="S77" i="6"/>
  <c r="O38" i="6"/>
  <c r="O47" i="6"/>
  <c r="O55" i="6"/>
  <c r="O62" i="6"/>
  <c r="O68" i="6"/>
  <c r="O73" i="6"/>
  <c r="O77" i="6"/>
  <c r="K16" i="6"/>
  <c r="K38" i="6"/>
  <c r="K47" i="6"/>
  <c r="K55" i="6"/>
  <c r="K62" i="6"/>
  <c r="K68" i="6"/>
  <c r="K73" i="6"/>
  <c r="K77" i="6"/>
  <c r="C77" i="6"/>
  <c r="C73" i="6"/>
  <c r="C68" i="6"/>
  <c r="C62" i="6"/>
  <c r="C55" i="6"/>
  <c r="C47" i="6"/>
  <c r="C38" i="6"/>
  <c r="C16" i="6"/>
  <c r="K125" i="4"/>
  <c r="K127" i="4"/>
  <c r="G137" i="4"/>
  <c r="H137" i="4" s="1"/>
  <c r="D139" i="4"/>
  <c r="E139" i="4" s="1"/>
  <c r="G139" i="4" s="1"/>
  <c r="H139" i="4" s="1"/>
  <c r="D140" i="4"/>
  <c r="E140" i="4" s="1"/>
  <c r="G140" i="4" s="1"/>
  <c r="H140" i="4" s="1"/>
  <c r="D141" i="4"/>
  <c r="E141" i="4" s="1"/>
  <c r="G141" i="4" s="1"/>
  <c r="H141" i="4" s="1"/>
  <c r="I142" i="4"/>
  <c r="F142" i="4"/>
  <c r="C142" i="4"/>
  <c r="D138" i="4"/>
  <c r="E138" i="4" s="1"/>
  <c r="G138" i="4" s="1"/>
  <c r="H138" i="4" s="1"/>
  <c r="J137" i="4"/>
  <c r="K137" i="4" s="1"/>
  <c r="D137" i="4"/>
  <c r="E137" i="4" s="1"/>
  <c r="J136" i="4"/>
  <c r="K136" i="4" s="1"/>
  <c r="D136" i="4"/>
  <c r="E136" i="4" s="1"/>
  <c r="G136" i="4" s="1"/>
  <c r="H136" i="4" s="1"/>
  <c r="J135" i="4"/>
  <c r="K135" i="4" s="1"/>
  <c r="D135" i="4"/>
  <c r="E135" i="4" s="1"/>
  <c r="G135" i="4" s="1"/>
  <c r="H135" i="4" s="1"/>
  <c r="J134" i="4"/>
  <c r="K134" i="4" s="1"/>
  <c r="D134" i="4"/>
  <c r="E134" i="4" s="1"/>
  <c r="G134" i="4" s="1"/>
  <c r="H134" i="4" s="1"/>
  <c r="J133" i="4"/>
  <c r="K133" i="4" s="1"/>
  <c r="D133" i="4"/>
  <c r="E133" i="4" s="1"/>
  <c r="G133" i="4" s="1"/>
  <c r="H133" i="4" s="1"/>
  <c r="J127" i="4"/>
  <c r="J125" i="4"/>
  <c r="P82" i="4"/>
  <c r="P83" i="4"/>
  <c r="Q83" i="4" s="1"/>
  <c r="S83" i="4" s="1"/>
  <c r="T83" i="4" s="1"/>
  <c r="S63" i="4"/>
  <c r="T63" i="4" s="1"/>
  <c r="S65" i="4"/>
  <c r="T65" i="4" s="1"/>
  <c r="S69" i="4"/>
  <c r="T69" i="4" s="1"/>
  <c r="AB61" i="4"/>
  <c r="AC61" i="4" s="1"/>
  <c r="AB62" i="4"/>
  <c r="AC62" i="4" s="1"/>
  <c r="AB63" i="4"/>
  <c r="AC63" i="4" s="1"/>
  <c r="AB64" i="4"/>
  <c r="AC64" i="4" s="1"/>
  <c r="AB65" i="4"/>
  <c r="AC65" i="4" s="1"/>
  <c r="AB66" i="4"/>
  <c r="AC66" i="4" s="1"/>
  <c r="AA71" i="4"/>
  <c r="V51" i="4"/>
  <c r="V53" i="4"/>
  <c r="Y33" i="4"/>
  <c r="Y35" i="4"/>
  <c r="Y36" i="4"/>
  <c r="Y37" i="4"/>
  <c r="Y39" i="4"/>
  <c r="Y40" i="4"/>
  <c r="Y41" i="4"/>
  <c r="Y43" i="4"/>
  <c r="AB13" i="4"/>
  <c r="AB16" i="4"/>
  <c r="AB18" i="4"/>
  <c r="AB19" i="4"/>
  <c r="AB20" i="4"/>
  <c r="AB21" i="4"/>
  <c r="AB22" i="4"/>
  <c r="AB23" i="4"/>
  <c r="AB24" i="4"/>
  <c r="AB25" i="4"/>
  <c r="AB26" i="4"/>
  <c r="V30" i="1"/>
  <c r="BJ14" i="15" l="1"/>
  <c r="BM14" i="15" s="1"/>
  <c r="AL15" i="15"/>
  <c r="AO15" i="15" s="1"/>
  <c r="CX18" i="15"/>
  <c r="BB19" i="15"/>
  <c r="BE19" i="15" s="1"/>
  <c r="AT25" i="15"/>
  <c r="AW25" i="15" s="1"/>
  <c r="BE11" i="15"/>
  <c r="BJ11" i="15" s="1"/>
  <c r="AT17" i="15"/>
  <c r="AT13" i="15"/>
  <c r="AW13" i="15" s="1"/>
  <c r="BJ21" i="15"/>
  <c r="BM21" i="15" s="1"/>
  <c r="BJ23" i="15"/>
  <c r="BM23" i="15" s="1"/>
  <c r="DA35" i="6"/>
  <c r="CZ35" i="6"/>
  <c r="DA11" i="6"/>
  <c r="CZ11" i="6"/>
  <c r="DA24" i="6"/>
  <c r="CZ24" i="6"/>
  <c r="CW24" i="6"/>
  <c r="CV24" i="6"/>
  <c r="CW35" i="6"/>
  <c r="CV35" i="6"/>
  <c r="CW11" i="6"/>
  <c r="CV11" i="6"/>
  <c r="CV45" i="6"/>
  <c r="CW45" i="6"/>
  <c r="AW12" i="6"/>
  <c r="AV12" i="6"/>
  <c r="AV45" i="6"/>
  <c r="AW45" i="6"/>
  <c r="AW24" i="6"/>
  <c r="AV24" i="6"/>
  <c r="AW36" i="6"/>
  <c r="AV36" i="6"/>
  <c r="AW16" i="15"/>
  <c r="AO27" i="15"/>
  <c r="BB29" i="15"/>
  <c r="BB12" i="15"/>
  <c r="AT30" i="15"/>
  <c r="AO9" i="15"/>
  <c r="AT26" i="15"/>
  <c r="BB28" i="15"/>
  <c r="AT8" i="15"/>
  <c r="AO10" i="15"/>
  <c r="BB22" i="15"/>
  <c r="C82" i="6"/>
  <c r="D142" i="4"/>
  <c r="E142" i="4"/>
  <c r="K142" i="4"/>
  <c r="J142" i="4"/>
  <c r="AB71" i="4"/>
  <c r="AC71" i="4"/>
  <c r="V69" i="4"/>
  <c r="W69" i="4" s="1"/>
  <c r="BB25" i="15" l="1"/>
  <c r="AT15" i="15"/>
  <c r="AW15" i="15" s="1"/>
  <c r="DA18" i="15"/>
  <c r="DC18" i="15" s="1"/>
  <c r="BJ19" i="15"/>
  <c r="BM19" i="15" s="1"/>
  <c r="BM11" i="15"/>
  <c r="BS21" i="15"/>
  <c r="DA12" i="6"/>
  <c r="CZ12" i="6"/>
  <c r="CZ25" i="6"/>
  <c r="DA25" i="6"/>
  <c r="CZ36" i="6"/>
  <c r="DA36" i="6"/>
  <c r="CW36" i="6"/>
  <c r="CV36" i="6"/>
  <c r="CV12" i="6"/>
  <c r="CW12" i="6"/>
  <c r="CV25" i="6"/>
  <c r="CW25" i="6"/>
  <c r="AW13" i="6"/>
  <c r="AV13" i="6"/>
  <c r="AV25" i="6"/>
  <c r="AW25" i="6"/>
  <c r="BE12" i="15"/>
  <c r="AW30" i="15"/>
  <c r="AT27" i="15"/>
  <c r="AW17" i="15"/>
  <c r="BE29" i="15"/>
  <c r="BB13" i="15"/>
  <c r="AT10" i="15"/>
  <c r="BS14" i="15"/>
  <c r="AT9" i="15"/>
  <c r="BE22" i="15"/>
  <c r="BE28" i="15"/>
  <c r="AW8" i="15"/>
  <c r="AW26" i="15"/>
  <c r="BB16" i="15"/>
  <c r="D120" i="4"/>
  <c r="E120" i="4" s="1"/>
  <c r="G120" i="4" s="1"/>
  <c r="D121" i="4"/>
  <c r="E121" i="4" s="1"/>
  <c r="G121" i="4" s="1"/>
  <c r="H121" i="4" s="1"/>
  <c r="J121" i="4" s="1"/>
  <c r="K121" i="4" s="1"/>
  <c r="D122" i="4"/>
  <c r="E122" i="4" s="1"/>
  <c r="G122" i="4" s="1"/>
  <c r="H122" i="4" s="1"/>
  <c r="J122" i="4" s="1"/>
  <c r="K122" i="4" s="1"/>
  <c r="D123" i="4"/>
  <c r="E123" i="4" s="1"/>
  <c r="G123" i="4" s="1"/>
  <c r="H123" i="4" s="1"/>
  <c r="J123" i="4" s="1"/>
  <c r="K123" i="4" s="1"/>
  <c r="D124" i="4"/>
  <c r="E124" i="4" s="1"/>
  <c r="G124" i="4" s="1"/>
  <c r="H124" i="4" s="1"/>
  <c r="J124" i="4" s="1"/>
  <c r="K124" i="4" s="1"/>
  <c r="D125" i="4"/>
  <c r="E125" i="4" s="1"/>
  <c r="D126" i="4"/>
  <c r="E126" i="4" s="1"/>
  <c r="G126" i="4" s="1"/>
  <c r="H126" i="4" s="1"/>
  <c r="J126" i="4" s="1"/>
  <c r="K126" i="4" s="1"/>
  <c r="D127" i="4"/>
  <c r="E127" i="4" s="1"/>
  <c r="O128" i="4"/>
  <c r="L128" i="4"/>
  <c r="I128" i="4"/>
  <c r="F128" i="4"/>
  <c r="C128" i="4"/>
  <c r="P123" i="4"/>
  <c r="Q123" i="4" s="1"/>
  <c r="M123" i="4"/>
  <c r="N123" i="4" s="1"/>
  <c r="P122" i="4"/>
  <c r="Q122" i="4" s="1"/>
  <c r="M122" i="4"/>
  <c r="N122" i="4" s="1"/>
  <c r="P121" i="4"/>
  <c r="Q121" i="4" s="1"/>
  <c r="M121" i="4"/>
  <c r="N121" i="4" s="1"/>
  <c r="P120" i="4"/>
  <c r="Q120" i="4" s="1"/>
  <c r="M120" i="4"/>
  <c r="N120" i="4" s="1"/>
  <c r="P119" i="4"/>
  <c r="M119" i="4"/>
  <c r="D119" i="4"/>
  <c r="L33" i="13"/>
  <c r="BE25" i="15" l="1"/>
  <c r="BC25" i="15"/>
  <c r="AZ86" i="6"/>
  <c r="E14" i="14" s="1"/>
  <c r="BB15" i="15"/>
  <c r="BE15" i="15" s="1"/>
  <c r="D14" i="17"/>
  <c r="E14" i="17" s="1"/>
  <c r="G14" i="17" s="1"/>
  <c r="BS11" i="15"/>
  <c r="BV11" i="15" s="1"/>
  <c r="J11" i="9" s="1"/>
  <c r="K11" i="9" s="1"/>
  <c r="BV21" i="15"/>
  <c r="BS23" i="15"/>
  <c r="BV23" i="15" s="1"/>
  <c r="C27" i="17"/>
  <c r="DA13" i="6"/>
  <c r="CZ13" i="6"/>
  <c r="CW13" i="6"/>
  <c r="CV13" i="6"/>
  <c r="AW14" i="6"/>
  <c r="AV14" i="6"/>
  <c r="AV80" i="6" s="1"/>
  <c r="AW27" i="15"/>
  <c r="BE16" i="15"/>
  <c r="BB17" i="15"/>
  <c r="BE17" i="15" s="1"/>
  <c r="BB8" i="15"/>
  <c r="BB26" i="15"/>
  <c r="BE26" i="15" s="1"/>
  <c r="BJ28" i="15"/>
  <c r="BM28" i="15" s="1"/>
  <c r="BJ12" i="15"/>
  <c r="AW10" i="15"/>
  <c r="BJ29" i="15"/>
  <c r="BM29" i="15" s="1"/>
  <c r="BJ22" i="15"/>
  <c r="BV14" i="15"/>
  <c r="BE13" i="15"/>
  <c r="BB30" i="15"/>
  <c r="AW9" i="15"/>
  <c r="H120" i="4"/>
  <c r="J120" i="4" s="1"/>
  <c r="K120" i="4" s="1"/>
  <c r="D128" i="4"/>
  <c r="M128" i="4"/>
  <c r="P128" i="4"/>
  <c r="E119" i="4"/>
  <c r="G119" i="4" s="1"/>
  <c r="N119" i="4"/>
  <c r="N128" i="4" s="1"/>
  <c r="Q119" i="4"/>
  <c r="Q128" i="4" s="1"/>
  <c r="M39" i="4"/>
  <c r="N39" i="4" s="1"/>
  <c r="J14" i="9" l="1"/>
  <c r="K14" i="9" s="1"/>
  <c r="J23" i="9"/>
  <c r="K23" i="9" s="1"/>
  <c r="CB23" i="15"/>
  <c r="CE23" i="15" s="1"/>
  <c r="CL23" i="15" s="1"/>
  <c r="CO23" i="15" s="1"/>
  <c r="J21" i="9"/>
  <c r="BJ15" i="15"/>
  <c r="BM15" i="15" s="1"/>
  <c r="BJ25" i="15"/>
  <c r="CB11" i="15"/>
  <c r="CE11" i="15" s="1"/>
  <c r="CL11" i="15" s="1"/>
  <c r="CO11" i="15" s="1"/>
  <c r="BJ17" i="15"/>
  <c r="BS28" i="15"/>
  <c r="DA14" i="6"/>
  <c r="CZ14" i="6"/>
  <c r="CZ80" i="6" s="1"/>
  <c r="CW14" i="6"/>
  <c r="CV14" i="6"/>
  <c r="CV80" i="6" s="1"/>
  <c r="AV85" i="6"/>
  <c r="D12" i="14" s="1"/>
  <c r="AV83" i="6"/>
  <c r="BJ26" i="15"/>
  <c r="BK26" i="15" s="1"/>
  <c r="BJ13" i="15"/>
  <c r="BJ16" i="15"/>
  <c r="BM12" i="15"/>
  <c r="BE8" i="15"/>
  <c r="BE30" i="15"/>
  <c r="CB14" i="15"/>
  <c r="CE14" i="15" s="1"/>
  <c r="CL14" i="15" s="1"/>
  <c r="CO14" i="15" s="1"/>
  <c r="BB27" i="15"/>
  <c r="BB10" i="15"/>
  <c r="BB9" i="15"/>
  <c r="BM22" i="15"/>
  <c r="G142" i="4"/>
  <c r="H142" i="4"/>
  <c r="H119" i="4"/>
  <c r="G128" i="4"/>
  <c r="E128" i="4"/>
  <c r="BS15" i="15" l="1"/>
  <c r="BV15" i="15" s="1"/>
  <c r="BM25" i="15"/>
  <c r="BK25" i="15"/>
  <c r="CB21" i="15"/>
  <c r="CE21" i="15" s="1"/>
  <c r="CL21" i="15" s="1"/>
  <c r="CO21" i="15" s="1"/>
  <c r="C18" i="17"/>
  <c r="BS19" i="15"/>
  <c r="BV19" i="15" s="1"/>
  <c r="CZ85" i="6"/>
  <c r="CZ83" i="6"/>
  <c r="CV85" i="6"/>
  <c r="CV83" i="6"/>
  <c r="BE9" i="15"/>
  <c r="BV28" i="15"/>
  <c r="BM13" i="15"/>
  <c r="BJ8" i="15"/>
  <c r="BS29" i="15"/>
  <c r="BS22" i="15"/>
  <c r="BS12" i="15"/>
  <c r="BM26" i="15"/>
  <c r="BE27" i="15"/>
  <c r="BM16" i="15"/>
  <c r="BE10" i="15"/>
  <c r="BJ30" i="15"/>
  <c r="H128" i="4"/>
  <c r="J119" i="4"/>
  <c r="R114" i="4"/>
  <c r="O114" i="4"/>
  <c r="L114" i="4"/>
  <c r="I114" i="4"/>
  <c r="F114" i="4"/>
  <c r="C114" i="4"/>
  <c r="D113" i="4"/>
  <c r="E113" i="4" s="1"/>
  <c r="G113" i="4" s="1"/>
  <c r="H113" i="4" s="1"/>
  <c r="J113" i="4" s="1"/>
  <c r="K113" i="4" s="1"/>
  <c r="M113" i="4" s="1"/>
  <c r="N113" i="4" s="1"/>
  <c r="D112" i="4"/>
  <c r="E112" i="4" s="1"/>
  <c r="G112" i="4" s="1"/>
  <c r="H112" i="4" s="1"/>
  <c r="J112" i="4" s="1"/>
  <c r="K112" i="4" s="1"/>
  <c r="M112" i="4" s="1"/>
  <c r="N112" i="4" s="1"/>
  <c r="S111" i="4"/>
  <c r="T111" i="4" s="1"/>
  <c r="P111" i="4"/>
  <c r="Q111" i="4" s="1"/>
  <c r="D111" i="4"/>
  <c r="E111" i="4" s="1"/>
  <c r="G111" i="4" s="1"/>
  <c r="H111" i="4" s="1"/>
  <c r="J111" i="4" s="1"/>
  <c r="K111" i="4" s="1"/>
  <c r="M111" i="4" s="1"/>
  <c r="N111" i="4" s="1"/>
  <c r="S110" i="4"/>
  <c r="T110" i="4" s="1"/>
  <c r="P110" i="4"/>
  <c r="Q110" i="4" s="1"/>
  <c r="D110" i="4"/>
  <c r="E110" i="4" s="1"/>
  <c r="G110" i="4" s="1"/>
  <c r="H110" i="4" s="1"/>
  <c r="J110" i="4" s="1"/>
  <c r="K110" i="4" s="1"/>
  <c r="M110" i="4" s="1"/>
  <c r="N110" i="4" s="1"/>
  <c r="S109" i="4"/>
  <c r="T109" i="4" s="1"/>
  <c r="P109" i="4"/>
  <c r="Q109" i="4" s="1"/>
  <c r="D109" i="4"/>
  <c r="E109" i="4" s="1"/>
  <c r="G109" i="4" s="1"/>
  <c r="H109" i="4" s="1"/>
  <c r="J109" i="4" s="1"/>
  <c r="K109" i="4" s="1"/>
  <c r="M109" i="4" s="1"/>
  <c r="N109" i="4" s="1"/>
  <c r="S108" i="4"/>
  <c r="T108" i="4" s="1"/>
  <c r="P108" i="4"/>
  <c r="Q108" i="4" s="1"/>
  <c r="D108" i="4"/>
  <c r="E108" i="4" s="1"/>
  <c r="G108" i="4" s="1"/>
  <c r="H108" i="4" s="1"/>
  <c r="J108" i="4" s="1"/>
  <c r="K108" i="4" s="1"/>
  <c r="M108" i="4" s="1"/>
  <c r="N108" i="4" s="1"/>
  <c r="S107" i="4"/>
  <c r="P107" i="4"/>
  <c r="Q107" i="4" s="1"/>
  <c r="D107" i="4"/>
  <c r="E107" i="4" s="1"/>
  <c r="G107" i="4" s="1"/>
  <c r="J15" i="9" l="1"/>
  <c r="J19" i="9"/>
  <c r="K19" i="9" s="1"/>
  <c r="J28" i="9"/>
  <c r="K28" i="9" s="1"/>
  <c r="BY28" i="15"/>
  <c r="CB28" i="15" s="1"/>
  <c r="CE28" i="15" s="1"/>
  <c r="CL28" i="15" s="1"/>
  <c r="CO28" i="15" s="1"/>
  <c r="BS25" i="15"/>
  <c r="CR11" i="15"/>
  <c r="CU11" i="15" s="1"/>
  <c r="CR23" i="15"/>
  <c r="CU23" i="15" s="1"/>
  <c r="J28" i="14"/>
  <c r="C34" i="17"/>
  <c r="CZ87" i="6"/>
  <c r="C36" i="17"/>
  <c r="E36" i="17" s="1"/>
  <c r="F36" i="17" s="1"/>
  <c r="J128" i="4"/>
  <c r="K119" i="4"/>
  <c r="BM17" i="15"/>
  <c r="BM8" i="15"/>
  <c r="BV29" i="15"/>
  <c r="J29" i="9" s="1"/>
  <c r="BM30" i="15"/>
  <c r="BS30" i="15" s="1"/>
  <c r="CB15" i="15"/>
  <c r="CE15" i="15" s="1"/>
  <c r="CL15" i="15" s="1"/>
  <c r="CO15" i="15" s="1"/>
  <c r="BJ9" i="15"/>
  <c r="BS16" i="15"/>
  <c r="BS13" i="15"/>
  <c r="BV12" i="15"/>
  <c r="J12" i="9" s="1"/>
  <c r="K12" i="9" s="1"/>
  <c r="BJ27" i="15"/>
  <c r="BM27" i="15" s="1"/>
  <c r="BV22" i="15"/>
  <c r="J22" i="9" s="1"/>
  <c r="K22" i="9" s="1"/>
  <c r="BJ10" i="15"/>
  <c r="CB19" i="15"/>
  <c r="S114" i="4"/>
  <c r="G114" i="4"/>
  <c r="E114" i="4"/>
  <c r="Q114" i="4"/>
  <c r="H107" i="4"/>
  <c r="T107" i="4"/>
  <c r="T114" i="4" s="1"/>
  <c r="D114" i="4"/>
  <c r="P114" i="4"/>
  <c r="BV25" i="15" l="1"/>
  <c r="BT25" i="15"/>
  <c r="CR14" i="15"/>
  <c r="CU14" i="15" s="1"/>
  <c r="CX23" i="15"/>
  <c r="CX11" i="15"/>
  <c r="CE19" i="15"/>
  <c r="CL19" i="15" s="1"/>
  <c r="CO19" i="15" s="1"/>
  <c r="D24" i="17"/>
  <c r="BM9" i="15"/>
  <c r="BM10" i="15"/>
  <c r="BV13" i="15"/>
  <c r="BV16" i="15"/>
  <c r="BV30" i="15"/>
  <c r="BS8" i="15"/>
  <c r="CB29" i="15"/>
  <c r="CE29" i="15" s="1"/>
  <c r="CL29" i="15" s="1"/>
  <c r="CO29" i="15" s="1"/>
  <c r="CB22" i="15"/>
  <c r="CE22" i="15" s="1"/>
  <c r="CL22" i="15" s="1"/>
  <c r="CO22" i="15" s="1"/>
  <c r="CB12" i="15"/>
  <c r="CE12" i="15" s="1"/>
  <c r="CL12" i="15" s="1"/>
  <c r="CO12" i="15" s="1"/>
  <c r="BS17" i="15"/>
  <c r="BS26" i="15"/>
  <c r="K33" i="13"/>
  <c r="K128" i="4"/>
  <c r="J107" i="4"/>
  <c r="K107" i="4" s="1"/>
  <c r="H114" i="4"/>
  <c r="Y24" i="1"/>
  <c r="BD73" i="6"/>
  <c r="D92" i="4"/>
  <c r="E92" i="4" s="1"/>
  <c r="G92" i="4" s="1"/>
  <c r="D93" i="4"/>
  <c r="E93" i="4" s="1"/>
  <c r="G93" i="4" s="1"/>
  <c r="D94" i="4"/>
  <c r="E94" i="4" s="1"/>
  <c r="G94" i="4" s="1"/>
  <c r="H94" i="4" s="1"/>
  <c r="J94" i="4" s="1"/>
  <c r="K94" i="4" s="1"/>
  <c r="M94" i="4" s="1"/>
  <c r="N94" i="4" s="1"/>
  <c r="P94" i="4" s="1"/>
  <c r="Q94" i="4" s="1"/>
  <c r="D95" i="4"/>
  <c r="E95" i="4" s="1"/>
  <c r="G95" i="4" s="1"/>
  <c r="H95" i="4" s="1"/>
  <c r="J95" i="4" s="1"/>
  <c r="K95" i="4" s="1"/>
  <c r="D96" i="4"/>
  <c r="E96" i="4" s="1"/>
  <c r="G96" i="4" s="1"/>
  <c r="H96" i="4" s="1"/>
  <c r="J96" i="4" s="1"/>
  <c r="K96" i="4" s="1"/>
  <c r="D97" i="4"/>
  <c r="E97" i="4" s="1"/>
  <c r="G97" i="4" s="1"/>
  <c r="H97" i="4" s="1"/>
  <c r="J97" i="4" s="1"/>
  <c r="K97" i="4" s="1"/>
  <c r="M97" i="4" s="1"/>
  <c r="N97" i="4" s="1"/>
  <c r="P97" i="4" s="1"/>
  <c r="Q97" i="4" s="1"/>
  <c r="D98" i="4"/>
  <c r="E98" i="4" s="1"/>
  <c r="G98" i="4" s="1"/>
  <c r="H98" i="4" s="1"/>
  <c r="J98" i="4" s="1"/>
  <c r="K98" i="4" s="1"/>
  <c r="M98" i="4" s="1"/>
  <c r="N98" i="4" s="1"/>
  <c r="P98" i="4" s="1"/>
  <c r="Q98" i="4" s="1"/>
  <c r="D99" i="4"/>
  <c r="E99" i="4" s="1"/>
  <c r="G99" i="4" s="1"/>
  <c r="H99" i="4" s="1"/>
  <c r="J99" i="4" s="1"/>
  <c r="K99" i="4" s="1"/>
  <c r="M99" i="4" s="1"/>
  <c r="N99" i="4" s="1"/>
  <c r="P99" i="4" s="1"/>
  <c r="Q99" i="4" s="1"/>
  <c r="D100" i="4"/>
  <c r="E100" i="4" s="1"/>
  <c r="G100" i="4" s="1"/>
  <c r="H100" i="4" s="1"/>
  <c r="J100" i="4" s="1"/>
  <c r="K100" i="4" s="1"/>
  <c r="D91" i="4"/>
  <c r="E91" i="4" s="1"/>
  <c r="G91" i="4" s="1"/>
  <c r="U101" i="4"/>
  <c r="R101" i="4"/>
  <c r="O101" i="4"/>
  <c r="L101" i="4"/>
  <c r="I101" i="4"/>
  <c r="F101" i="4"/>
  <c r="C101" i="4"/>
  <c r="V100" i="4"/>
  <c r="W100" i="4" s="1"/>
  <c r="S100" i="4"/>
  <c r="T100" i="4" s="1"/>
  <c r="V95" i="4"/>
  <c r="W95" i="4" s="1"/>
  <c r="S95" i="4"/>
  <c r="T95" i="4" s="1"/>
  <c r="V94" i="4"/>
  <c r="W94" i="4" s="1"/>
  <c r="S94" i="4"/>
  <c r="T94" i="4" s="1"/>
  <c r="V93" i="4"/>
  <c r="W93" i="4" s="1"/>
  <c r="S93" i="4"/>
  <c r="T93" i="4" s="1"/>
  <c r="V92" i="4"/>
  <c r="W92" i="4" s="1"/>
  <c r="S92" i="4"/>
  <c r="T92" i="4" s="1"/>
  <c r="V91" i="4"/>
  <c r="S91" i="4"/>
  <c r="J16" i="9" l="1"/>
  <c r="CB16" i="15"/>
  <c r="CE16" i="15" s="1"/>
  <c r="CL16" i="15" s="1"/>
  <c r="CO16" i="15" s="1"/>
  <c r="BY25" i="15"/>
  <c r="CB25" i="15" s="1"/>
  <c r="J25" i="9"/>
  <c r="K25" i="9" s="1"/>
  <c r="J13" i="9"/>
  <c r="K13" i="9" s="1"/>
  <c r="CB13" i="15"/>
  <c r="CE13" i="15" s="1"/>
  <c r="CL13" i="15" s="1"/>
  <c r="CO13" i="15" s="1"/>
  <c r="DA23" i="15"/>
  <c r="DC23" i="15" s="1"/>
  <c r="CR28" i="15"/>
  <c r="D29" i="17"/>
  <c r="CR21" i="15"/>
  <c r="CU21" i="15" s="1"/>
  <c r="DA11" i="15"/>
  <c r="DC11" i="15" s="1"/>
  <c r="D28" i="17"/>
  <c r="CX14" i="15"/>
  <c r="BV8" i="15"/>
  <c r="BV26" i="15"/>
  <c r="BS10" i="15"/>
  <c r="BV17" i="15"/>
  <c r="J17" i="9" s="1"/>
  <c r="K17" i="9" s="1"/>
  <c r="CB30" i="15"/>
  <c r="CE30" i="15" s="1"/>
  <c r="CL30" i="15" s="1"/>
  <c r="CO30" i="15" s="1"/>
  <c r="BS27" i="15"/>
  <c r="BS9" i="15"/>
  <c r="J114" i="4"/>
  <c r="M107" i="4"/>
  <c r="K114" i="4"/>
  <c r="M96" i="4"/>
  <c r="N96" i="4" s="1"/>
  <c r="P96" i="4" s="1"/>
  <c r="Q96" i="4" s="1"/>
  <c r="M100" i="4"/>
  <c r="N100" i="4" s="1"/>
  <c r="P100" i="4" s="1"/>
  <c r="Q100" i="4" s="1"/>
  <c r="M95" i="4"/>
  <c r="N95" i="4" s="1"/>
  <c r="P95" i="4" s="1"/>
  <c r="Q95" i="4" s="1"/>
  <c r="H93" i="4"/>
  <c r="J93" i="4" s="1"/>
  <c r="K93" i="4" s="1"/>
  <c r="M93" i="4" s="1"/>
  <c r="N93" i="4" s="1"/>
  <c r="P93" i="4" s="1"/>
  <c r="Q93" i="4" s="1"/>
  <c r="D101" i="4"/>
  <c r="E101" i="4"/>
  <c r="S101" i="4"/>
  <c r="H92" i="4"/>
  <c r="J92" i="4" s="1"/>
  <c r="K92" i="4" s="1"/>
  <c r="M92" i="4" s="1"/>
  <c r="N92" i="4" s="1"/>
  <c r="P92" i="4" s="1"/>
  <c r="Q92" i="4" s="1"/>
  <c r="V101" i="4"/>
  <c r="T91" i="4"/>
  <c r="T101" i="4" s="1"/>
  <c r="W91" i="4"/>
  <c r="W101" i="4" s="1"/>
  <c r="J8" i="9" l="1"/>
  <c r="K8" i="9" s="1"/>
  <c r="CB8" i="15"/>
  <c r="CE8" i="15" s="1"/>
  <c r="CL8" i="15" s="1"/>
  <c r="CO8" i="15" s="1"/>
  <c r="CE25" i="15"/>
  <c r="CL25" i="15" s="1"/>
  <c r="CC25" i="15"/>
  <c r="CU28" i="15"/>
  <c r="CX28" i="15" s="1"/>
  <c r="BT86" i="6"/>
  <c r="E19" i="14" s="1"/>
  <c r="F19" i="14" s="1"/>
  <c r="H19" i="14" s="1"/>
  <c r="X86" i="6"/>
  <c r="E7" i="14" s="1"/>
  <c r="J26" i="9"/>
  <c r="K26" i="9" s="1"/>
  <c r="BY26" i="15"/>
  <c r="CB26" i="15" s="1"/>
  <c r="D18" i="17"/>
  <c r="E18" i="17" s="1"/>
  <c r="CR19" i="15"/>
  <c r="CR15" i="15"/>
  <c r="CU15" i="15" s="1"/>
  <c r="CX21" i="15"/>
  <c r="D7" i="17"/>
  <c r="DA14" i="15"/>
  <c r="DC14" i="15" s="1"/>
  <c r="M114" i="4"/>
  <c r="N107" i="4"/>
  <c r="BV27" i="15"/>
  <c r="J27" i="9" s="1"/>
  <c r="K27" i="9" s="1"/>
  <c r="CB17" i="15"/>
  <c r="BV10" i="15"/>
  <c r="BV9" i="15"/>
  <c r="G101" i="4"/>
  <c r="H91" i="4"/>
  <c r="J9" i="9" l="1"/>
  <c r="K9" i="9" s="1"/>
  <c r="CE26" i="15"/>
  <c r="CC26" i="15"/>
  <c r="CO25" i="15"/>
  <c r="CR25" i="15" s="1"/>
  <c r="CU25" i="15" s="1"/>
  <c r="CM25" i="15"/>
  <c r="DA28" i="15"/>
  <c r="DC28" i="15" s="1"/>
  <c r="CU19" i="15"/>
  <c r="CX19" i="15" s="1"/>
  <c r="DA21" i="15"/>
  <c r="DC21" i="15" s="1"/>
  <c r="J10" i="9"/>
  <c r="K10" i="9" s="1"/>
  <c r="CB10" i="15"/>
  <c r="CE10" i="15" s="1"/>
  <c r="CL10" i="15" s="1"/>
  <c r="CO10" i="15" s="1"/>
  <c r="CR29" i="15"/>
  <c r="CU29" i="15" s="1"/>
  <c r="CR22" i="15"/>
  <c r="CU22" i="15" s="1"/>
  <c r="CR12" i="15"/>
  <c r="CU12" i="15" s="1"/>
  <c r="CE17" i="15"/>
  <c r="CL17" i="15" s="1"/>
  <c r="CO17" i="15" s="1"/>
  <c r="D34" i="17"/>
  <c r="E34" i="17" s="1"/>
  <c r="F34" i="17" s="1"/>
  <c r="D35" i="17"/>
  <c r="CX15" i="15"/>
  <c r="CB27" i="15"/>
  <c r="CE27" i="15" s="1"/>
  <c r="CL27" i="15" s="1"/>
  <c r="CO27" i="15" s="1"/>
  <c r="CB9" i="15"/>
  <c r="CE9" i="15" s="1"/>
  <c r="CL9" i="15" s="1"/>
  <c r="CO9" i="15" s="1"/>
  <c r="N114" i="4"/>
  <c r="J33" i="13"/>
  <c r="H101" i="4"/>
  <c r="J91" i="4"/>
  <c r="Y7" i="4"/>
  <c r="Y3" i="4"/>
  <c r="Y5" i="4"/>
  <c r="C85" i="4"/>
  <c r="D84" i="4"/>
  <c r="E84" i="4" s="1"/>
  <c r="G84" i="4" s="1"/>
  <c r="H84" i="4" s="1"/>
  <c r="J84" i="4" s="1"/>
  <c r="K84" i="4" s="1"/>
  <c r="M84" i="4" s="1"/>
  <c r="N84" i="4" s="1"/>
  <c r="P84" i="4" s="1"/>
  <c r="X85" i="4"/>
  <c r="U85" i="4"/>
  <c r="R85" i="4"/>
  <c r="O85" i="4"/>
  <c r="L85" i="4"/>
  <c r="I85" i="4"/>
  <c r="F85" i="4"/>
  <c r="D83" i="4"/>
  <c r="E83" i="4" s="1"/>
  <c r="G83" i="4" s="1"/>
  <c r="H83" i="4" s="1"/>
  <c r="J83" i="4" s="1"/>
  <c r="K83" i="4" s="1"/>
  <c r="Y82" i="4"/>
  <c r="Z82" i="4" s="1"/>
  <c r="V82" i="4"/>
  <c r="W82" i="4" s="1"/>
  <c r="M82" i="4"/>
  <c r="N82" i="4" s="1"/>
  <c r="J82" i="4"/>
  <c r="K82" i="4" s="1"/>
  <c r="D82" i="4"/>
  <c r="E82" i="4" s="1"/>
  <c r="Y81" i="4"/>
  <c r="Z81" i="4" s="1"/>
  <c r="V81" i="4"/>
  <c r="W81" i="4" s="1"/>
  <c r="D81" i="4"/>
  <c r="E81" i="4" s="1"/>
  <c r="G81" i="4" s="1"/>
  <c r="H81" i="4" s="1"/>
  <c r="J81" i="4" s="1"/>
  <c r="K81" i="4" s="1"/>
  <c r="M81" i="4" s="1"/>
  <c r="N81" i="4" s="1"/>
  <c r="P81" i="4" s="1"/>
  <c r="Y80" i="4"/>
  <c r="Z80" i="4" s="1"/>
  <c r="V80" i="4"/>
  <c r="W80" i="4" s="1"/>
  <c r="D80" i="4"/>
  <c r="E80" i="4" s="1"/>
  <c r="G80" i="4" s="1"/>
  <c r="H80" i="4" s="1"/>
  <c r="J80" i="4" s="1"/>
  <c r="K80" i="4" s="1"/>
  <c r="M80" i="4" s="1"/>
  <c r="N80" i="4" s="1"/>
  <c r="P80" i="4" s="1"/>
  <c r="Y79" i="4"/>
  <c r="Z79" i="4" s="1"/>
  <c r="V79" i="4"/>
  <c r="W79" i="4" s="1"/>
  <c r="D79" i="4"/>
  <c r="E79" i="4" s="1"/>
  <c r="G79" i="4" s="1"/>
  <c r="H79" i="4" s="1"/>
  <c r="J79" i="4" s="1"/>
  <c r="K79" i="4" s="1"/>
  <c r="M79" i="4" s="1"/>
  <c r="N79" i="4" s="1"/>
  <c r="P79" i="4" s="1"/>
  <c r="Y78" i="4"/>
  <c r="Z78" i="4" s="1"/>
  <c r="V78" i="4"/>
  <c r="W78" i="4" s="1"/>
  <c r="D78" i="4"/>
  <c r="E78" i="4" s="1"/>
  <c r="G78" i="4" s="1"/>
  <c r="H78" i="4" s="1"/>
  <c r="J78" i="4" s="1"/>
  <c r="K78" i="4" s="1"/>
  <c r="M78" i="4" s="1"/>
  <c r="N78" i="4" s="1"/>
  <c r="P78" i="4" s="1"/>
  <c r="Y77" i="4"/>
  <c r="V77" i="4"/>
  <c r="W77" i="4" s="1"/>
  <c r="D77" i="4"/>
  <c r="F71" i="4"/>
  <c r="C71" i="4"/>
  <c r="D62" i="4"/>
  <c r="E62" i="4" s="1"/>
  <c r="G62" i="4" s="1"/>
  <c r="H62" i="4" s="1"/>
  <c r="J62" i="4" s="1"/>
  <c r="K62" i="4" s="1"/>
  <c r="M62" i="4" s="1"/>
  <c r="D63" i="4"/>
  <c r="E63" i="4" s="1"/>
  <c r="G63" i="4" s="1"/>
  <c r="H63" i="4" s="1"/>
  <c r="J63" i="4" s="1"/>
  <c r="K63" i="4" s="1"/>
  <c r="D64" i="4"/>
  <c r="E64" i="4" s="1"/>
  <c r="G64" i="4" s="1"/>
  <c r="H64" i="4" s="1"/>
  <c r="J64" i="4" s="1"/>
  <c r="K64" i="4" s="1"/>
  <c r="M64" i="4" s="1"/>
  <c r="N64" i="4" s="1"/>
  <c r="P64" i="4" s="1"/>
  <c r="Q64" i="4" s="1"/>
  <c r="S64" i="4" s="1"/>
  <c r="T64" i="4" s="1"/>
  <c r="D65" i="4"/>
  <c r="E65" i="4" s="1"/>
  <c r="G65" i="4" s="1"/>
  <c r="H65" i="4" s="1"/>
  <c r="J65" i="4" s="1"/>
  <c r="K65" i="4" s="1"/>
  <c r="M65" i="4" s="1"/>
  <c r="N65" i="4" s="1"/>
  <c r="D66" i="4"/>
  <c r="E66" i="4" s="1"/>
  <c r="G66" i="4" s="1"/>
  <c r="H66" i="4" s="1"/>
  <c r="J66" i="4" s="1"/>
  <c r="K66" i="4" s="1"/>
  <c r="M66" i="4" s="1"/>
  <c r="N66" i="4" s="1"/>
  <c r="P66" i="4" s="1"/>
  <c r="Q66" i="4" s="1"/>
  <c r="D67" i="4"/>
  <c r="E67" i="4" s="1"/>
  <c r="G67" i="4" s="1"/>
  <c r="H67" i="4" s="1"/>
  <c r="J67" i="4" s="1"/>
  <c r="K67" i="4" s="1"/>
  <c r="M67" i="4" s="1"/>
  <c r="N67" i="4" s="1"/>
  <c r="P67" i="4" s="1"/>
  <c r="Q67" i="4" s="1"/>
  <c r="D68" i="4"/>
  <c r="E68" i="4" s="1"/>
  <c r="G68" i="4" s="1"/>
  <c r="H68" i="4" s="1"/>
  <c r="J68" i="4" s="1"/>
  <c r="K68" i="4" s="1"/>
  <c r="M68" i="4" s="1"/>
  <c r="N68" i="4" s="1"/>
  <c r="P68" i="4" s="1"/>
  <c r="Q68" i="4" s="1"/>
  <c r="S68" i="4" s="1"/>
  <c r="T68" i="4" s="1"/>
  <c r="D69" i="4"/>
  <c r="E69" i="4" s="1"/>
  <c r="G69" i="4" s="1"/>
  <c r="H69" i="4" s="1"/>
  <c r="J69" i="4" s="1"/>
  <c r="K69" i="4" s="1"/>
  <c r="M69" i="4" s="1"/>
  <c r="N69" i="4" s="1"/>
  <c r="D70" i="4"/>
  <c r="E70" i="4" s="1"/>
  <c r="G70" i="4" s="1"/>
  <c r="H70" i="4" s="1"/>
  <c r="J70" i="4" s="1"/>
  <c r="K70" i="4" s="1"/>
  <c r="M70" i="4" s="1"/>
  <c r="N70" i="4" s="1"/>
  <c r="P70" i="4" s="1"/>
  <c r="Q70" i="4" s="1"/>
  <c r="S70" i="4" s="1"/>
  <c r="T70" i="4" s="1"/>
  <c r="Y66" i="4"/>
  <c r="Z66" i="4" s="1"/>
  <c r="Y65" i="4"/>
  <c r="Z65" i="4" s="1"/>
  <c r="V65" i="4"/>
  <c r="W65" i="4" s="1"/>
  <c r="Y64" i="4"/>
  <c r="Z64" i="4" s="1"/>
  <c r="Y63" i="4"/>
  <c r="Z63" i="4" s="1"/>
  <c r="P63" i="4"/>
  <c r="Q63" i="4" s="1"/>
  <c r="Y62" i="4"/>
  <c r="Z62" i="4" s="1"/>
  <c r="Y61" i="4"/>
  <c r="Z61" i="4" s="1"/>
  <c r="X71" i="4"/>
  <c r="U71" i="4"/>
  <c r="R71" i="4"/>
  <c r="O71" i="4"/>
  <c r="L71" i="4"/>
  <c r="I71" i="4"/>
  <c r="D61" i="4"/>
  <c r="E61" i="4" s="1"/>
  <c r="G61" i="4" s="1"/>
  <c r="H61" i="4" s="1"/>
  <c r="J61" i="4" s="1"/>
  <c r="K61" i="4" s="1"/>
  <c r="M61" i="4" s="1"/>
  <c r="N61" i="4" s="1"/>
  <c r="P61" i="4" s="1"/>
  <c r="Q61" i="4" s="1"/>
  <c r="S61" i="4" s="1"/>
  <c r="T30" i="1"/>
  <c r="R30" i="1"/>
  <c r="P30" i="1"/>
  <c r="V7" i="4"/>
  <c r="V3" i="4"/>
  <c r="S7" i="4"/>
  <c r="DA19" i="15" l="1"/>
  <c r="DC19" i="15" s="1"/>
  <c r="BD86" i="6" s="1"/>
  <c r="D16" i="17"/>
  <c r="CX25" i="15"/>
  <c r="CV25" i="15"/>
  <c r="CM26" i="15"/>
  <c r="CL26" i="15"/>
  <c r="CO26" i="15" s="1"/>
  <c r="BL86" i="6"/>
  <c r="E17" i="14" s="1"/>
  <c r="D22" i="17"/>
  <c r="CN86" i="6"/>
  <c r="E24" i="14" s="1"/>
  <c r="F24" i="14" s="1"/>
  <c r="AJ86" i="6"/>
  <c r="E10" i="14" s="1"/>
  <c r="CR30" i="15"/>
  <c r="CU30" i="15" s="1"/>
  <c r="D27" i="17"/>
  <c r="E27" i="17" s="1"/>
  <c r="G27" i="17" s="1"/>
  <c r="CR16" i="15"/>
  <c r="CU16" i="15" s="1"/>
  <c r="CR13" i="15"/>
  <c r="CU13" i="15" s="1"/>
  <c r="D10" i="17"/>
  <c r="DA15" i="15"/>
  <c r="DC15" i="15" s="1"/>
  <c r="D31" i="17"/>
  <c r="D33" i="17"/>
  <c r="CX22" i="15"/>
  <c r="CX29" i="15"/>
  <c r="CX12" i="15"/>
  <c r="Q79" i="4"/>
  <c r="S79" i="4" s="1"/>
  <c r="T79" i="4" s="1"/>
  <c r="V64" i="4"/>
  <c r="W64" i="4" s="1"/>
  <c r="Q80" i="4"/>
  <c r="S80" i="4" s="1"/>
  <c r="T80" i="4" s="1"/>
  <c r="Q82" i="4"/>
  <c r="S82" i="4" s="1"/>
  <c r="T82" i="4" s="1"/>
  <c r="V70" i="4"/>
  <c r="W70" i="4" s="1"/>
  <c r="Q78" i="4"/>
  <c r="S78" i="4" s="1"/>
  <c r="T78" i="4" s="1"/>
  <c r="V63" i="4"/>
  <c r="W63" i="4" s="1"/>
  <c r="Q81" i="4"/>
  <c r="S81" i="4" s="1"/>
  <c r="T81" i="4" s="1"/>
  <c r="V66" i="4"/>
  <c r="W66" i="4" s="1"/>
  <c r="V67" i="4"/>
  <c r="W67" i="4" s="1"/>
  <c r="V68" i="4"/>
  <c r="W68" i="4" s="1"/>
  <c r="Q84" i="4"/>
  <c r="S84" i="4" s="1"/>
  <c r="T84" i="4" s="1"/>
  <c r="K91" i="4"/>
  <c r="M91" i="4" s="1"/>
  <c r="J101" i="4"/>
  <c r="Y85" i="4"/>
  <c r="H71" i="4"/>
  <c r="D71" i="4"/>
  <c r="E71" i="4"/>
  <c r="D85" i="4"/>
  <c r="G71" i="4"/>
  <c r="W85" i="4"/>
  <c r="E77" i="4"/>
  <c r="G77" i="4" s="1"/>
  <c r="H77" i="4" s="1"/>
  <c r="V85" i="4"/>
  <c r="Z77" i="4"/>
  <c r="Z85" i="4" s="1"/>
  <c r="M71" i="4"/>
  <c r="N62" i="4"/>
  <c r="T61" i="4"/>
  <c r="Y71" i="4"/>
  <c r="Z71" i="4"/>
  <c r="DA25" i="15" l="1"/>
  <c r="DC25" i="15" s="1"/>
  <c r="G24" i="14"/>
  <c r="H24" i="14"/>
  <c r="CR26" i="15"/>
  <c r="D15" i="17"/>
  <c r="DA22" i="15"/>
  <c r="DC22" i="15" s="1"/>
  <c r="DA12" i="15"/>
  <c r="DC12" i="15" s="1"/>
  <c r="DA29" i="15"/>
  <c r="DC29" i="15" s="1"/>
  <c r="D32" i="17"/>
  <c r="CX30" i="15"/>
  <c r="CX16" i="15"/>
  <c r="CX13" i="15"/>
  <c r="N91" i="4"/>
  <c r="M101" i="4"/>
  <c r="V61" i="4"/>
  <c r="W61" i="4" s="1"/>
  <c r="K101" i="4"/>
  <c r="N71" i="4"/>
  <c r="P62" i="4"/>
  <c r="G85" i="4"/>
  <c r="H85" i="4"/>
  <c r="J77" i="4"/>
  <c r="E85" i="4"/>
  <c r="AA56" i="4"/>
  <c r="X56" i="4"/>
  <c r="U56" i="4"/>
  <c r="R56" i="4"/>
  <c r="O56" i="4"/>
  <c r="L56" i="4"/>
  <c r="I56" i="4"/>
  <c r="F56" i="4"/>
  <c r="AB55" i="4"/>
  <c r="AC55" i="4" s="1"/>
  <c r="AB54" i="4"/>
  <c r="AC54" i="4" s="1"/>
  <c r="AB53" i="4"/>
  <c r="AC53" i="4" s="1"/>
  <c r="W53" i="4"/>
  <c r="Y53" i="4" s="1"/>
  <c r="Z53" i="4" s="1"/>
  <c r="S53" i="4"/>
  <c r="T53" i="4" s="1"/>
  <c r="P53" i="4"/>
  <c r="Q53" i="4" s="1"/>
  <c r="M53" i="4"/>
  <c r="N53" i="4" s="1"/>
  <c r="AB52" i="4"/>
  <c r="AC52" i="4" s="1"/>
  <c r="AB51" i="4"/>
  <c r="AC51" i="4" s="1"/>
  <c r="W51" i="4"/>
  <c r="Y51" i="4" s="1"/>
  <c r="Z51" i="4" s="1"/>
  <c r="S51" i="4"/>
  <c r="T51" i="4" s="1"/>
  <c r="P51" i="4"/>
  <c r="Q51" i="4" s="1"/>
  <c r="AB50" i="4"/>
  <c r="AC50" i="4" s="1"/>
  <c r="AB49" i="4"/>
  <c r="AC49" i="4" s="1"/>
  <c r="C56" i="4"/>
  <c r="D55" i="4"/>
  <c r="E55" i="4" s="1"/>
  <c r="G55" i="4" s="1"/>
  <c r="H55" i="4" s="1"/>
  <c r="J55" i="4" s="1"/>
  <c r="K55" i="4" s="1"/>
  <c r="M55" i="4" s="1"/>
  <c r="N55" i="4" s="1"/>
  <c r="D54" i="4"/>
  <c r="E54" i="4" s="1"/>
  <c r="G54" i="4" s="1"/>
  <c r="H54" i="4" s="1"/>
  <c r="J54" i="4" s="1"/>
  <c r="K54" i="4" s="1"/>
  <c r="M54" i="4" s="1"/>
  <c r="N54" i="4" s="1"/>
  <c r="P54" i="4" s="1"/>
  <c r="Q54" i="4" s="1"/>
  <c r="S54" i="4" s="1"/>
  <c r="T54" i="4" s="1"/>
  <c r="V54" i="4" s="1"/>
  <c r="D53" i="4"/>
  <c r="E53" i="4" s="1"/>
  <c r="G53" i="4" s="1"/>
  <c r="H53" i="4" s="1"/>
  <c r="D52" i="4"/>
  <c r="E52" i="4" s="1"/>
  <c r="G52" i="4" s="1"/>
  <c r="H52" i="4" s="1"/>
  <c r="J52" i="4" s="1"/>
  <c r="K52" i="4" s="1"/>
  <c r="M52" i="4" s="1"/>
  <c r="N52" i="4" s="1"/>
  <c r="P52" i="4" s="1"/>
  <c r="Q52" i="4" s="1"/>
  <c r="S52" i="4" s="1"/>
  <c r="T52" i="4" s="1"/>
  <c r="V52" i="4" s="1"/>
  <c r="D51" i="4"/>
  <c r="E51" i="4" s="1"/>
  <c r="G51" i="4" s="1"/>
  <c r="H51" i="4" s="1"/>
  <c r="J51" i="4" s="1"/>
  <c r="K51" i="4" s="1"/>
  <c r="D50" i="4"/>
  <c r="E50" i="4" s="1"/>
  <c r="G50" i="4" s="1"/>
  <c r="H50" i="4" s="1"/>
  <c r="J50" i="4" s="1"/>
  <c r="K50" i="4" s="1"/>
  <c r="M50" i="4" s="1"/>
  <c r="N50" i="4" s="1"/>
  <c r="P50" i="4" s="1"/>
  <c r="Q50" i="4" s="1"/>
  <c r="S50" i="4" s="1"/>
  <c r="T50" i="4" s="1"/>
  <c r="V50" i="4" s="1"/>
  <c r="D49" i="4"/>
  <c r="E49" i="4" s="1"/>
  <c r="G49" i="4" s="1"/>
  <c r="CB86" i="6" l="1"/>
  <c r="E21" i="14" s="1"/>
  <c r="F21" i="14" s="1"/>
  <c r="H21" i="14" s="1"/>
  <c r="D19" i="17"/>
  <c r="CU26" i="15"/>
  <c r="CX26" i="15" s="1"/>
  <c r="AB86" i="6"/>
  <c r="E8" i="14" s="1"/>
  <c r="D11" i="17"/>
  <c r="AN86" i="6"/>
  <c r="E11" i="14" s="1"/>
  <c r="CR27" i="15"/>
  <c r="CU27" i="15" s="1"/>
  <c r="CR8" i="15"/>
  <c r="CR10" i="15"/>
  <c r="CU10" i="15" s="1"/>
  <c r="CR86" i="6"/>
  <c r="E25" i="14" s="1"/>
  <c r="DA13" i="15"/>
  <c r="DC13" i="15" s="1"/>
  <c r="DA16" i="15"/>
  <c r="DC16" i="15" s="1"/>
  <c r="DC30" i="15"/>
  <c r="CV86" i="6" s="1"/>
  <c r="E26" i="14" s="1"/>
  <c r="F26" i="14" s="1"/>
  <c r="H26" i="14" s="1"/>
  <c r="CR17" i="15"/>
  <c r="CU17" i="15" s="1"/>
  <c r="D8" i="17"/>
  <c r="W50" i="4"/>
  <c r="Y50" i="4" s="1"/>
  <c r="Z50" i="4" s="1"/>
  <c r="W54" i="4"/>
  <c r="Y54" i="4" s="1"/>
  <c r="Z54" i="4" s="1"/>
  <c r="W52" i="4"/>
  <c r="Y52" i="4" s="1"/>
  <c r="Z52" i="4" s="1"/>
  <c r="P91" i="4"/>
  <c r="Q91" i="4" s="1"/>
  <c r="N101" i="4"/>
  <c r="Q62" i="4"/>
  <c r="S62" i="4" s="1"/>
  <c r="T62" i="4" s="1"/>
  <c r="P71" i="4"/>
  <c r="K77" i="4"/>
  <c r="J85" i="4"/>
  <c r="P55" i="4"/>
  <c r="J71" i="4"/>
  <c r="K71" i="4"/>
  <c r="G56" i="4"/>
  <c r="AB56" i="4"/>
  <c r="D56" i="4"/>
  <c r="AC56" i="4"/>
  <c r="H49" i="4"/>
  <c r="E56" i="4"/>
  <c r="CU8" i="15" l="1"/>
  <c r="CX8" i="15" s="1"/>
  <c r="AV86" i="6"/>
  <c r="CV26" i="15"/>
  <c r="D9" i="17"/>
  <c r="G26" i="14"/>
  <c r="F25" i="14"/>
  <c r="H25" i="14" s="1"/>
  <c r="CV87" i="6"/>
  <c r="BP86" i="6"/>
  <c r="E18" i="14" s="1"/>
  <c r="BT87" i="6"/>
  <c r="D23" i="17"/>
  <c r="CR9" i="15"/>
  <c r="CX17" i="15"/>
  <c r="D17" i="17"/>
  <c r="D30" i="17"/>
  <c r="DA26" i="15"/>
  <c r="DC26" i="15" s="1"/>
  <c r="D25" i="17"/>
  <c r="CX27" i="15"/>
  <c r="CX10" i="15"/>
  <c r="P101" i="4"/>
  <c r="S71" i="4"/>
  <c r="K85" i="4"/>
  <c r="M77" i="4"/>
  <c r="Q71" i="4"/>
  <c r="Q55" i="4"/>
  <c r="S55" i="4" s="1"/>
  <c r="T55" i="4" s="1"/>
  <c r="V55" i="4" s="1"/>
  <c r="H56" i="4"/>
  <c r="J49" i="4"/>
  <c r="DA8" i="15" l="1"/>
  <c r="DC8" i="15" s="1"/>
  <c r="D4" i="17" s="1"/>
  <c r="E12" i="14"/>
  <c r="F12" i="14" s="1"/>
  <c r="H12" i="14" s="1"/>
  <c r="AV87" i="6"/>
  <c r="CU9" i="15"/>
  <c r="CX9" i="15" s="1"/>
  <c r="AF86" i="6"/>
  <c r="E9" i="14" s="1"/>
  <c r="DA17" i="15"/>
  <c r="DC17" i="15" s="1"/>
  <c r="CF86" i="6"/>
  <c r="E22" i="14" s="1"/>
  <c r="D12" i="17"/>
  <c r="DA27" i="15"/>
  <c r="DC27" i="15" s="1"/>
  <c r="DA10" i="15"/>
  <c r="DC10" i="15" s="1"/>
  <c r="D20" i="17"/>
  <c r="W55" i="4"/>
  <c r="Y55" i="4" s="1"/>
  <c r="V62" i="4"/>
  <c r="W62" i="4" s="1"/>
  <c r="T71" i="4"/>
  <c r="Q101" i="4"/>
  <c r="N77" i="4"/>
  <c r="P77" i="4" s="1"/>
  <c r="M85" i="4"/>
  <c r="J56" i="4"/>
  <c r="K49" i="4"/>
  <c r="DA9" i="15" l="1"/>
  <c r="DC9" i="15" s="1"/>
  <c r="AR86" i="6"/>
  <c r="E13" i="14" s="1"/>
  <c r="D13" i="17"/>
  <c r="K86" i="6"/>
  <c r="E4" i="14" s="1"/>
  <c r="F22" i="14"/>
  <c r="H22" i="14" s="1"/>
  <c r="S86" i="6"/>
  <c r="G12" i="14"/>
  <c r="Z55" i="4"/>
  <c r="Q77" i="4"/>
  <c r="S77" i="4" s="1"/>
  <c r="T77" i="4" s="1"/>
  <c r="P85" i="4"/>
  <c r="I33" i="13"/>
  <c r="V71" i="4"/>
  <c r="N85" i="4"/>
  <c r="K56" i="4"/>
  <c r="M49" i="4"/>
  <c r="X5" i="12"/>
  <c r="X6" i="12"/>
  <c r="X7" i="12"/>
  <c r="X8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8" i="12"/>
  <c r="X29" i="12"/>
  <c r="X30" i="12"/>
  <c r="X31" i="12"/>
  <c r="X32" i="12"/>
  <c r="X33" i="12"/>
  <c r="X4" i="12"/>
  <c r="W5" i="12"/>
  <c r="W6" i="12"/>
  <c r="W7" i="12"/>
  <c r="W8" i="12"/>
  <c r="W9" i="12"/>
  <c r="X9" i="12" s="1"/>
  <c r="W10" i="12"/>
  <c r="X10" i="12" s="1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X25" i="12" s="1"/>
  <c r="W26" i="12"/>
  <c r="X26" i="12" s="1"/>
  <c r="W27" i="12"/>
  <c r="X27" i="12" s="1"/>
  <c r="W28" i="12"/>
  <c r="W29" i="12"/>
  <c r="W30" i="12"/>
  <c r="W31" i="12"/>
  <c r="W32" i="12"/>
  <c r="W33" i="12"/>
  <c r="W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H34" i="12"/>
  <c r="F34" i="12"/>
  <c r="D34" i="12"/>
  <c r="I34" i="12"/>
  <c r="G34" i="12"/>
  <c r="E34" i="12"/>
  <c r="C34" i="12"/>
  <c r="E6" i="14" l="1"/>
  <c r="S87" i="6"/>
  <c r="O86" i="6"/>
  <c r="E5" i="14" s="1"/>
  <c r="CJ86" i="6"/>
  <c r="E23" i="14" s="1"/>
  <c r="F23" i="14" s="1"/>
  <c r="H23" i="14" s="1"/>
  <c r="D5" i="17"/>
  <c r="D21" i="17"/>
  <c r="D26" i="17"/>
  <c r="D6" i="17"/>
  <c r="W71" i="4"/>
  <c r="Q85" i="4"/>
  <c r="M56" i="4"/>
  <c r="N49" i="4"/>
  <c r="X34" i="12"/>
  <c r="G23" i="14" l="1"/>
  <c r="S85" i="4"/>
  <c r="G33" i="13"/>
  <c r="N56" i="4"/>
  <c r="P49" i="4"/>
  <c r="O8" i="4"/>
  <c r="AE26" i="4"/>
  <c r="AF26" i="4" s="1"/>
  <c r="AE25" i="4"/>
  <c r="AF25" i="4" s="1"/>
  <c r="AE24" i="4"/>
  <c r="AF24" i="4" s="1"/>
  <c r="AE23" i="4"/>
  <c r="AF23" i="4" s="1"/>
  <c r="AE22" i="4"/>
  <c r="AF22" i="4" s="1"/>
  <c r="AE21" i="4"/>
  <c r="AF21" i="4" s="1"/>
  <c r="AE20" i="4"/>
  <c r="AF20" i="4" s="1"/>
  <c r="AE19" i="4"/>
  <c r="AF19" i="4" s="1"/>
  <c r="AE18" i="4"/>
  <c r="AF18" i="4" s="1"/>
  <c r="AE16" i="4"/>
  <c r="AF16" i="4" s="1"/>
  <c r="AE14" i="4"/>
  <c r="AF14" i="4" s="1"/>
  <c r="AE13" i="4"/>
  <c r="AF13" i="4" s="1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Y26" i="4"/>
  <c r="Y25" i="4"/>
  <c r="Y24" i="4"/>
  <c r="Y23" i="4"/>
  <c r="Y22" i="4"/>
  <c r="Y21" i="4"/>
  <c r="Y20" i="4"/>
  <c r="Y19" i="4"/>
  <c r="Y18" i="4"/>
  <c r="Y16" i="4"/>
  <c r="Y13" i="4"/>
  <c r="V16" i="4"/>
  <c r="V18" i="4"/>
  <c r="V19" i="4"/>
  <c r="V20" i="4"/>
  <c r="V21" i="4"/>
  <c r="V22" i="4"/>
  <c r="V23" i="4"/>
  <c r="V24" i="4"/>
  <c r="V25" i="4"/>
  <c r="V26" i="4"/>
  <c r="V13" i="4"/>
  <c r="S26" i="4"/>
  <c r="S25" i="4"/>
  <c r="S23" i="4"/>
  <c r="S22" i="4"/>
  <c r="S21" i="4"/>
  <c r="S20" i="4"/>
  <c r="S19" i="4"/>
  <c r="S18" i="4"/>
  <c r="S16" i="4"/>
  <c r="S13" i="4"/>
  <c r="P25" i="4"/>
  <c r="P23" i="4"/>
  <c r="P22" i="4"/>
  <c r="P20" i="4"/>
  <c r="P16" i="4"/>
  <c r="P13" i="4"/>
  <c r="M25" i="4"/>
  <c r="M23" i="4"/>
  <c r="M22" i="4"/>
  <c r="M20" i="4"/>
  <c r="J20" i="4"/>
  <c r="M41" i="4"/>
  <c r="P35" i="4"/>
  <c r="P40" i="4"/>
  <c r="P41" i="4"/>
  <c r="S35" i="4"/>
  <c r="S36" i="4"/>
  <c r="S37" i="4"/>
  <c r="S39" i="4"/>
  <c r="S40" i="4"/>
  <c r="S41" i="4"/>
  <c r="V35" i="4"/>
  <c r="V36" i="4"/>
  <c r="V37" i="4"/>
  <c r="V39" i="4"/>
  <c r="V40" i="4"/>
  <c r="V41" i="4"/>
  <c r="AB35" i="4"/>
  <c r="AC35" i="4" s="1"/>
  <c r="AB36" i="4"/>
  <c r="AC36" i="4" s="1"/>
  <c r="AB37" i="4"/>
  <c r="AC37" i="4" s="1"/>
  <c r="AB39" i="4"/>
  <c r="AC39" i="4" s="1"/>
  <c r="AB40" i="4"/>
  <c r="AC40" i="4" s="1"/>
  <c r="AB41" i="4"/>
  <c r="AC41" i="4" s="1"/>
  <c r="AB43" i="4"/>
  <c r="AC43" i="4" s="1"/>
  <c r="AE34" i="4"/>
  <c r="AE35" i="4"/>
  <c r="AE36" i="4"/>
  <c r="AE37" i="4"/>
  <c r="AE38" i="4"/>
  <c r="AE39" i="4"/>
  <c r="AE40" i="4"/>
  <c r="AE41" i="4"/>
  <c r="AE42" i="4"/>
  <c r="AE43" i="4"/>
  <c r="AE33" i="4"/>
  <c r="AB33" i="4"/>
  <c r="AC33" i="4" s="1"/>
  <c r="V33" i="4"/>
  <c r="S33" i="4"/>
  <c r="AD44" i="4"/>
  <c r="AA44" i="4"/>
  <c r="X44" i="4"/>
  <c r="U44" i="4"/>
  <c r="R44" i="4"/>
  <c r="O44" i="4"/>
  <c r="L44" i="4"/>
  <c r="I44" i="4"/>
  <c r="F44" i="4"/>
  <c r="C44" i="4"/>
  <c r="D43" i="4"/>
  <c r="E43" i="4" s="1"/>
  <c r="G43" i="4" s="1"/>
  <c r="H43" i="4" s="1"/>
  <c r="J43" i="4" s="1"/>
  <c r="D42" i="4"/>
  <c r="E42" i="4" s="1"/>
  <c r="G42" i="4" s="1"/>
  <c r="H42" i="4" s="1"/>
  <c r="J42" i="4" s="1"/>
  <c r="D41" i="4"/>
  <c r="E41" i="4" s="1"/>
  <c r="G41" i="4" s="1"/>
  <c r="H41" i="4" s="1"/>
  <c r="D40" i="4"/>
  <c r="E40" i="4" s="1"/>
  <c r="G40" i="4" s="1"/>
  <c r="H40" i="4" s="1"/>
  <c r="J40" i="4" s="1"/>
  <c r="D39" i="4"/>
  <c r="E39" i="4" s="1"/>
  <c r="G39" i="4" s="1"/>
  <c r="H39" i="4" s="1"/>
  <c r="J39" i="4" s="1"/>
  <c r="D38" i="4"/>
  <c r="E38" i="4" s="1"/>
  <c r="G38" i="4" s="1"/>
  <c r="H38" i="4" s="1"/>
  <c r="J38" i="4" s="1"/>
  <c r="D37" i="4"/>
  <c r="E37" i="4" s="1"/>
  <c r="G37" i="4" s="1"/>
  <c r="H37" i="4" s="1"/>
  <c r="J37" i="4" s="1"/>
  <c r="D36" i="4"/>
  <c r="E36" i="4" s="1"/>
  <c r="G36" i="4" s="1"/>
  <c r="H36" i="4" s="1"/>
  <c r="J36" i="4" s="1"/>
  <c r="D35" i="4"/>
  <c r="D34" i="4"/>
  <c r="E34" i="4" s="1"/>
  <c r="G34" i="4" s="1"/>
  <c r="H34" i="4" s="1"/>
  <c r="J34" i="4" s="1"/>
  <c r="D33" i="4"/>
  <c r="E33" i="4" s="1"/>
  <c r="G33" i="4" s="1"/>
  <c r="I27" i="4"/>
  <c r="L27" i="4"/>
  <c r="O27" i="4"/>
  <c r="R27" i="4"/>
  <c r="U27" i="4"/>
  <c r="X27" i="4"/>
  <c r="AA27" i="4"/>
  <c r="AD27" i="4"/>
  <c r="AG27" i="4"/>
  <c r="AJ8" i="4"/>
  <c r="AG8" i="4"/>
  <c r="AD8" i="4"/>
  <c r="AA8" i="4"/>
  <c r="X8" i="4"/>
  <c r="U8" i="4"/>
  <c r="R8" i="4"/>
  <c r="L8" i="4"/>
  <c r="F27" i="4"/>
  <c r="C27" i="4"/>
  <c r="D26" i="4"/>
  <c r="E26" i="4" s="1"/>
  <c r="G26" i="4" s="1"/>
  <c r="D25" i="4"/>
  <c r="E25" i="4" s="1"/>
  <c r="G25" i="4" s="1"/>
  <c r="H25" i="4" s="1"/>
  <c r="D24" i="4"/>
  <c r="E24" i="4" s="1"/>
  <c r="G24" i="4" s="1"/>
  <c r="H24" i="4" s="1"/>
  <c r="J24" i="4" s="1"/>
  <c r="D23" i="4"/>
  <c r="E23" i="4" s="1"/>
  <c r="G23" i="4" s="1"/>
  <c r="H23" i="4" s="1"/>
  <c r="D22" i="4"/>
  <c r="E22" i="4" s="1"/>
  <c r="G22" i="4" s="1"/>
  <c r="H22" i="4" s="1"/>
  <c r="D21" i="4"/>
  <c r="E21" i="4" s="1"/>
  <c r="G21" i="4" s="1"/>
  <c r="H21" i="4" s="1"/>
  <c r="J21" i="4" s="1"/>
  <c r="D20" i="4"/>
  <c r="E20" i="4" s="1"/>
  <c r="D19" i="4"/>
  <c r="E19" i="4" s="1"/>
  <c r="G19" i="4" s="1"/>
  <c r="H19" i="4" s="1"/>
  <c r="J19" i="4" s="1"/>
  <c r="D18" i="4"/>
  <c r="E18" i="4" s="1"/>
  <c r="G18" i="4" s="1"/>
  <c r="H18" i="4" s="1"/>
  <c r="D17" i="4"/>
  <c r="E17" i="4" s="1"/>
  <c r="G17" i="4" s="1"/>
  <c r="H17" i="4" s="1"/>
  <c r="J17" i="4" s="1"/>
  <c r="D16" i="4"/>
  <c r="E16" i="4" s="1"/>
  <c r="G16" i="4" s="1"/>
  <c r="H16" i="4" s="1"/>
  <c r="D15" i="4"/>
  <c r="E15" i="4" s="1"/>
  <c r="G15" i="4" s="1"/>
  <c r="H15" i="4" s="1"/>
  <c r="J15" i="4" s="1"/>
  <c r="D14" i="4"/>
  <c r="E14" i="4" s="1"/>
  <c r="D13" i="4"/>
  <c r="E13" i="4" s="1"/>
  <c r="I8" i="4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35" i="10" s="1"/>
  <c r="G8" i="10"/>
  <c r="G7" i="10"/>
  <c r="G6" i="10"/>
  <c r="G5" i="10"/>
  <c r="H33" i="13" l="1"/>
  <c r="T85" i="4"/>
  <c r="Q49" i="4"/>
  <c r="P56" i="4"/>
  <c r="K38" i="4"/>
  <c r="K20" i="4"/>
  <c r="N20" i="4" s="1"/>
  <c r="Q20" i="4"/>
  <c r="T20" i="4" s="1"/>
  <c r="W20" i="4" s="1"/>
  <c r="Z20" i="4" s="1"/>
  <c r="AC20" i="4" s="1"/>
  <c r="AI20" i="4" s="1"/>
  <c r="J16" i="4"/>
  <c r="K16" i="4" s="1"/>
  <c r="K24" i="4"/>
  <c r="K17" i="4"/>
  <c r="M17" i="4" s="1"/>
  <c r="N17" i="4" s="1"/>
  <c r="J18" i="4"/>
  <c r="K18" i="4" s="1"/>
  <c r="M18" i="4" s="1"/>
  <c r="N18" i="4" s="1"/>
  <c r="K36" i="4"/>
  <c r="K19" i="4"/>
  <c r="M19" i="4" s="1"/>
  <c r="N19" i="4" s="1"/>
  <c r="K40" i="4"/>
  <c r="N23" i="4"/>
  <c r="Q23" i="4" s="1"/>
  <c r="T23" i="4" s="1"/>
  <c r="K15" i="4"/>
  <c r="W23" i="4"/>
  <c r="Z23" i="4" s="1"/>
  <c r="AC23" i="4" s="1"/>
  <c r="AI23" i="4" s="1"/>
  <c r="Q16" i="4"/>
  <c r="T16" i="4" s="1"/>
  <c r="W16" i="4" s="1"/>
  <c r="Z16" i="4" s="1"/>
  <c r="AC16" i="4" s="1"/>
  <c r="AI16" i="4" s="1"/>
  <c r="N25" i="4"/>
  <c r="Q25" i="4" s="1"/>
  <c r="T25" i="4" s="1"/>
  <c r="W25" i="4" s="1"/>
  <c r="Z25" i="4" s="1"/>
  <c r="AC25" i="4" s="1"/>
  <c r="AI25" i="4" s="1"/>
  <c r="K21" i="4"/>
  <c r="N22" i="4"/>
  <c r="Q22" i="4" s="1"/>
  <c r="T22" i="4" s="1"/>
  <c r="W22" i="4" s="1"/>
  <c r="Z22" i="4" s="1"/>
  <c r="AC22" i="4" s="1"/>
  <c r="AI22" i="4" s="1"/>
  <c r="N41" i="4"/>
  <c r="Q41" i="4" s="1"/>
  <c r="T40" i="4"/>
  <c r="W40" i="4"/>
  <c r="T41" i="4"/>
  <c r="W41" i="4" s="1"/>
  <c r="W36" i="4"/>
  <c r="Z36" i="4" s="1"/>
  <c r="AF36" i="4" s="1"/>
  <c r="Z40" i="4"/>
  <c r="Z41" i="4"/>
  <c r="AF40" i="4"/>
  <c r="AF41" i="4"/>
  <c r="K37" i="4"/>
  <c r="K39" i="4"/>
  <c r="K34" i="4"/>
  <c r="K42" i="4"/>
  <c r="K43" i="4"/>
  <c r="H33" i="4"/>
  <c r="J33" i="4" s="1"/>
  <c r="D27" i="4"/>
  <c r="E27" i="4"/>
  <c r="D44" i="4"/>
  <c r="E35" i="4"/>
  <c r="H26" i="4"/>
  <c r="J26" i="4" s="1"/>
  <c r="G14" i="4"/>
  <c r="H14" i="4" s="1"/>
  <c r="G13" i="4"/>
  <c r="Q56" i="4" l="1"/>
  <c r="S49" i="4"/>
  <c r="M15" i="4"/>
  <c r="N15" i="4" s="1"/>
  <c r="T18" i="4"/>
  <c r="W18" i="4" s="1"/>
  <c r="Z18" i="4" s="1"/>
  <c r="AC18" i="4" s="1"/>
  <c r="AI18" i="4" s="1"/>
  <c r="M37" i="4"/>
  <c r="N37" i="4" s="1"/>
  <c r="T37" i="4" s="1"/>
  <c r="W37" i="4" s="1"/>
  <c r="Z37" i="4" s="1"/>
  <c r="AF37" i="4" s="1"/>
  <c r="Q40" i="4"/>
  <c r="M24" i="4"/>
  <c r="N24" i="4" s="1"/>
  <c r="P24" i="4" s="1"/>
  <c r="Q24" i="4" s="1"/>
  <c r="W24" i="4" s="1"/>
  <c r="Z24" i="4" s="1"/>
  <c r="AC24" i="4" s="1"/>
  <c r="AI24" i="4" s="1"/>
  <c r="M34" i="4"/>
  <c r="N34" i="4" s="1"/>
  <c r="M21" i="4"/>
  <c r="N21" i="4" s="1"/>
  <c r="M38" i="4"/>
  <c r="N38" i="4" s="1"/>
  <c r="P38" i="4" s="1"/>
  <c r="Q38" i="4" s="1"/>
  <c r="T39" i="4"/>
  <c r="W39" i="4" s="1"/>
  <c r="Z39" i="4" s="1"/>
  <c r="AF39" i="4" s="1"/>
  <c r="T19" i="4"/>
  <c r="W19" i="4" s="1"/>
  <c r="Z19" i="4" s="1"/>
  <c r="AC19" i="4" s="1"/>
  <c r="AI19" i="4" s="1"/>
  <c r="M42" i="4"/>
  <c r="N42" i="4" s="1"/>
  <c r="M43" i="4"/>
  <c r="N43" i="4" s="1"/>
  <c r="M36" i="4"/>
  <c r="N36" i="4" s="1"/>
  <c r="T36" i="4" s="1"/>
  <c r="P17" i="4"/>
  <c r="J14" i="4"/>
  <c r="K14" i="4" s="1"/>
  <c r="E44" i="4"/>
  <c r="G35" i="4"/>
  <c r="G27" i="4"/>
  <c r="K26" i="4"/>
  <c r="H13" i="4"/>
  <c r="J13" i="4" s="1"/>
  <c r="P43" i="4" l="1"/>
  <c r="Q43" i="4" s="1"/>
  <c r="T49" i="4"/>
  <c r="V49" i="4" s="1"/>
  <c r="S56" i="4"/>
  <c r="Z43" i="4"/>
  <c r="AF43" i="4" s="1"/>
  <c r="P15" i="4"/>
  <c r="Q15" i="4" s="1"/>
  <c r="S38" i="4"/>
  <c r="T38" i="4" s="1"/>
  <c r="V38" i="4" s="1"/>
  <c r="W38" i="4" s="1"/>
  <c r="Y38" i="4" s="1"/>
  <c r="P42" i="4"/>
  <c r="Q42" i="4" s="1"/>
  <c r="Q17" i="4"/>
  <c r="P34" i="4"/>
  <c r="Q34" i="4" s="1"/>
  <c r="T21" i="4"/>
  <c r="W21" i="4" s="1"/>
  <c r="Z21" i="4" s="1"/>
  <c r="AC21" i="4" s="1"/>
  <c r="AI21" i="4" s="1"/>
  <c r="M14" i="4"/>
  <c r="N14" i="4" s="1"/>
  <c r="M26" i="4"/>
  <c r="N26" i="4" s="1"/>
  <c r="H35" i="4"/>
  <c r="J35" i="4" s="1"/>
  <c r="G44" i="4"/>
  <c r="K33" i="4"/>
  <c r="M33" i="4" s="1"/>
  <c r="J27" i="4"/>
  <c r="K13" i="4"/>
  <c r="H27" i="4"/>
  <c r="S35" i="10"/>
  <c r="S36" i="10" s="1"/>
  <c r="R35" i="10"/>
  <c r="R36" i="10" s="1"/>
  <c r="Q35" i="10"/>
  <c r="Q36" i="10" s="1"/>
  <c r="P35" i="10"/>
  <c r="P36" i="10" s="1"/>
  <c r="O35" i="10"/>
  <c r="O36" i="10" s="1"/>
  <c r="N35" i="10"/>
  <c r="N36" i="10" s="1"/>
  <c r="D35" i="10"/>
  <c r="C35" i="10"/>
  <c r="B35" i="10"/>
  <c r="T34" i="10"/>
  <c r="I34" i="10"/>
  <c r="E34" i="10"/>
  <c r="T33" i="10"/>
  <c r="I33" i="10"/>
  <c r="E33" i="10"/>
  <c r="T32" i="10"/>
  <c r="I32" i="10"/>
  <c r="E32" i="10"/>
  <c r="T31" i="10"/>
  <c r="I31" i="10"/>
  <c r="E31" i="10"/>
  <c r="T30" i="10"/>
  <c r="I30" i="10"/>
  <c r="E30" i="10"/>
  <c r="T29" i="10"/>
  <c r="I29" i="10"/>
  <c r="E29" i="10"/>
  <c r="T28" i="10"/>
  <c r="I28" i="10"/>
  <c r="E28" i="10"/>
  <c r="T27" i="10"/>
  <c r="I27" i="10"/>
  <c r="E27" i="10"/>
  <c r="T26" i="10"/>
  <c r="I26" i="10"/>
  <c r="E26" i="10"/>
  <c r="T25" i="10"/>
  <c r="I25" i="10"/>
  <c r="E25" i="10"/>
  <c r="T24" i="10"/>
  <c r="I24" i="10"/>
  <c r="E24" i="10"/>
  <c r="T23" i="10"/>
  <c r="I23" i="10"/>
  <c r="E23" i="10"/>
  <c r="T22" i="10"/>
  <c r="I22" i="10"/>
  <c r="E22" i="10"/>
  <c r="T21" i="10"/>
  <c r="I21" i="10"/>
  <c r="E21" i="10"/>
  <c r="T20" i="10"/>
  <c r="I20" i="10"/>
  <c r="E20" i="10"/>
  <c r="T19" i="10"/>
  <c r="I19" i="10"/>
  <c r="E19" i="10"/>
  <c r="T18" i="10"/>
  <c r="I18" i="10"/>
  <c r="E18" i="10"/>
  <c r="T17" i="10"/>
  <c r="I17" i="10"/>
  <c r="E17" i="10"/>
  <c r="T16" i="10"/>
  <c r="I16" i="10"/>
  <c r="E16" i="10"/>
  <c r="T15" i="10"/>
  <c r="I15" i="10"/>
  <c r="E15" i="10"/>
  <c r="T14" i="10"/>
  <c r="I14" i="10"/>
  <c r="E14" i="10"/>
  <c r="T13" i="10"/>
  <c r="I13" i="10"/>
  <c r="E13" i="10"/>
  <c r="T12" i="10"/>
  <c r="I12" i="10"/>
  <c r="E12" i="10"/>
  <c r="T11" i="10"/>
  <c r="I11" i="10"/>
  <c r="E11" i="10"/>
  <c r="T10" i="10"/>
  <c r="I10" i="10"/>
  <c r="E10" i="10"/>
  <c r="T9" i="10"/>
  <c r="I9" i="10"/>
  <c r="E9" i="10"/>
  <c r="T8" i="10"/>
  <c r="I8" i="10"/>
  <c r="E8" i="10"/>
  <c r="T7" i="10"/>
  <c r="I7" i="10"/>
  <c r="E7" i="10"/>
  <c r="T6" i="10"/>
  <c r="I6" i="10"/>
  <c r="E6" i="10"/>
  <c r="T5" i="10"/>
  <c r="I5" i="10"/>
  <c r="L35" i="10" s="1"/>
  <c r="L36" i="10" s="1"/>
  <c r="E5" i="10"/>
  <c r="T4" i="10"/>
  <c r="T3" i="10"/>
  <c r="F8" i="4"/>
  <c r="W49" i="4" l="1"/>
  <c r="V56" i="4"/>
  <c r="S43" i="4"/>
  <c r="T43" i="4" s="1"/>
  <c r="Z38" i="4"/>
  <c r="AB38" i="4" s="1"/>
  <c r="T56" i="4"/>
  <c r="S15" i="4"/>
  <c r="T15" i="4" s="1"/>
  <c r="V15" i="4" s="1"/>
  <c r="W15" i="4" s="1"/>
  <c r="S42" i="4"/>
  <c r="T42" i="4" s="1"/>
  <c r="S34" i="4"/>
  <c r="T34" i="4" s="1"/>
  <c r="S17" i="4"/>
  <c r="T17" i="4" s="1"/>
  <c r="P14" i="4"/>
  <c r="Q14" i="4" s="1"/>
  <c r="T26" i="4"/>
  <c r="W26" i="4" s="1"/>
  <c r="Z26" i="4" s="1"/>
  <c r="AC26" i="4" s="1"/>
  <c r="AI26" i="4" s="1"/>
  <c r="H44" i="4"/>
  <c r="K27" i="4"/>
  <c r="U13" i="10"/>
  <c r="U21" i="10"/>
  <c r="U29" i="10"/>
  <c r="U5" i="10"/>
  <c r="U12" i="10"/>
  <c r="J35" i="10"/>
  <c r="J36" i="10" s="1"/>
  <c r="U14" i="10"/>
  <c r="U30" i="10"/>
  <c r="U33" i="10"/>
  <c r="K35" i="10"/>
  <c r="K36" i="10" s="1"/>
  <c r="U11" i="10"/>
  <c r="U15" i="10"/>
  <c r="U23" i="10"/>
  <c r="U31" i="10"/>
  <c r="U18" i="10"/>
  <c r="U19" i="10"/>
  <c r="U27" i="10"/>
  <c r="U9" i="10"/>
  <c r="U25" i="10"/>
  <c r="M35" i="10"/>
  <c r="M36" i="10" s="1"/>
  <c r="U7" i="10"/>
  <c r="U17" i="10"/>
  <c r="U10" i="10"/>
  <c r="U20" i="10"/>
  <c r="U34" i="10"/>
  <c r="U16" i="10"/>
  <c r="U32" i="10"/>
  <c r="U26" i="10"/>
  <c r="U8" i="10"/>
  <c r="U24" i="10"/>
  <c r="U6" i="10"/>
  <c r="U22" i="10"/>
  <c r="E35" i="10"/>
  <c r="U28" i="10"/>
  <c r="T35" i="10"/>
  <c r="T36" i="10" s="1"/>
  <c r="AF38" i="4" l="1"/>
  <c r="AC38" i="4"/>
  <c r="Y49" i="4"/>
  <c r="Z49" i="4" s="1"/>
  <c r="W56" i="4"/>
  <c r="Y15" i="4"/>
  <c r="Z15" i="4" s="1"/>
  <c r="AB15" i="4" s="1"/>
  <c r="V42" i="4"/>
  <c r="W42" i="4" s="1"/>
  <c r="Y42" i="4" s="1"/>
  <c r="V34" i="4"/>
  <c r="W34" i="4" s="1"/>
  <c r="Y34" i="4" s="1"/>
  <c r="S14" i="4"/>
  <c r="T14" i="4" s="1"/>
  <c r="V17" i="4"/>
  <c r="W17" i="4" s="1"/>
  <c r="Y17" i="4" s="1"/>
  <c r="K35" i="4"/>
  <c r="J44" i="4"/>
  <c r="N33" i="4"/>
  <c r="M27" i="4"/>
  <c r="U35" i="10"/>
  <c r="Y56" i="4" l="1"/>
  <c r="Z42" i="4"/>
  <c r="AC15" i="4"/>
  <c r="Z34" i="4"/>
  <c r="Z17" i="4"/>
  <c r="AB17" i="4" s="1"/>
  <c r="V14" i="4"/>
  <c r="W14" i="4" s="1"/>
  <c r="K44" i="4"/>
  <c r="N27" i="4"/>
  <c r="C8" i="4"/>
  <c r="D7" i="4"/>
  <c r="E7" i="4" s="1"/>
  <c r="G7" i="4" s="1"/>
  <c r="H7" i="4" s="1"/>
  <c r="J7" i="4" s="1"/>
  <c r="K7" i="4" s="1"/>
  <c r="D6" i="4"/>
  <c r="E6" i="4" s="1"/>
  <c r="G6" i="4" s="1"/>
  <c r="H6" i="4" s="1"/>
  <c r="J6" i="4" s="1"/>
  <c r="K6" i="4" s="1"/>
  <c r="D5" i="4"/>
  <c r="E5" i="4" s="1"/>
  <c r="G5" i="4" s="1"/>
  <c r="H5" i="4" s="1"/>
  <c r="J5" i="4" s="1"/>
  <c r="K5" i="4" s="1"/>
  <c r="D4" i="4"/>
  <c r="E4" i="4" s="1"/>
  <c r="G4" i="4" s="1"/>
  <c r="H4" i="4" s="1"/>
  <c r="J4" i="4" s="1"/>
  <c r="K4" i="4" s="1"/>
  <c r="D3" i="4"/>
  <c r="Y4" i="1"/>
  <c r="Y7" i="1"/>
  <c r="Y27" i="1"/>
  <c r="Y11" i="1"/>
  <c r="Y23" i="1"/>
  <c r="F54" i="9" s="1"/>
  <c r="Y6" i="1"/>
  <c r="Z56" i="4" l="1"/>
  <c r="AE15" i="4"/>
  <c r="AF15" i="4" s="1"/>
  <c r="AI15" i="4"/>
  <c r="AB42" i="4"/>
  <c r="AC42" i="4" s="1"/>
  <c r="AB34" i="4"/>
  <c r="AC34" i="4" s="1"/>
  <c r="AC17" i="4"/>
  <c r="Y14" i="4"/>
  <c r="Z14" i="4" s="1"/>
  <c r="CK48" i="6"/>
  <c r="CK39" i="6"/>
  <c r="CJ56" i="6"/>
  <c r="CJ57" i="6" s="1"/>
  <c r="CJ17" i="6"/>
  <c r="CK18" i="6" s="1"/>
  <c r="CK5" i="6"/>
  <c r="CK29" i="6"/>
  <c r="CO48" i="6"/>
  <c r="CO39" i="6"/>
  <c r="CN56" i="6"/>
  <c r="CO57" i="6" s="1"/>
  <c r="CN5" i="6"/>
  <c r="CN29" i="6"/>
  <c r="CS56" i="6"/>
  <c r="CS39" i="6"/>
  <c r="CS48" i="6"/>
  <c r="CR17" i="6"/>
  <c r="CR5" i="6"/>
  <c r="CS29" i="6"/>
  <c r="M6" i="4"/>
  <c r="N6" i="4" s="1"/>
  <c r="M7" i="4"/>
  <c r="N7" i="4" s="1"/>
  <c r="M4" i="4"/>
  <c r="N4" i="4" s="1"/>
  <c r="M5" i="4"/>
  <c r="N5" i="4" s="1"/>
  <c r="M44" i="4"/>
  <c r="P27" i="4"/>
  <c r="Q13" i="4"/>
  <c r="D8" i="4"/>
  <c r="E3" i="4"/>
  <c r="G3" i="4" s="1"/>
  <c r="H3" i="4" s="1"/>
  <c r="CR78" i="6"/>
  <c r="CO69" i="6"/>
  <c r="CO74" i="6"/>
  <c r="CK69" i="6"/>
  <c r="CJ74" i="6"/>
  <c r="CK75" i="6" s="1"/>
  <c r="AF42" i="4" l="1"/>
  <c r="AF34" i="4"/>
  <c r="F33" i="13"/>
  <c r="AE17" i="4"/>
  <c r="AF17" i="4" s="1"/>
  <c r="AI14" i="4"/>
  <c r="CS17" i="6"/>
  <c r="CO5" i="6"/>
  <c r="CO56" i="6"/>
  <c r="CS5" i="6"/>
  <c r="CR39" i="6"/>
  <c r="CS40" i="6" s="1"/>
  <c r="CO29" i="6"/>
  <c r="CK63" i="6"/>
  <c r="CJ63" i="6"/>
  <c r="CS63" i="6"/>
  <c r="CR63" i="6"/>
  <c r="CN63" i="6"/>
  <c r="CO63" i="6"/>
  <c r="P5" i="4"/>
  <c r="Q5" i="4" s="1"/>
  <c r="T7" i="4"/>
  <c r="W7" i="4" s="1"/>
  <c r="Z7" i="4" s="1"/>
  <c r="AB7" i="4" s="1"/>
  <c r="AC7" i="4" s="1"/>
  <c r="AE7" i="4" s="1"/>
  <c r="P6" i="4"/>
  <c r="Q6" i="4" s="1"/>
  <c r="P4" i="4"/>
  <c r="Q4" i="4" s="1"/>
  <c r="N44" i="4"/>
  <c r="Q27" i="4"/>
  <c r="G8" i="4"/>
  <c r="E8" i="4"/>
  <c r="J3" i="4"/>
  <c r="H8" i="4"/>
  <c r="CN48" i="6"/>
  <c r="CO49" i="6" s="1"/>
  <c r="CN57" i="6"/>
  <c r="CO58" i="6" s="1"/>
  <c r="CK57" i="6"/>
  <c r="CR48" i="6"/>
  <c r="CS49" i="6" s="1"/>
  <c r="CK56" i="6"/>
  <c r="CN39" i="6"/>
  <c r="CO40" i="6" s="1"/>
  <c r="CR29" i="6"/>
  <c r="CR30" i="6" s="1"/>
  <c r="CS78" i="6"/>
  <c r="CR56" i="6"/>
  <c r="CS57" i="6" s="1"/>
  <c r="CS69" i="6"/>
  <c r="CR69" i="6"/>
  <c r="CS74" i="6"/>
  <c r="CR74" i="6"/>
  <c r="CR6" i="6"/>
  <c r="CS6" i="6"/>
  <c r="CR82" i="6"/>
  <c r="CR81" i="6" s="1"/>
  <c r="CS18" i="6"/>
  <c r="CR18" i="6"/>
  <c r="CO17" i="6"/>
  <c r="CN17" i="6"/>
  <c r="CN82" i="6"/>
  <c r="CN81" i="6" s="1"/>
  <c r="CN69" i="6"/>
  <c r="CO70" i="6" s="1"/>
  <c r="CN78" i="6"/>
  <c r="CO78" i="6"/>
  <c r="CN74" i="6"/>
  <c r="CO75" i="6" s="1"/>
  <c r="CJ75" i="6"/>
  <c r="CJ5" i="6"/>
  <c r="CJ6" i="6" s="1"/>
  <c r="CK74" i="6"/>
  <c r="CJ69" i="6"/>
  <c r="CK70" i="6" s="1"/>
  <c r="CJ48" i="6"/>
  <c r="CJ49" i="6" s="1"/>
  <c r="CK17" i="6"/>
  <c r="CJ78" i="6"/>
  <c r="CK78" i="6"/>
  <c r="CJ29" i="6"/>
  <c r="CK30" i="6" s="1"/>
  <c r="CJ82" i="6"/>
  <c r="CJ81" i="6" s="1"/>
  <c r="CJ18" i="6"/>
  <c r="CK19" i="6" s="1"/>
  <c r="CJ39" i="6"/>
  <c r="CJ40" i="6" s="1"/>
  <c r="CO30" i="6"/>
  <c r="CN30" i="6"/>
  <c r="CO6" i="6"/>
  <c r="CN6" i="6"/>
  <c r="CK58" i="6"/>
  <c r="CJ58" i="6"/>
  <c r="AF7" i="4" l="1"/>
  <c r="AH7" i="4" s="1"/>
  <c r="E33" i="13"/>
  <c r="AI17" i="4"/>
  <c r="CR40" i="6"/>
  <c r="CS41" i="6" s="1"/>
  <c r="CK64" i="6"/>
  <c r="CJ64" i="6"/>
  <c r="CO64" i="6"/>
  <c r="CN64" i="6"/>
  <c r="CS64" i="6"/>
  <c r="CR64" i="6"/>
  <c r="S4" i="4"/>
  <c r="T4" i="4" s="1"/>
  <c r="S6" i="4"/>
  <c r="T6" i="4" s="1"/>
  <c r="S5" i="4"/>
  <c r="T5" i="4" s="1"/>
  <c r="Z5" i="4" s="1"/>
  <c r="AB5" i="4" s="1"/>
  <c r="AC5" i="4" s="1"/>
  <c r="AE5" i="4" s="1"/>
  <c r="Q35" i="4"/>
  <c r="P44" i="4"/>
  <c r="T33" i="4"/>
  <c r="S27" i="4"/>
  <c r="T13" i="4"/>
  <c r="CN58" i="6"/>
  <c r="CO59" i="6" s="1"/>
  <c r="J8" i="4"/>
  <c r="K3" i="4"/>
  <c r="M3" i="4" s="1"/>
  <c r="CR57" i="6"/>
  <c r="CS58" i="6" s="1"/>
  <c r="CN49" i="6"/>
  <c r="CO50" i="6" s="1"/>
  <c r="CN40" i="6"/>
  <c r="CN41" i="6" s="1"/>
  <c r="CK49" i="6"/>
  <c r="CN70" i="6"/>
  <c r="CN71" i="6" s="1"/>
  <c r="CJ70" i="6"/>
  <c r="CJ71" i="6" s="1"/>
  <c r="CR49" i="6"/>
  <c r="CR50" i="6" s="1"/>
  <c r="CJ30" i="6"/>
  <c r="CJ31" i="6" s="1"/>
  <c r="CK6" i="6"/>
  <c r="CS30" i="6"/>
  <c r="CS19" i="6"/>
  <c r="CR19" i="6"/>
  <c r="CR7" i="6"/>
  <c r="CS7" i="6"/>
  <c r="CS75" i="6"/>
  <c r="CR75" i="6"/>
  <c r="CS31" i="6"/>
  <c r="CR31" i="6"/>
  <c r="CS70" i="6"/>
  <c r="CR70" i="6"/>
  <c r="CN75" i="6"/>
  <c r="CO18" i="6"/>
  <c r="CN18" i="6"/>
  <c r="CK40" i="6"/>
  <c r="CJ19" i="6"/>
  <c r="CJ20" i="6" s="1"/>
  <c r="CN7" i="6"/>
  <c r="CO7" i="6"/>
  <c r="CN31" i="6"/>
  <c r="CO31" i="6"/>
  <c r="CJ50" i="6"/>
  <c r="CK50" i="6"/>
  <c r="CK41" i="6"/>
  <c r="CJ41" i="6"/>
  <c r="CK59" i="6"/>
  <c r="CJ59" i="6"/>
  <c r="CJ7" i="6"/>
  <c r="CK7" i="6"/>
  <c r="AK7" i="4" l="1"/>
  <c r="AL7" i="4" s="1"/>
  <c r="AI7" i="4"/>
  <c r="D33" i="13"/>
  <c r="AF5" i="4"/>
  <c r="AH5" i="4" s="1"/>
  <c r="V4" i="4"/>
  <c r="W4" i="4" s="1"/>
  <c r="AB4" i="4" s="1"/>
  <c r="AC4" i="4" s="1"/>
  <c r="AE4" i="4" s="1"/>
  <c r="V6" i="4"/>
  <c r="W6" i="4" s="1"/>
  <c r="CR41" i="6"/>
  <c r="CR42" i="6" s="1"/>
  <c r="CN50" i="6"/>
  <c r="CN51" i="6" s="1"/>
  <c r="CS65" i="6"/>
  <c r="CR65" i="6"/>
  <c r="CO65" i="6"/>
  <c r="CN65" i="6"/>
  <c r="CK65" i="6"/>
  <c r="CJ65" i="6"/>
  <c r="CN59" i="6"/>
  <c r="CN60" i="6" s="1"/>
  <c r="Q44" i="4"/>
  <c r="K8" i="4"/>
  <c r="T27" i="4"/>
  <c r="CO41" i="6"/>
  <c r="CR58" i="6"/>
  <c r="CR59" i="6" s="1"/>
  <c r="CS50" i="6"/>
  <c r="CK20" i="6"/>
  <c r="CK71" i="6"/>
  <c r="CO71" i="6"/>
  <c r="CK31" i="6"/>
  <c r="CS51" i="6"/>
  <c r="CR51" i="6"/>
  <c r="CS32" i="6"/>
  <c r="CR32" i="6"/>
  <c r="CS20" i="6"/>
  <c r="CR20" i="6"/>
  <c r="CR71" i="6"/>
  <c r="CS71" i="6"/>
  <c r="CS8" i="6"/>
  <c r="CR8" i="6"/>
  <c r="CO19" i="6"/>
  <c r="CN19" i="6"/>
  <c r="CO32" i="6"/>
  <c r="CN32" i="6"/>
  <c r="CN42" i="6"/>
  <c r="CO42" i="6"/>
  <c r="CO8" i="6"/>
  <c r="CN8" i="6"/>
  <c r="CJ21" i="6"/>
  <c r="CK21" i="6"/>
  <c r="CK60" i="6"/>
  <c r="CJ60" i="6"/>
  <c r="CK42" i="6"/>
  <c r="CJ42" i="6"/>
  <c r="CK32" i="6"/>
  <c r="CJ32" i="6"/>
  <c r="CJ8" i="6"/>
  <c r="CK8" i="6"/>
  <c r="CK51" i="6"/>
  <c r="CJ51" i="6"/>
  <c r="AI5" i="4" l="1"/>
  <c r="AK5" i="4" s="1"/>
  <c r="AL5" i="4" s="1"/>
  <c r="AF4" i="4"/>
  <c r="AH4" i="4" s="1"/>
  <c r="Y6" i="4"/>
  <c r="Z6" i="4" s="1"/>
  <c r="CS42" i="6"/>
  <c r="CO60" i="6"/>
  <c r="CO51" i="6"/>
  <c r="CR66" i="6"/>
  <c r="CS66" i="6"/>
  <c r="CJ66" i="6"/>
  <c r="CK66" i="6"/>
  <c r="CN66" i="6"/>
  <c r="CO66" i="6"/>
  <c r="CS59" i="6"/>
  <c r="T35" i="4"/>
  <c r="S44" i="4"/>
  <c r="W33" i="4"/>
  <c r="V27" i="4"/>
  <c r="W13" i="4"/>
  <c r="N3" i="4"/>
  <c r="P3" i="4" s="1"/>
  <c r="M8" i="4"/>
  <c r="CS33" i="6"/>
  <c r="CR33" i="6"/>
  <c r="CS52" i="6"/>
  <c r="CR52" i="6"/>
  <c r="CS43" i="6"/>
  <c r="CR43" i="6"/>
  <c r="CS9" i="6"/>
  <c r="CR9" i="6"/>
  <c r="CS21" i="6"/>
  <c r="CR21" i="6"/>
  <c r="CS60" i="6"/>
  <c r="CR60" i="6"/>
  <c r="CO20" i="6"/>
  <c r="CN20" i="6"/>
  <c r="CO9" i="6"/>
  <c r="CN9" i="6"/>
  <c r="CO43" i="6"/>
  <c r="CN43" i="6"/>
  <c r="CO33" i="6"/>
  <c r="CN33" i="6"/>
  <c r="CO52" i="6"/>
  <c r="CN52" i="6"/>
  <c r="CJ9" i="6"/>
  <c r="CK9" i="6"/>
  <c r="CK33" i="6"/>
  <c r="CJ33" i="6"/>
  <c r="CK22" i="6"/>
  <c r="CJ22" i="6"/>
  <c r="CK43" i="6"/>
  <c r="CJ43" i="6"/>
  <c r="CK52" i="6"/>
  <c r="CJ52" i="6"/>
  <c r="AI4" i="4" l="1"/>
  <c r="AK4" i="4" s="1"/>
  <c r="AL4" i="4" s="1"/>
  <c r="AB6" i="4"/>
  <c r="AC6" i="4" s="1"/>
  <c r="AE6" i="4" s="1"/>
  <c r="T44" i="4"/>
  <c r="N8" i="4"/>
  <c r="W27" i="4"/>
  <c r="CS10" i="6"/>
  <c r="CR10" i="6"/>
  <c r="CR44" i="6"/>
  <c r="CS44" i="6"/>
  <c r="CS53" i="6"/>
  <c r="CR53" i="6"/>
  <c r="CR34" i="6"/>
  <c r="CS34" i="6"/>
  <c r="CS22" i="6"/>
  <c r="CR22" i="6"/>
  <c r="CO21" i="6"/>
  <c r="CN21" i="6"/>
  <c r="CO53" i="6"/>
  <c r="CN53" i="6"/>
  <c r="CO10" i="6"/>
  <c r="CN10" i="6"/>
  <c r="CO34" i="6"/>
  <c r="CN34" i="6"/>
  <c r="CO44" i="6"/>
  <c r="CN44" i="6"/>
  <c r="CK53" i="6"/>
  <c r="CJ53" i="6"/>
  <c r="CK10" i="6"/>
  <c r="CJ10" i="6"/>
  <c r="CJ44" i="6"/>
  <c r="CK44" i="6"/>
  <c r="CK23" i="6"/>
  <c r="CJ23" i="6"/>
  <c r="CK34" i="6"/>
  <c r="CJ34" i="6"/>
  <c r="G30" i="1"/>
  <c r="E30" i="1"/>
  <c r="I30" i="1"/>
  <c r="AF6" i="4" l="1"/>
  <c r="AH6" i="4" s="1"/>
  <c r="AI6" i="4" s="1"/>
  <c r="W35" i="4"/>
  <c r="V44" i="4"/>
  <c r="Z33" i="4"/>
  <c r="Y27" i="4"/>
  <c r="Z13" i="4"/>
  <c r="P8" i="4"/>
  <c r="Q3" i="4"/>
  <c r="CS35" i="6"/>
  <c r="CR35" i="6"/>
  <c r="CS45" i="6"/>
  <c r="CR45" i="6"/>
  <c r="CS23" i="6"/>
  <c r="CR23" i="6"/>
  <c r="CR11" i="6"/>
  <c r="CS11" i="6"/>
  <c r="CN22" i="6"/>
  <c r="CO22" i="6"/>
  <c r="CN35" i="6"/>
  <c r="CO35" i="6"/>
  <c r="CN45" i="6"/>
  <c r="CO45" i="6"/>
  <c r="CN11" i="6"/>
  <c r="CO11" i="6"/>
  <c r="CJ24" i="6"/>
  <c r="CK24" i="6"/>
  <c r="CK45" i="6"/>
  <c r="CJ45" i="6"/>
  <c r="CK11" i="6"/>
  <c r="CJ11" i="6"/>
  <c r="CK35" i="6"/>
  <c r="CJ35" i="6"/>
  <c r="AK6" i="4" l="1"/>
  <c r="AL6" i="4" s="1"/>
  <c r="W44" i="4"/>
  <c r="Q8" i="4"/>
  <c r="Z27" i="4"/>
  <c r="CS36" i="6"/>
  <c r="CR36" i="6"/>
  <c r="CS12" i="6"/>
  <c r="CR12" i="6"/>
  <c r="CR24" i="6"/>
  <c r="CS24" i="6"/>
  <c r="CO23" i="6"/>
  <c r="CN23" i="6"/>
  <c r="CO36" i="6"/>
  <c r="CN36" i="6"/>
  <c r="CO12" i="6"/>
  <c r="CN12" i="6"/>
  <c r="CK36" i="6"/>
  <c r="CJ36" i="6"/>
  <c r="CK25" i="6"/>
  <c r="CJ25" i="6"/>
  <c r="CJ12" i="6"/>
  <c r="CK12" i="6"/>
  <c r="CG78" i="6"/>
  <c r="CC78" i="6"/>
  <c r="BQ78" i="6"/>
  <c r="BL78" i="6"/>
  <c r="CG74" i="6"/>
  <c r="CB74" i="6"/>
  <c r="CC75" i="6" s="1"/>
  <c r="BQ74" i="6"/>
  <c r="BM74" i="6"/>
  <c r="CG69" i="6"/>
  <c r="CC69" i="6"/>
  <c r="BQ69" i="6"/>
  <c r="BM69" i="6"/>
  <c r="CC63" i="6"/>
  <c r="BQ63" i="6"/>
  <c r="BM63" i="6"/>
  <c r="CF56" i="6"/>
  <c r="CB56" i="6"/>
  <c r="BP56" i="6"/>
  <c r="BQ57" i="6" s="1"/>
  <c r="CG48" i="6"/>
  <c r="CC48" i="6"/>
  <c r="BP48" i="6"/>
  <c r="BP49" i="6" s="1"/>
  <c r="BP50" i="6" s="1"/>
  <c r="BM48" i="6"/>
  <c r="CG39" i="6"/>
  <c r="CC39" i="6"/>
  <c r="BP39" i="6"/>
  <c r="BQ40" i="6" s="1"/>
  <c r="BM39" i="6"/>
  <c r="CG29" i="6"/>
  <c r="CB29" i="6"/>
  <c r="CC30" i="6" s="1"/>
  <c r="BP29" i="6"/>
  <c r="BP30" i="6" s="1"/>
  <c r="BP31" i="6" s="1"/>
  <c r="BL29" i="6"/>
  <c r="BM30" i="6" s="1"/>
  <c r="CF17" i="6"/>
  <c r="CG18" i="6" s="1"/>
  <c r="CC17" i="6"/>
  <c r="BP17" i="6"/>
  <c r="BP18" i="6" s="1"/>
  <c r="BL17" i="6"/>
  <c r="BM18" i="6" s="1"/>
  <c r="CG5" i="6"/>
  <c r="CC5" i="6"/>
  <c r="BP5" i="6"/>
  <c r="BQ6" i="6" s="1"/>
  <c r="BM5" i="6"/>
  <c r="CG63" i="6"/>
  <c r="CF63" i="6"/>
  <c r="CG64" i="6" s="1"/>
  <c r="BM56" i="6"/>
  <c r="BL56" i="6"/>
  <c r="BL57" i="6" s="1"/>
  <c r="BM58" i="6" s="1"/>
  <c r="C33" i="13" l="1"/>
  <c r="M33" i="13" s="1"/>
  <c r="BM57" i="6"/>
  <c r="Z35" i="4"/>
  <c r="Y44" i="4"/>
  <c r="S8" i="4"/>
  <c r="AB27" i="4"/>
  <c r="AC13" i="4"/>
  <c r="CS25" i="6"/>
  <c r="CR25" i="6"/>
  <c r="CS13" i="6"/>
  <c r="CR13" i="6"/>
  <c r="CO24" i="6"/>
  <c r="CN24" i="6"/>
  <c r="CO13" i="6"/>
  <c r="CN13" i="6"/>
  <c r="CK13" i="6"/>
  <c r="CJ13" i="6"/>
  <c r="CB69" i="6"/>
  <c r="CC70" i="6" s="1"/>
  <c r="CC74" i="6"/>
  <c r="CB78" i="6"/>
  <c r="BM78" i="6"/>
  <c r="BQ39" i="6"/>
  <c r="BQ48" i="6"/>
  <c r="BP63" i="6"/>
  <c r="BQ64" i="6" s="1"/>
  <c r="CF39" i="6"/>
  <c r="CG40" i="6" s="1"/>
  <c r="CF48" i="6"/>
  <c r="CF49" i="6" s="1"/>
  <c r="CG50" i="6" s="1"/>
  <c r="BL74" i="6"/>
  <c r="BL75" i="6" s="1"/>
  <c r="BL69" i="6"/>
  <c r="BM70" i="6" s="1"/>
  <c r="BQ56" i="6"/>
  <c r="BL48" i="6"/>
  <c r="BM49" i="6" s="1"/>
  <c r="BL63" i="6"/>
  <c r="BM64" i="6" s="1"/>
  <c r="BP74" i="6"/>
  <c r="BQ75" i="6" s="1"/>
  <c r="BP78" i="6"/>
  <c r="BP69" i="6"/>
  <c r="BQ70" i="6" s="1"/>
  <c r="CF69" i="6"/>
  <c r="CG70" i="6" s="1"/>
  <c r="CF78" i="6"/>
  <c r="BL39" i="6"/>
  <c r="BM40" i="6" s="1"/>
  <c r="CB63" i="6"/>
  <c r="CC64" i="6" s="1"/>
  <c r="CB39" i="6"/>
  <c r="CC40" i="6" s="1"/>
  <c r="CB75" i="6"/>
  <c r="CB48" i="6"/>
  <c r="CC49" i="6" s="1"/>
  <c r="CF74" i="6"/>
  <c r="CC57" i="6"/>
  <c r="CB57" i="6"/>
  <c r="CC58" i="6" s="1"/>
  <c r="CG57" i="6"/>
  <c r="CF57" i="6"/>
  <c r="CG58" i="6" s="1"/>
  <c r="CC56" i="6"/>
  <c r="CG56" i="6"/>
  <c r="BP51" i="6"/>
  <c r="BQ52" i="6" s="1"/>
  <c r="BQ51" i="6"/>
  <c r="BQ49" i="6"/>
  <c r="CF29" i="6"/>
  <c r="BQ29" i="6"/>
  <c r="BM29" i="6"/>
  <c r="CG17" i="6"/>
  <c r="CB17" i="6"/>
  <c r="CB18" i="6" s="1"/>
  <c r="CC19" i="6" s="1"/>
  <c r="BQ17" i="6"/>
  <c r="BM17" i="6"/>
  <c r="BP82" i="6"/>
  <c r="BP81" i="6" s="1"/>
  <c r="BQ5" i="6"/>
  <c r="BL5" i="6"/>
  <c r="BL82" i="6"/>
  <c r="BL81" i="6" s="1"/>
  <c r="BQ19" i="6"/>
  <c r="BP19" i="6"/>
  <c r="BP32" i="6"/>
  <c r="BQ32" i="6"/>
  <c r="BP6" i="6"/>
  <c r="BQ50" i="6"/>
  <c r="BQ30" i="6"/>
  <c r="BQ31" i="6"/>
  <c r="BP40" i="6"/>
  <c r="CB82" i="6"/>
  <c r="CB81" i="6" s="1"/>
  <c r="BQ18" i="6"/>
  <c r="BL30" i="6"/>
  <c r="CB5" i="6"/>
  <c r="CC29" i="6"/>
  <c r="CB30" i="6"/>
  <c r="CF5" i="6"/>
  <c r="CF82" i="6"/>
  <c r="CF81" i="6" s="1"/>
  <c r="BP57" i="6"/>
  <c r="BL18" i="6"/>
  <c r="CF18" i="6"/>
  <c r="BL58" i="6"/>
  <c r="CF64" i="6"/>
  <c r="Z44" i="4" l="1"/>
  <c r="T8" i="4"/>
  <c r="AC27" i="4"/>
  <c r="CB70" i="6"/>
  <c r="CC71" i="6" s="1"/>
  <c r="BP64" i="6"/>
  <c r="BQ65" i="6" s="1"/>
  <c r="CR14" i="6"/>
  <c r="CS14" i="6"/>
  <c r="CO25" i="6"/>
  <c r="CN25" i="6"/>
  <c r="CO14" i="6"/>
  <c r="CN14" i="6"/>
  <c r="CK14" i="6"/>
  <c r="CJ14" i="6"/>
  <c r="CJ80" i="6" s="1"/>
  <c r="CG49" i="6"/>
  <c r="CF50" i="6"/>
  <c r="CG51" i="6" s="1"/>
  <c r="CF40" i="6"/>
  <c r="CG41" i="6" s="1"/>
  <c r="BL70" i="6"/>
  <c r="BL71" i="6" s="1"/>
  <c r="BM75" i="6"/>
  <c r="BL49" i="6"/>
  <c r="BM50" i="6" s="1"/>
  <c r="BL64" i="6"/>
  <c r="BM65" i="6" s="1"/>
  <c r="BP70" i="6"/>
  <c r="BQ71" i="6" s="1"/>
  <c r="BP75" i="6"/>
  <c r="BL40" i="6"/>
  <c r="BM41" i="6" s="1"/>
  <c r="CF70" i="6"/>
  <c r="CF71" i="6" s="1"/>
  <c r="CB40" i="6"/>
  <c r="CB41" i="6" s="1"/>
  <c r="CB64" i="6"/>
  <c r="CC65" i="6" s="1"/>
  <c r="CF58" i="6"/>
  <c r="CG59" i="6" s="1"/>
  <c r="CB49" i="6"/>
  <c r="CC50" i="6" s="1"/>
  <c r="CG75" i="6"/>
  <c r="CF75" i="6"/>
  <c r="CB58" i="6"/>
  <c r="CC59" i="6" s="1"/>
  <c r="BP52" i="6"/>
  <c r="BP53" i="6" s="1"/>
  <c r="CG30" i="6"/>
  <c r="CF30" i="6"/>
  <c r="CB19" i="6"/>
  <c r="CC20" i="6" s="1"/>
  <c r="CC18" i="6"/>
  <c r="BL6" i="6"/>
  <c r="BM6" i="6"/>
  <c r="BM31" i="6"/>
  <c r="BL31" i="6"/>
  <c r="BM59" i="6"/>
  <c r="BL59" i="6"/>
  <c r="BQ7" i="6"/>
  <c r="BP7" i="6"/>
  <c r="CG65" i="6"/>
  <c r="CF65" i="6"/>
  <c r="CC6" i="6"/>
  <c r="CB6" i="6"/>
  <c r="BP33" i="6"/>
  <c r="BQ33" i="6"/>
  <c r="CF6" i="6"/>
  <c r="CG6" i="6"/>
  <c r="BL19" i="6"/>
  <c r="BM19" i="6"/>
  <c r="CB31" i="6"/>
  <c r="CC31" i="6"/>
  <c r="CF19" i="6"/>
  <c r="CG19" i="6"/>
  <c r="BQ58" i="6"/>
  <c r="BP58" i="6"/>
  <c r="BP20" i="6"/>
  <c r="BQ20" i="6"/>
  <c r="BQ41" i="6"/>
  <c r="BP41" i="6"/>
  <c r="BP65" i="6" l="1"/>
  <c r="BP66" i="6" s="1"/>
  <c r="AB44" i="4"/>
  <c r="AF33" i="4"/>
  <c r="AE27" i="4"/>
  <c r="W3" i="4"/>
  <c r="V8" i="4"/>
  <c r="CB71" i="6"/>
  <c r="CN80" i="6"/>
  <c r="CN85" i="6" s="1"/>
  <c r="CR85" i="6"/>
  <c r="CR83" i="6"/>
  <c r="CJ85" i="6"/>
  <c r="CJ83" i="6"/>
  <c r="CF51" i="6"/>
  <c r="CG52" i="6" s="1"/>
  <c r="BM71" i="6"/>
  <c r="CF41" i="6"/>
  <c r="CG42" i="6" s="1"/>
  <c r="BL50" i="6"/>
  <c r="BM51" i="6" s="1"/>
  <c r="BL65" i="6"/>
  <c r="BM66" i="6" s="1"/>
  <c r="BP71" i="6"/>
  <c r="CG71" i="6"/>
  <c r="BL41" i="6"/>
  <c r="BL42" i="6" s="1"/>
  <c r="CB59" i="6"/>
  <c r="CB60" i="6" s="1"/>
  <c r="CC41" i="6"/>
  <c r="CB50" i="6"/>
  <c r="CB51" i="6" s="1"/>
  <c r="CB65" i="6"/>
  <c r="CC66" i="6" s="1"/>
  <c r="CF59" i="6"/>
  <c r="CF60" i="6" s="1"/>
  <c r="BQ53" i="6"/>
  <c r="CC42" i="6"/>
  <c r="CB42" i="6"/>
  <c r="CB20" i="6"/>
  <c r="CB21" i="6" s="1"/>
  <c r="CG31" i="6"/>
  <c r="CF31" i="6"/>
  <c r="BL7" i="6"/>
  <c r="BM7" i="6"/>
  <c r="CG20" i="6"/>
  <c r="CF20" i="6"/>
  <c r="BM32" i="6"/>
  <c r="BL32" i="6"/>
  <c r="BQ42" i="6"/>
  <c r="BP42" i="6"/>
  <c r="CC32" i="6"/>
  <c r="CB32" i="6"/>
  <c r="CC7" i="6"/>
  <c r="CB7" i="6"/>
  <c r="BP34" i="6"/>
  <c r="BQ34" i="6"/>
  <c r="BQ21" i="6"/>
  <c r="BP21" i="6"/>
  <c r="BQ8" i="6"/>
  <c r="BP8" i="6"/>
  <c r="BQ59" i="6"/>
  <c r="BP59" i="6"/>
  <c r="BM20" i="6"/>
  <c r="BL20" i="6"/>
  <c r="BM60" i="6"/>
  <c r="BL60" i="6"/>
  <c r="CG66" i="6"/>
  <c r="CF66" i="6"/>
  <c r="CF7" i="6"/>
  <c r="CG7" i="6"/>
  <c r="CJ87" i="6" l="1"/>
  <c r="C31" i="17"/>
  <c r="E31" i="17" s="1"/>
  <c r="F31" i="17" s="1"/>
  <c r="CR87" i="6"/>
  <c r="C33" i="17"/>
  <c r="E33" i="17" s="1"/>
  <c r="F33" i="17" s="1"/>
  <c r="I33" i="17" s="1"/>
  <c r="CN87" i="6"/>
  <c r="C32" i="17"/>
  <c r="E32" i="17" s="1"/>
  <c r="F32" i="17" s="1"/>
  <c r="C30" i="17"/>
  <c r="E30" i="17" s="1"/>
  <c r="BQ66" i="6"/>
  <c r="AC44" i="4"/>
  <c r="W8" i="4"/>
  <c r="AF27" i="4"/>
  <c r="CN83" i="6"/>
  <c r="CF52" i="6"/>
  <c r="CF53" i="6" s="1"/>
  <c r="CF42" i="6"/>
  <c r="CG43" i="6" s="1"/>
  <c r="BL51" i="6"/>
  <c r="BL52" i="6" s="1"/>
  <c r="BM53" i="6" s="1"/>
  <c r="BL66" i="6"/>
  <c r="BM42" i="6"/>
  <c r="CC60" i="6"/>
  <c r="CG60" i="6"/>
  <c r="CC51" i="6"/>
  <c r="CB66" i="6"/>
  <c r="CC21" i="6"/>
  <c r="CB43" i="6"/>
  <c r="CC43" i="6"/>
  <c r="CG32" i="6"/>
  <c r="CF32" i="6"/>
  <c r="BL8" i="6"/>
  <c r="BM8" i="6"/>
  <c r="BM43" i="6"/>
  <c r="BL43" i="6"/>
  <c r="BQ9" i="6"/>
  <c r="BP9" i="6"/>
  <c r="CB33" i="6"/>
  <c r="CC33" i="6"/>
  <c r="CF21" i="6"/>
  <c r="CG21" i="6"/>
  <c r="BQ60" i="6"/>
  <c r="BP60" i="6"/>
  <c r="BM33" i="6"/>
  <c r="BL33" i="6"/>
  <c r="BQ35" i="6"/>
  <c r="BP35" i="6"/>
  <c r="CB22" i="6"/>
  <c r="CC22" i="6"/>
  <c r="CC8" i="6"/>
  <c r="CB8" i="6"/>
  <c r="BQ22" i="6"/>
  <c r="BP22" i="6"/>
  <c r="BL21" i="6"/>
  <c r="BM21" i="6"/>
  <c r="BP43" i="6"/>
  <c r="BQ43" i="6"/>
  <c r="CG8" i="6"/>
  <c r="CF8" i="6"/>
  <c r="CB52" i="6"/>
  <c r="CC52" i="6"/>
  <c r="C35" i="17" l="1"/>
  <c r="E35" i="17" s="1"/>
  <c r="F35" i="17" s="1"/>
  <c r="M33" i="17"/>
  <c r="P33" i="17" s="1"/>
  <c r="AF35" i="4"/>
  <c r="AF44" i="4" s="1"/>
  <c r="AE44" i="4"/>
  <c r="AH27" i="4"/>
  <c r="AI13" i="4"/>
  <c r="AI27" i="4" s="1"/>
  <c r="Z3" i="4"/>
  <c r="Y8" i="4"/>
  <c r="CG53" i="6"/>
  <c r="CF43" i="6"/>
  <c r="CG44" i="6" s="1"/>
  <c r="BL53" i="6"/>
  <c r="BM52" i="6"/>
  <c r="CC44" i="6"/>
  <c r="CB44" i="6"/>
  <c r="CG33" i="6"/>
  <c r="CF33" i="6"/>
  <c r="BM9" i="6"/>
  <c r="BL9" i="6"/>
  <c r="CG22" i="6"/>
  <c r="CF22" i="6"/>
  <c r="CF9" i="6"/>
  <c r="CG9" i="6"/>
  <c r="BQ23" i="6"/>
  <c r="BP23" i="6"/>
  <c r="BP36" i="6"/>
  <c r="BQ36" i="6"/>
  <c r="BQ10" i="6"/>
  <c r="BP10" i="6"/>
  <c r="BM34" i="6"/>
  <c r="BL34" i="6"/>
  <c r="BM44" i="6"/>
  <c r="BL44" i="6"/>
  <c r="CC34" i="6"/>
  <c r="CB34" i="6"/>
  <c r="BP44" i="6"/>
  <c r="BQ44" i="6"/>
  <c r="BM22" i="6"/>
  <c r="BL22" i="6"/>
  <c r="CC9" i="6"/>
  <c r="CB9" i="6"/>
  <c r="CC53" i="6"/>
  <c r="CB53" i="6"/>
  <c r="CB23" i="6"/>
  <c r="CC23" i="6"/>
  <c r="AB3" i="4" l="1"/>
  <c r="Z8" i="4"/>
  <c r="CF44" i="6"/>
  <c r="CG45" i="6" s="1"/>
  <c r="CB45" i="6"/>
  <c r="CC45" i="6"/>
  <c r="CF34" i="6"/>
  <c r="CG34" i="6"/>
  <c r="BM10" i="6"/>
  <c r="BL10" i="6"/>
  <c r="CG10" i="6"/>
  <c r="CF10" i="6"/>
  <c r="CB35" i="6"/>
  <c r="CC35" i="6"/>
  <c r="BQ11" i="6"/>
  <c r="BP11" i="6"/>
  <c r="CF23" i="6"/>
  <c r="CG23" i="6"/>
  <c r="CC24" i="6"/>
  <c r="CB24" i="6"/>
  <c r="BL23" i="6"/>
  <c r="BM23" i="6"/>
  <c r="BM45" i="6"/>
  <c r="BL45" i="6"/>
  <c r="CC10" i="6"/>
  <c r="CB10" i="6"/>
  <c r="BM35" i="6"/>
  <c r="BL35" i="6"/>
  <c r="BP24" i="6"/>
  <c r="BQ24" i="6"/>
  <c r="BQ45" i="6"/>
  <c r="BP45" i="6"/>
  <c r="AC3" i="4" l="1"/>
  <c r="AE3" i="4" s="1"/>
  <c r="AB8" i="4"/>
  <c r="CF45" i="6"/>
  <c r="CF35" i="6"/>
  <c r="CG35" i="6"/>
  <c r="BL11" i="6"/>
  <c r="BM11" i="6"/>
  <c r="BM24" i="6"/>
  <c r="BL24" i="6"/>
  <c r="CC25" i="6"/>
  <c r="CB25" i="6"/>
  <c r="BP25" i="6"/>
  <c r="BQ25" i="6"/>
  <c r="CC36" i="6"/>
  <c r="CB36" i="6"/>
  <c r="BM36" i="6"/>
  <c r="BL36" i="6"/>
  <c r="BQ12" i="6"/>
  <c r="BP12" i="6"/>
  <c r="CF11" i="6"/>
  <c r="CG11" i="6"/>
  <c r="CG24" i="6"/>
  <c r="CF24" i="6"/>
  <c r="CC11" i="6"/>
  <c r="CB11" i="6"/>
  <c r="AC8" i="4" l="1"/>
  <c r="CF36" i="6"/>
  <c r="CG36" i="6"/>
  <c r="BL12" i="6"/>
  <c r="BM12" i="6"/>
  <c r="CG12" i="6"/>
  <c r="CF12" i="6"/>
  <c r="CC12" i="6"/>
  <c r="CB12" i="6"/>
  <c r="BQ13" i="6"/>
  <c r="BP13" i="6"/>
  <c r="CF25" i="6"/>
  <c r="CG25" i="6"/>
  <c r="BL25" i="6"/>
  <c r="BM25" i="6"/>
  <c r="AF3" i="4" l="1"/>
  <c r="AE8" i="4"/>
  <c r="BL13" i="6"/>
  <c r="BM13" i="6"/>
  <c r="BQ14" i="6"/>
  <c r="BP14" i="6"/>
  <c r="BP80" i="6" s="1"/>
  <c r="CF13" i="6"/>
  <c r="CG13" i="6"/>
  <c r="CC13" i="6"/>
  <c r="CB13" i="6"/>
  <c r="AF8" i="4" l="1"/>
  <c r="AH3" i="4"/>
  <c r="AI3" i="4" s="1"/>
  <c r="BM14" i="6"/>
  <c r="BL14" i="6"/>
  <c r="BL80" i="6" s="1"/>
  <c r="CF14" i="6"/>
  <c r="CF80" i="6" s="1"/>
  <c r="CG14" i="6"/>
  <c r="BP85" i="6"/>
  <c r="D18" i="14" s="1"/>
  <c r="F18" i="14" s="1"/>
  <c r="H18" i="14" s="1"/>
  <c r="BP83" i="6"/>
  <c r="CC14" i="6"/>
  <c r="CB14" i="6"/>
  <c r="BP87" i="6" l="1"/>
  <c r="C25" i="17"/>
  <c r="E25" i="17" s="1"/>
  <c r="F25" i="17" s="1"/>
  <c r="C26" i="17"/>
  <c r="E26" i="17" s="1"/>
  <c r="F26" i="17" s="1"/>
  <c r="AH8" i="4"/>
  <c r="BL83" i="6"/>
  <c r="BL85" i="6"/>
  <c r="CB83" i="6"/>
  <c r="CB85" i="6"/>
  <c r="CF83" i="6"/>
  <c r="CF85" i="6"/>
  <c r="D17" i="14" l="1"/>
  <c r="F17" i="14" s="1"/>
  <c r="H17" i="14" s="1"/>
  <c r="CF87" i="6"/>
  <c r="C29" i="17"/>
  <c r="E29" i="17" s="1"/>
  <c r="F29" i="17" s="1"/>
  <c r="CB87" i="6"/>
  <c r="C28" i="17"/>
  <c r="E28" i="17" s="1"/>
  <c r="F28" i="17" s="1"/>
  <c r="BL87" i="6"/>
  <c r="C24" i="17"/>
  <c r="E24" i="17" s="1"/>
  <c r="F24" i="17" s="1"/>
  <c r="C23" i="17"/>
  <c r="E23" i="17" s="1"/>
  <c r="F23" i="17" s="1"/>
  <c r="AI8" i="4"/>
  <c r="AK3" i="4"/>
  <c r="S30" i="1"/>
  <c r="G21" i="14" l="1"/>
  <c r="G25" i="14"/>
  <c r="G22" i="14"/>
  <c r="AL3" i="4"/>
  <c r="AL8" i="4" s="1"/>
  <c r="AK8" i="4"/>
  <c r="BH82" i="6"/>
  <c r="BH81" i="6" s="1"/>
  <c r="BD82" i="6"/>
  <c r="BD81" i="6" s="1"/>
  <c r="AZ82" i="6"/>
  <c r="AZ81" i="6" s="1"/>
  <c r="AR82" i="6"/>
  <c r="AR81" i="6" s="1"/>
  <c r="AN82" i="6"/>
  <c r="AN81" i="6" s="1"/>
  <c r="AJ82" i="6"/>
  <c r="AJ81" i="6" s="1"/>
  <c r="AF82" i="6"/>
  <c r="AF81" i="6" s="1"/>
  <c r="AB82" i="6"/>
  <c r="AB81" i="6" s="1"/>
  <c r="X82" i="6"/>
  <c r="X81" i="6" s="1"/>
  <c r="S82" i="6"/>
  <c r="S81" i="6" s="1"/>
  <c r="O82" i="6"/>
  <c r="K82" i="6"/>
  <c r="BI78" i="6"/>
  <c r="BH78" i="6"/>
  <c r="BE78" i="6"/>
  <c r="BD78" i="6"/>
  <c r="BA78" i="6"/>
  <c r="AZ78" i="6"/>
  <c r="AS78" i="6"/>
  <c r="AR78" i="6"/>
  <c r="AO78" i="6"/>
  <c r="AN78" i="6"/>
  <c r="AK78" i="6"/>
  <c r="AJ78" i="6"/>
  <c r="AG78" i="6"/>
  <c r="AF78" i="6"/>
  <c r="AC78" i="6"/>
  <c r="AB78" i="6"/>
  <c r="Y78" i="6"/>
  <c r="X78" i="6"/>
  <c r="T78" i="6"/>
  <c r="S78" i="6"/>
  <c r="P78" i="6"/>
  <c r="O78" i="6"/>
  <c r="L78" i="6"/>
  <c r="K78" i="6"/>
  <c r="C78" i="6"/>
  <c r="BI74" i="6"/>
  <c r="BH74" i="6"/>
  <c r="BI75" i="6" s="1"/>
  <c r="BE74" i="6"/>
  <c r="BD74" i="6"/>
  <c r="BD75" i="6" s="1"/>
  <c r="BA74" i="6"/>
  <c r="AZ74" i="6"/>
  <c r="BA75" i="6" s="1"/>
  <c r="AS74" i="6"/>
  <c r="AR74" i="6"/>
  <c r="AS75" i="6" s="1"/>
  <c r="AO74" i="6"/>
  <c r="AN74" i="6"/>
  <c r="AO75" i="6" s="1"/>
  <c r="AK74" i="6"/>
  <c r="AJ74" i="6"/>
  <c r="AK75" i="6" s="1"/>
  <c r="AG74" i="6"/>
  <c r="AF74" i="6"/>
  <c r="AG75" i="6" s="1"/>
  <c r="AC74" i="6"/>
  <c r="AB74" i="6"/>
  <c r="AB75" i="6" s="1"/>
  <c r="Y74" i="6"/>
  <c r="X74" i="6"/>
  <c r="X75" i="6" s="1"/>
  <c r="T74" i="6"/>
  <c r="S74" i="6"/>
  <c r="T75" i="6" s="1"/>
  <c r="P74" i="6"/>
  <c r="O74" i="6"/>
  <c r="P75" i="6" s="1"/>
  <c r="L74" i="6"/>
  <c r="K74" i="6"/>
  <c r="L75" i="6" s="1"/>
  <c r="BI69" i="6"/>
  <c r="BH69" i="6"/>
  <c r="BI70" i="6" s="1"/>
  <c r="BE69" i="6"/>
  <c r="BD69" i="6"/>
  <c r="BE70" i="6" s="1"/>
  <c r="BA69" i="6"/>
  <c r="AZ69" i="6"/>
  <c r="AZ70" i="6" s="1"/>
  <c r="AS69" i="6"/>
  <c r="AR69" i="6"/>
  <c r="AS70" i="6" s="1"/>
  <c r="AO69" i="6"/>
  <c r="AN69" i="6"/>
  <c r="AO70" i="6" s="1"/>
  <c r="AK69" i="6"/>
  <c r="AJ69" i="6"/>
  <c r="AJ70" i="6" s="1"/>
  <c r="AG69" i="6"/>
  <c r="AF69" i="6"/>
  <c r="AG70" i="6" s="1"/>
  <c r="AC69" i="6"/>
  <c r="AB69" i="6"/>
  <c r="AC70" i="6" s="1"/>
  <c r="Y69" i="6"/>
  <c r="X69" i="6"/>
  <c r="Y70" i="6" s="1"/>
  <c r="T69" i="6"/>
  <c r="S69" i="6"/>
  <c r="T70" i="6" s="1"/>
  <c r="P69" i="6"/>
  <c r="O69" i="6"/>
  <c r="O70" i="6" s="1"/>
  <c r="L69" i="6"/>
  <c r="K69" i="6"/>
  <c r="L70" i="6" s="1"/>
  <c r="D69" i="6"/>
  <c r="C69" i="6"/>
  <c r="D70" i="6" s="1"/>
  <c r="BI63" i="6"/>
  <c r="BH63" i="6"/>
  <c r="BI64" i="6" s="1"/>
  <c r="BE63" i="6"/>
  <c r="BD63" i="6"/>
  <c r="BE64" i="6" s="1"/>
  <c r="BA63" i="6"/>
  <c r="AZ63" i="6"/>
  <c r="BA64" i="6" s="1"/>
  <c r="AS63" i="6"/>
  <c r="AR63" i="6"/>
  <c r="AS64" i="6" s="1"/>
  <c r="AO63" i="6"/>
  <c r="AN63" i="6"/>
  <c r="AO64" i="6" s="1"/>
  <c r="AK63" i="6"/>
  <c r="AJ63" i="6"/>
  <c r="AK64" i="6" s="1"/>
  <c r="AG63" i="6"/>
  <c r="AF63" i="6"/>
  <c r="AG64" i="6" s="1"/>
  <c r="AC63" i="6"/>
  <c r="AB63" i="6"/>
  <c r="AC64" i="6" s="1"/>
  <c r="Y63" i="6"/>
  <c r="X63" i="6"/>
  <c r="Y64" i="6" s="1"/>
  <c r="T63" i="6"/>
  <c r="S63" i="6"/>
  <c r="T64" i="6" s="1"/>
  <c r="P63" i="6"/>
  <c r="O63" i="6"/>
  <c r="P64" i="6" s="1"/>
  <c r="L63" i="6"/>
  <c r="K63" i="6"/>
  <c r="L64" i="6" s="1"/>
  <c r="D63" i="6"/>
  <c r="C63" i="6"/>
  <c r="D64" i="6" s="1"/>
  <c r="BI56" i="6"/>
  <c r="BH56" i="6"/>
  <c r="BI57" i="6" s="1"/>
  <c r="BE56" i="6"/>
  <c r="BD56" i="6"/>
  <c r="BE57" i="6" s="1"/>
  <c r="BA56" i="6"/>
  <c r="AZ56" i="6"/>
  <c r="BA57" i="6" s="1"/>
  <c r="AS56" i="6"/>
  <c r="AR56" i="6"/>
  <c r="AS57" i="6" s="1"/>
  <c r="AO56" i="6"/>
  <c r="AN56" i="6"/>
  <c r="AN57" i="6" s="1"/>
  <c r="AO58" i="6" s="1"/>
  <c r="AK56" i="6"/>
  <c r="AJ56" i="6"/>
  <c r="AK57" i="6" s="1"/>
  <c r="AG56" i="6"/>
  <c r="AF56" i="6"/>
  <c r="AG57" i="6" s="1"/>
  <c r="AC56" i="6"/>
  <c r="AB56" i="6"/>
  <c r="AC57" i="6" s="1"/>
  <c r="Y56" i="6"/>
  <c r="X56" i="6"/>
  <c r="Y57" i="6" s="1"/>
  <c r="T56" i="6"/>
  <c r="S56" i="6"/>
  <c r="T57" i="6" s="1"/>
  <c r="P56" i="6"/>
  <c r="O56" i="6"/>
  <c r="P57" i="6" s="1"/>
  <c r="L56" i="6"/>
  <c r="K56" i="6"/>
  <c r="L57" i="6" s="1"/>
  <c r="D56" i="6"/>
  <c r="C56" i="6"/>
  <c r="D57" i="6" s="1"/>
  <c r="BI48" i="6"/>
  <c r="BH48" i="6"/>
  <c r="BH49" i="6" s="1"/>
  <c r="BE48" i="6"/>
  <c r="BD48" i="6"/>
  <c r="BD49" i="6" s="1"/>
  <c r="BA48" i="6"/>
  <c r="AZ48" i="6"/>
  <c r="BA49" i="6" s="1"/>
  <c r="AS48" i="6"/>
  <c r="AR48" i="6"/>
  <c r="AR49" i="6" s="1"/>
  <c r="AO48" i="6"/>
  <c r="AN48" i="6"/>
  <c r="AO49" i="6" s="1"/>
  <c r="AK48" i="6"/>
  <c r="AJ48" i="6"/>
  <c r="AK49" i="6" s="1"/>
  <c r="AG48" i="6"/>
  <c r="AF48" i="6"/>
  <c r="AF49" i="6" s="1"/>
  <c r="AC48" i="6"/>
  <c r="AB48" i="6"/>
  <c r="AC49" i="6" s="1"/>
  <c r="Y48" i="6"/>
  <c r="X48" i="6"/>
  <c r="X49" i="6" s="1"/>
  <c r="T48" i="6"/>
  <c r="S48" i="6"/>
  <c r="S49" i="6" s="1"/>
  <c r="P48" i="6"/>
  <c r="O48" i="6"/>
  <c r="P49" i="6" s="1"/>
  <c r="L48" i="6"/>
  <c r="K48" i="6"/>
  <c r="K49" i="6" s="1"/>
  <c r="D48" i="6"/>
  <c r="C48" i="6"/>
  <c r="C49" i="6" s="1"/>
  <c r="D50" i="6" s="1"/>
  <c r="BI39" i="6"/>
  <c r="BH39" i="6"/>
  <c r="BI40" i="6" s="1"/>
  <c r="BE39" i="6"/>
  <c r="BD39" i="6"/>
  <c r="BD40" i="6" s="1"/>
  <c r="BA39" i="6"/>
  <c r="AZ39" i="6"/>
  <c r="AZ40" i="6" s="1"/>
  <c r="AS39" i="6"/>
  <c r="AR39" i="6"/>
  <c r="AS40" i="6" s="1"/>
  <c r="AO39" i="6"/>
  <c r="AN39" i="6"/>
  <c r="AN40" i="6" s="1"/>
  <c r="AK39" i="6"/>
  <c r="AJ39" i="6"/>
  <c r="AJ40" i="6" s="1"/>
  <c r="AG39" i="6"/>
  <c r="AF39" i="6"/>
  <c r="AG40" i="6" s="1"/>
  <c r="AC39" i="6"/>
  <c r="AB39" i="6"/>
  <c r="AB40" i="6" s="1"/>
  <c r="Y39" i="6"/>
  <c r="X39" i="6"/>
  <c r="X40" i="6" s="1"/>
  <c r="T39" i="6"/>
  <c r="S39" i="6"/>
  <c r="T40" i="6" s="1"/>
  <c r="P39" i="6"/>
  <c r="O39" i="6"/>
  <c r="O40" i="6" s="1"/>
  <c r="L39" i="6"/>
  <c r="K39" i="6"/>
  <c r="L40" i="6" s="1"/>
  <c r="D39" i="6"/>
  <c r="C39" i="6"/>
  <c r="D40" i="6" s="1"/>
  <c r="BI29" i="6"/>
  <c r="BH29" i="6"/>
  <c r="BH30" i="6" s="1"/>
  <c r="BE29" i="6"/>
  <c r="BD29" i="6"/>
  <c r="BE30" i="6" s="1"/>
  <c r="BA29" i="6"/>
  <c r="AZ29" i="6"/>
  <c r="BA30" i="6" s="1"/>
  <c r="AS29" i="6"/>
  <c r="AR29" i="6"/>
  <c r="AS30" i="6" s="1"/>
  <c r="AO29" i="6"/>
  <c r="AN29" i="6"/>
  <c r="AO30" i="6" s="1"/>
  <c r="AK29" i="6"/>
  <c r="AJ29" i="6"/>
  <c r="AK30" i="6" s="1"/>
  <c r="AG29" i="6"/>
  <c r="AF29" i="6"/>
  <c r="AG30" i="6" s="1"/>
  <c r="AC29" i="6"/>
  <c r="AB29" i="6"/>
  <c r="AC30" i="6" s="1"/>
  <c r="Y29" i="6"/>
  <c r="X29" i="6"/>
  <c r="Y30" i="6" s="1"/>
  <c r="T29" i="6"/>
  <c r="S29" i="6"/>
  <c r="T30" i="6" s="1"/>
  <c r="P29" i="6"/>
  <c r="O29" i="6"/>
  <c r="P30" i="6" s="1"/>
  <c r="L29" i="6"/>
  <c r="K29" i="6"/>
  <c r="K30" i="6" s="1"/>
  <c r="D29" i="6"/>
  <c r="C29" i="6"/>
  <c r="D30" i="6" s="1"/>
  <c r="BI17" i="6"/>
  <c r="BH17" i="6"/>
  <c r="BI18" i="6" s="1"/>
  <c r="BE17" i="6"/>
  <c r="BD17" i="6"/>
  <c r="BE18" i="6" s="1"/>
  <c r="BA17" i="6"/>
  <c r="AZ17" i="6"/>
  <c r="BA18" i="6" s="1"/>
  <c r="AS17" i="6"/>
  <c r="AR17" i="6"/>
  <c r="AR18" i="6" s="1"/>
  <c r="AO17" i="6"/>
  <c r="AN17" i="6"/>
  <c r="AO18" i="6" s="1"/>
  <c r="AK17" i="6"/>
  <c r="AJ17" i="6"/>
  <c r="AK18" i="6" s="1"/>
  <c r="AG17" i="6"/>
  <c r="AF17" i="6"/>
  <c r="AG18" i="6" s="1"/>
  <c r="AC17" i="6"/>
  <c r="AB17" i="6"/>
  <c r="AC18" i="6" s="1"/>
  <c r="Y17" i="6"/>
  <c r="X17" i="6"/>
  <c r="Y18" i="6" s="1"/>
  <c r="T17" i="6"/>
  <c r="S17" i="6"/>
  <c r="T18" i="6" s="1"/>
  <c r="P17" i="6"/>
  <c r="O17" i="6"/>
  <c r="O18" i="6" s="1"/>
  <c r="L17" i="6"/>
  <c r="K17" i="6"/>
  <c r="L18" i="6" s="1"/>
  <c r="D17" i="6"/>
  <c r="C17" i="6"/>
  <c r="C18" i="6" s="1"/>
  <c r="BI5" i="6"/>
  <c r="BH5" i="6"/>
  <c r="BI6" i="6" s="1"/>
  <c r="BE5" i="6"/>
  <c r="BD5" i="6"/>
  <c r="BE6" i="6" s="1"/>
  <c r="BA5" i="6"/>
  <c r="AZ5" i="6"/>
  <c r="BA6" i="6" s="1"/>
  <c r="AS5" i="6"/>
  <c r="AR5" i="6"/>
  <c r="AS6" i="6" s="1"/>
  <c r="AO5" i="6"/>
  <c r="AN5" i="6"/>
  <c r="AN6" i="6" s="1"/>
  <c r="AK5" i="6"/>
  <c r="AJ5" i="6"/>
  <c r="AJ6" i="6" s="1"/>
  <c r="AK7" i="6" s="1"/>
  <c r="AG5" i="6"/>
  <c r="AF5" i="6"/>
  <c r="AG6" i="6" s="1"/>
  <c r="AC5" i="6"/>
  <c r="AB5" i="6"/>
  <c r="AC6" i="6" s="1"/>
  <c r="Y5" i="6"/>
  <c r="X5" i="6"/>
  <c r="Y6" i="6" s="1"/>
  <c r="T5" i="6"/>
  <c r="S5" i="6"/>
  <c r="T6" i="6" s="1"/>
  <c r="P5" i="6"/>
  <c r="O5" i="6"/>
  <c r="P6" i="6" s="1"/>
  <c r="L5" i="6"/>
  <c r="K5" i="6"/>
  <c r="K6" i="6" s="1"/>
  <c r="L7" i="6" s="1"/>
  <c r="D5" i="6"/>
  <c r="C5" i="6"/>
  <c r="D6" i="6" s="1"/>
  <c r="Y15" i="1"/>
  <c r="Y26" i="1"/>
  <c r="Y24" i="12"/>
  <c r="Z24" i="12" s="1"/>
  <c r="Y17" i="1"/>
  <c r="Y12" i="1"/>
  <c r="Y28" i="1"/>
  <c r="Y25" i="1"/>
  <c r="Y21" i="1"/>
  <c r="Y20" i="1"/>
  <c r="Y19" i="1"/>
  <c r="Y14" i="1"/>
  <c r="Y13" i="1"/>
  <c r="Y10" i="1"/>
  <c r="Y9" i="1"/>
  <c r="Y8" i="1"/>
  <c r="F39" i="9" s="1"/>
  <c r="F59" i="9" l="1"/>
  <c r="G39" i="9" s="1"/>
  <c r="C39" i="9" s="1"/>
  <c r="G20" i="14"/>
  <c r="Y6" i="12"/>
  <c r="Z6" i="12" s="1"/>
  <c r="Y4" i="12"/>
  <c r="Z4" i="12" s="1"/>
  <c r="Y8" i="12"/>
  <c r="Z8" i="12" s="1"/>
  <c r="K81" i="6"/>
  <c r="Y7" i="12"/>
  <c r="Z7" i="12" s="1"/>
  <c r="Y13" i="12"/>
  <c r="Z13" i="12" s="1"/>
  <c r="Y22" i="12"/>
  <c r="Z22" i="12" s="1"/>
  <c r="Y15" i="12"/>
  <c r="Z15" i="12" s="1"/>
  <c r="Y19" i="12"/>
  <c r="Z19" i="12" s="1"/>
  <c r="Y31" i="12"/>
  <c r="Z31" i="12" s="1"/>
  <c r="Y12" i="12"/>
  <c r="Z12" i="12" s="1"/>
  <c r="Y20" i="12"/>
  <c r="Z20" i="12" s="1"/>
  <c r="Y30" i="12"/>
  <c r="Z30" i="12" s="1"/>
  <c r="Y21" i="12"/>
  <c r="Z21" i="12" s="1"/>
  <c r="Y28" i="12"/>
  <c r="Z28" i="12" s="1"/>
  <c r="Y11" i="12"/>
  <c r="Z11" i="12" s="1"/>
  <c r="Y29" i="12"/>
  <c r="Z29" i="12" s="1"/>
  <c r="Y16" i="12"/>
  <c r="Z16" i="12" s="1"/>
  <c r="Y27" i="12"/>
  <c r="Z27" i="12" s="1"/>
  <c r="Y17" i="12"/>
  <c r="Z17" i="12" s="1"/>
  <c r="Y32" i="12"/>
  <c r="Z32" i="12" s="1"/>
  <c r="Y9" i="12"/>
  <c r="Z9" i="12" s="1"/>
  <c r="Y25" i="12"/>
  <c r="Z25" i="12" s="1"/>
  <c r="Y10" i="12"/>
  <c r="Z10" i="12" s="1"/>
  <c r="Y18" i="12"/>
  <c r="Z18" i="12" s="1"/>
  <c r="Y33" i="12"/>
  <c r="Z33" i="12" s="1"/>
  <c r="Y26" i="12"/>
  <c r="Z26" i="12" s="1"/>
  <c r="Z6" i="1"/>
  <c r="Y5" i="12"/>
  <c r="Z5" i="12" s="1"/>
  <c r="Z14" i="1"/>
  <c r="W16" i="15" s="1"/>
  <c r="Y14" i="12"/>
  <c r="Z14" i="12" s="1"/>
  <c r="Z26" i="1"/>
  <c r="W28" i="15" s="1"/>
  <c r="Y23" i="12"/>
  <c r="Z23" i="12" s="1"/>
  <c r="AR75" i="6"/>
  <c r="O30" i="1"/>
  <c r="AO57" i="6"/>
  <c r="BE75" i="6"/>
  <c r="K30" i="1"/>
  <c r="AK70" i="6"/>
  <c r="BA70" i="6"/>
  <c r="Z8" i="1"/>
  <c r="Z11" i="1"/>
  <c r="Z15" i="1"/>
  <c r="W17" i="15" s="1"/>
  <c r="Z21" i="1"/>
  <c r="W23" i="15" s="1"/>
  <c r="U30" i="1"/>
  <c r="AS18" i="6"/>
  <c r="D49" i="6"/>
  <c r="Z17" i="1"/>
  <c r="Z23" i="1"/>
  <c r="W25" i="15" s="1"/>
  <c r="Z25" i="1"/>
  <c r="W27" i="15" s="1"/>
  <c r="L6" i="6"/>
  <c r="BE49" i="6"/>
  <c r="S75" i="6"/>
  <c r="Z9" i="1"/>
  <c r="Z13" i="1"/>
  <c r="W15" i="15" s="1"/>
  <c r="M30" i="1"/>
  <c r="Z19" i="1"/>
  <c r="Z27" i="1"/>
  <c r="W29" i="15" s="1"/>
  <c r="Y75" i="6"/>
  <c r="Z24" i="1"/>
  <c r="W26" i="15" s="1"/>
  <c r="Z28" i="1"/>
  <c r="AC75" i="6"/>
  <c r="Z4" i="1"/>
  <c r="Z12" i="1"/>
  <c r="Z7" i="1"/>
  <c r="Z10" i="1"/>
  <c r="BK12" i="15" s="1"/>
  <c r="Z20" i="1"/>
  <c r="W22" i="15" s="1"/>
  <c r="X41" i="6"/>
  <c r="X42" i="6" s="1"/>
  <c r="Y41" i="6"/>
  <c r="BD41" i="6"/>
  <c r="BD42" i="6" s="1"/>
  <c r="BE41" i="6"/>
  <c r="AK6" i="6"/>
  <c r="Y40" i="6"/>
  <c r="BE40" i="6"/>
  <c r="AG49" i="6"/>
  <c r="AC40" i="6"/>
  <c r="O57" i="6"/>
  <c r="P58" i="6" s="1"/>
  <c r="K64" i="6"/>
  <c r="L65" i="6" s="1"/>
  <c r="AO6" i="6"/>
  <c r="P40" i="6"/>
  <c r="AK40" i="6"/>
  <c r="AS49" i="6"/>
  <c r="AZ57" i="6"/>
  <c r="BA58" i="6" s="1"/>
  <c r="AR64" i="6"/>
  <c r="AS65" i="6" s="1"/>
  <c r="P70" i="6"/>
  <c r="AN70" i="6"/>
  <c r="AO71" i="6" s="1"/>
  <c r="O81" i="6"/>
  <c r="BD64" i="6"/>
  <c r="BE65" i="6" s="1"/>
  <c r="L49" i="6"/>
  <c r="BI49" i="6"/>
  <c r="S64" i="6"/>
  <c r="T65" i="6" s="1"/>
  <c r="BD70" i="6"/>
  <c r="K75" i="6"/>
  <c r="AF75" i="6"/>
  <c r="BH75" i="6"/>
  <c r="AF30" i="6"/>
  <c r="AG31" i="6" s="1"/>
  <c r="AO40" i="6"/>
  <c r="AB57" i="6"/>
  <c r="AC58" i="6" s="1"/>
  <c r="X64" i="6"/>
  <c r="Y65" i="6" s="1"/>
  <c r="BH64" i="6"/>
  <c r="BI65" i="6" s="1"/>
  <c r="X6" i="6"/>
  <c r="Y7" i="6" s="1"/>
  <c r="BA40" i="6"/>
  <c r="T49" i="6"/>
  <c r="X70" i="6"/>
  <c r="AN75" i="6"/>
  <c r="Y49" i="6"/>
  <c r="AJ57" i="6"/>
  <c r="AK58" i="6" s="1"/>
  <c r="AF64" i="6"/>
  <c r="AG65" i="6" s="1"/>
  <c r="AB70" i="6"/>
  <c r="AC71" i="6" s="1"/>
  <c r="O75" i="6"/>
  <c r="AJ75" i="6"/>
  <c r="AZ75" i="6"/>
  <c r="P71" i="6"/>
  <c r="O71" i="6"/>
  <c r="BA71" i="6"/>
  <c r="AZ71" i="6"/>
  <c r="AK71" i="6"/>
  <c r="AJ71" i="6"/>
  <c r="K70" i="6"/>
  <c r="S70" i="6"/>
  <c r="AF70" i="6"/>
  <c r="AR70" i="6"/>
  <c r="BH70" i="6"/>
  <c r="C70" i="6"/>
  <c r="AB64" i="6"/>
  <c r="AN64" i="6"/>
  <c r="O64" i="6"/>
  <c r="AJ64" i="6"/>
  <c r="AZ64" i="6"/>
  <c r="C64" i="6"/>
  <c r="K57" i="6"/>
  <c r="S57" i="6"/>
  <c r="AF57" i="6"/>
  <c r="AR57" i="6"/>
  <c r="BH57" i="6"/>
  <c r="AN58" i="6"/>
  <c r="X57" i="6"/>
  <c r="BD57" i="6"/>
  <c r="C57" i="6"/>
  <c r="D58" i="6" s="1"/>
  <c r="AS50" i="6"/>
  <c r="AR50" i="6"/>
  <c r="BI50" i="6"/>
  <c r="BH50" i="6"/>
  <c r="L50" i="6"/>
  <c r="K50" i="6"/>
  <c r="AG50" i="6"/>
  <c r="AF50" i="6"/>
  <c r="T50" i="6"/>
  <c r="S50" i="6"/>
  <c r="Y50" i="6"/>
  <c r="X50" i="6"/>
  <c r="BE50" i="6"/>
  <c r="BD50" i="6"/>
  <c r="AB49" i="6"/>
  <c r="AN49" i="6"/>
  <c r="O49" i="6"/>
  <c r="AJ49" i="6"/>
  <c r="AZ49" i="6"/>
  <c r="C50" i="6"/>
  <c r="P41" i="6"/>
  <c r="O41" i="6"/>
  <c r="AK41" i="6"/>
  <c r="AJ41" i="6"/>
  <c r="BA41" i="6"/>
  <c r="AZ41" i="6"/>
  <c r="AC41" i="6"/>
  <c r="AB41" i="6"/>
  <c r="AO41" i="6"/>
  <c r="AN41" i="6"/>
  <c r="K40" i="6"/>
  <c r="S40" i="6"/>
  <c r="AF40" i="6"/>
  <c r="AR40" i="6"/>
  <c r="BH40" i="6"/>
  <c r="S30" i="6"/>
  <c r="T31" i="6" s="1"/>
  <c r="O30" i="6"/>
  <c r="P31" i="6" s="1"/>
  <c r="AB18" i="6"/>
  <c r="AB19" i="6" s="1"/>
  <c r="AC20" i="6" s="1"/>
  <c r="P18" i="6"/>
  <c r="C40" i="6"/>
  <c r="BI31" i="6"/>
  <c r="BH31" i="6"/>
  <c r="BI30" i="6"/>
  <c r="BD30" i="6"/>
  <c r="AZ30" i="6"/>
  <c r="AR30" i="6"/>
  <c r="AN30" i="6"/>
  <c r="AJ30" i="6"/>
  <c r="AB30" i="6"/>
  <c r="X30" i="6"/>
  <c r="L31" i="6"/>
  <c r="K31" i="6"/>
  <c r="L30" i="6"/>
  <c r="C30" i="6"/>
  <c r="BH18" i="6"/>
  <c r="BD18" i="6"/>
  <c r="AZ18" i="6"/>
  <c r="AS19" i="6"/>
  <c r="AR19" i="6"/>
  <c r="AN18" i="6"/>
  <c r="AJ18" i="6"/>
  <c r="AF18" i="6"/>
  <c r="X18" i="6"/>
  <c r="S18" i="6"/>
  <c r="P19" i="6"/>
  <c r="O19" i="6"/>
  <c r="K18" i="6"/>
  <c r="D18" i="6"/>
  <c r="D19" i="6"/>
  <c r="C19" i="6"/>
  <c r="BH6" i="6"/>
  <c r="BD6" i="6"/>
  <c r="AZ6" i="6"/>
  <c r="AR6" i="6"/>
  <c r="AO7" i="6"/>
  <c r="AN7" i="6"/>
  <c r="AJ7" i="6"/>
  <c r="AF6" i="6"/>
  <c r="AB6" i="6"/>
  <c r="AC7" i="6" s="1"/>
  <c r="S6" i="6"/>
  <c r="O6" i="6"/>
  <c r="K7" i="6"/>
  <c r="C6" i="6"/>
  <c r="D7" i="6" s="1"/>
  <c r="D74" i="6"/>
  <c r="D78" i="6"/>
  <c r="C74" i="6"/>
  <c r="Q30" i="1"/>
  <c r="G54" i="9" l="1"/>
  <c r="C54" i="9" s="1"/>
  <c r="G57" i="9"/>
  <c r="C57" i="9" s="1"/>
  <c r="G51" i="9"/>
  <c r="C51" i="9" s="1"/>
  <c r="G43" i="9"/>
  <c r="C43" i="9" s="1"/>
  <c r="G50" i="9"/>
  <c r="C50" i="9" s="1"/>
  <c r="G55" i="9"/>
  <c r="C55" i="9" s="1"/>
  <c r="G56" i="9"/>
  <c r="C56" i="9" s="1"/>
  <c r="G47" i="9"/>
  <c r="C47" i="9" s="1"/>
  <c r="G45" i="9"/>
  <c r="C45" i="9" s="1"/>
  <c r="G53" i="9"/>
  <c r="C53" i="9" s="1"/>
  <c r="G44" i="9"/>
  <c r="C44" i="9" s="1"/>
  <c r="G52" i="9"/>
  <c r="C52" i="9" s="1"/>
  <c r="G36" i="9"/>
  <c r="C36" i="9" s="1"/>
  <c r="G37" i="9"/>
  <c r="C37" i="9" s="1"/>
  <c r="G48" i="9"/>
  <c r="C48" i="9" s="1"/>
  <c r="G46" i="9"/>
  <c r="C46" i="9" s="1"/>
  <c r="G58" i="9"/>
  <c r="G40" i="9"/>
  <c r="C40" i="9" s="1"/>
  <c r="G38" i="9"/>
  <c r="C38" i="9" s="1"/>
  <c r="G49" i="9"/>
  <c r="C49" i="9" s="1"/>
  <c r="G42" i="9"/>
  <c r="C42" i="9" s="1"/>
  <c r="G35" i="9"/>
  <c r="AA5" i="1" a="1"/>
  <c r="AA5" i="1" s="1"/>
  <c r="AA28" i="1" a="1"/>
  <c r="AA28" i="1" s="1"/>
  <c r="BK21" i="15"/>
  <c r="W21" i="15"/>
  <c r="BK19" i="15"/>
  <c r="W19" i="15"/>
  <c r="O25" i="15"/>
  <c r="BK22" i="15"/>
  <c r="AA10" i="1" a="1"/>
  <c r="AA10" i="1" s="1"/>
  <c r="D40" i="9" s="1"/>
  <c r="E40" i="9" s="1"/>
  <c r="AA22" i="1" a="1"/>
  <c r="AA22" i="1" s="1"/>
  <c r="BK13" i="15"/>
  <c r="O18" i="15"/>
  <c r="BK18" i="15"/>
  <c r="BK16" i="15"/>
  <c r="BK17" i="15"/>
  <c r="O20" i="15"/>
  <c r="AE20" i="15"/>
  <c r="AM20" i="15"/>
  <c r="AU20" i="15"/>
  <c r="BC20" i="15"/>
  <c r="BK20" i="15"/>
  <c r="BT20" i="15"/>
  <c r="CC20" i="15"/>
  <c r="CM20" i="15"/>
  <c r="CV20" i="15"/>
  <c r="DD20" i="15"/>
  <c r="BC11" i="15"/>
  <c r="BK11" i="15"/>
  <c r="BT11" i="15"/>
  <c r="AA26" i="1" a="1"/>
  <c r="AA26" i="1" s="1"/>
  <c r="AA21" i="1" a="1"/>
  <c r="AA21" i="1" s="1"/>
  <c r="D58" i="9"/>
  <c r="E58" i="9" s="1"/>
  <c r="AA17" i="1" a="1"/>
  <c r="AA17" i="1" s="1"/>
  <c r="AA15" i="1" a="1"/>
  <c r="AA15" i="1" s="1"/>
  <c r="AA9" i="1" a="1"/>
  <c r="AA9" i="1" s="1"/>
  <c r="D39" i="9" s="1"/>
  <c r="AA13" i="1" a="1"/>
  <c r="AA13" i="1" s="1"/>
  <c r="AA18" i="1" a="1"/>
  <c r="AA18" i="1" s="1"/>
  <c r="AA16" i="1" a="1"/>
  <c r="AA16" i="1" s="1"/>
  <c r="AA24" i="1" a="1"/>
  <c r="AA24" i="1" s="1"/>
  <c r="AA4" i="1" a="1"/>
  <c r="AA4" i="1" s="1"/>
  <c r="AA6" i="1" a="1"/>
  <c r="AA6" i="1" s="1"/>
  <c r="AA23" i="1" a="1"/>
  <c r="AA23" i="1" s="1"/>
  <c r="AA7" i="1" a="1"/>
  <c r="AA7" i="1" s="1"/>
  <c r="AA11" i="1" a="1"/>
  <c r="AA11" i="1" s="1"/>
  <c r="AA27" i="1" a="1"/>
  <c r="AA27" i="1" s="1"/>
  <c r="AA12" i="1" a="1"/>
  <c r="AA12" i="1" s="1"/>
  <c r="AA25" i="1" a="1"/>
  <c r="AA25" i="1" s="1"/>
  <c r="AA20" i="1" a="1"/>
  <c r="AA20" i="1" s="1"/>
  <c r="AA19" i="1" a="1"/>
  <c r="AA19" i="1" s="1"/>
  <c r="AA14" i="1" a="1"/>
  <c r="AA14" i="1" s="1"/>
  <c r="AA8" i="1" a="1"/>
  <c r="AA8" i="1" s="1"/>
  <c r="BK14" i="15"/>
  <c r="BK15" i="15"/>
  <c r="BC12" i="15"/>
  <c r="H27" i="17"/>
  <c r="I27" i="17" s="1"/>
  <c r="J27" i="17" s="1"/>
  <c r="P27" i="17" s="1"/>
  <c r="H29" i="17"/>
  <c r="I29" i="17" s="1"/>
  <c r="N29" i="17" s="1"/>
  <c r="P29" i="17" s="1"/>
  <c r="H26" i="17"/>
  <c r="I26" i="17" s="1"/>
  <c r="K26" i="17" s="1"/>
  <c r="P26" i="17" s="1"/>
  <c r="H24" i="17"/>
  <c r="I24" i="17" s="1"/>
  <c r="N24" i="17" s="1"/>
  <c r="P24" i="17" s="1"/>
  <c r="H34" i="17"/>
  <c r="I34" i="17" s="1"/>
  <c r="M34" i="17" s="1"/>
  <c r="P34" i="17" s="1"/>
  <c r="H35" i="17"/>
  <c r="I35" i="17" s="1"/>
  <c r="P35" i="17" s="1"/>
  <c r="AU18" i="15"/>
  <c r="BC18" i="15"/>
  <c r="DD18" i="15"/>
  <c r="BC21" i="15"/>
  <c r="BC16" i="15"/>
  <c r="DD17" i="15"/>
  <c r="AU17" i="15"/>
  <c r="BC17" i="15"/>
  <c r="DD19" i="15"/>
  <c r="AU19" i="15"/>
  <c r="BC19" i="15"/>
  <c r="O16" i="15"/>
  <c r="AE16" i="15"/>
  <c r="AM16" i="15"/>
  <c r="AU16" i="15"/>
  <c r="BT16" i="15"/>
  <c r="CC16" i="15"/>
  <c r="CM16" i="15"/>
  <c r="CV16" i="15"/>
  <c r="DD16" i="15"/>
  <c r="O12" i="15"/>
  <c r="W12" i="15"/>
  <c r="AE12" i="15"/>
  <c r="AM12" i="15"/>
  <c r="AU12" i="15"/>
  <c r="BT12" i="15"/>
  <c r="CC12" i="15"/>
  <c r="CM12" i="15"/>
  <c r="CV12" i="15"/>
  <c r="DD12" i="15"/>
  <c r="O11" i="15"/>
  <c r="W11" i="15"/>
  <c r="AE11" i="15"/>
  <c r="AU11" i="15"/>
  <c r="AM11" i="15"/>
  <c r="CC11" i="15"/>
  <c r="CM11" i="15"/>
  <c r="CV11" i="15"/>
  <c r="DD11" i="15"/>
  <c r="O19" i="15"/>
  <c r="AE19" i="15"/>
  <c r="AM19" i="15"/>
  <c r="BT19" i="15"/>
  <c r="CC19" i="15"/>
  <c r="CM19" i="15"/>
  <c r="CV19" i="15"/>
  <c r="O10" i="15"/>
  <c r="W10" i="15"/>
  <c r="AE10" i="15"/>
  <c r="AM10" i="15"/>
  <c r="AU10" i="15"/>
  <c r="BC10" i="15"/>
  <c r="BK10" i="15"/>
  <c r="BT10" i="15"/>
  <c r="CC10" i="15"/>
  <c r="CM10" i="15"/>
  <c r="CV10" i="15"/>
  <c r="DD10" i="15"/>
  <c r="O14" i="15"/>
  <c r="W14" i="15"/>
  <c r="AE14" i="15"/>
  <c r="AM14" i="15"/>
  <c r="AU14" i="15"/>
  <c r="BC14" i="15"/>
  <c r="BT14" i="15"/>
  <c r="CC14" i="15"/>
  <c r="CM14" i="15"/>
  <c r="CV14" i="15"/>
  <c r="DD14" i="15"/>
  <c r="O6" i="15"/>
  <c r="W6" i="15"/>
  <c r="AE6" i="15"/>
  <c r="O9" i="15"/>
  <c r="W9" i="15"/>
  <c r="AE9" i="15"/>
  <c r="AM9" i="15"/>
  <c r="AU9" i="15"/>
  <c r="BC9" i="15"/>
  <c r="BK9" i="15"/>
  <c r="BT9" i="15"/>
  <c r="CC9" i="15"/>
  <c r="CM9" i="15"/>
  <c r="CV9" i="15"/>
  <c r="DD9" i="15"/>
  <c r="O28" i="15"/>
  <c r="AE28" i="15"/>
  <c r="AM28" i="15"/>
  <c r="AU28" i="15"/>
  <c r="BC28" i="15"/>
  <c r="BK28" i="15"/>
  <c r="BT28" i="15"/>
  <c r="CC28" i="15"/>
  <c r="CM28" i="15"/>
  <c r="CV28" i="15"/>
  <c r="DD28" i="15"/>
  <c r="O29" i="15"/>
  <c r="AE29" i="15"/>
  <c r="AM29" i="15"/>
  <c r="AU29" i="15"/>
  <c r="BC29" i="15"/>
  <c r="BK29" i="15"/>
  <c r="BT29" i="15"/>
  <c r="CC29" i="15"/>
  <c r="CM29" i="15"/>
  <c r="CV29" i="15"/>
  <c r="DD29" i="15"/>
  <c r="O21" i="15"/>
  <c r="AE21" i="15"/>
  <c r="AM21" i="15"/>
  <c r="AU21" i="15"/>
  <c r="BT21" i="15"/>
  <c r="CC21" i="15"/>
  <c r="CM21" i="15"/>
  <c r="CV21" i="15"/>
  <c r="DD21" i="15"/>
  <c r="O23" i="15"/>
  <c r="AE23" i="15"/>
  <c r="AM23" i="15"/>
  <c r="AU23" i="15"/>
  <c r="BK23" i="15"/>
  <c r="BC23" i="15"/>
  <c r="BT23" i="15"/>
  <c r="CC23" i="15"/>
  <c r="CM23" i="15"/>
  <c r="CV23" i="15"/>
  <c r="DD23" i="15"/>
  <c r="O8" i="15"/>
  <c r="W8" i="15"/>
  <c r="AE8" i="15"/>
  <c r="AM8" i="15"/>
  <c r="AU8" i="15"/>
  <c r="BC8" i="15"/>
  <c r="BK8" i="15"/>
  <c r="BT8" i="15"/>
  <c r="CC8" i="15"/>
  <c r="CM8" i="15"/>
  <c r="CV8" i="15"/>
  <c r="DD8" i="15"/>
  <c r="O30" i="15"/>
  <c r="AE30" i="15"/>
  <c r="AM30" i="15"/>
  <c r="AU30" i="15"/>
  <c r="BC30" i="15"/>
  <c r="BK30" i="15"/>
  <c r="BT30" i="15"/>
  <c r="CC30" i="15"/>
  <c r="CM30" i="15"/>
  <c r="CV30" i="15"/>
  <c r="DD30" i="15"/>
  <c r="O27" i="15"/>
  <c r="AE27" i="15"/>
  <c r="AM27" i="15"/>
  <c r="AU27" i="15"/>
  <c r="BC27" i="15"/>
  <c r="BK27" i="15"/>
  <c r="BT27" i="15"/>
  <c r="CC27" i="15"/>
  <c r="CM27" i="15"/>
  <c r="CV27" i="15"/>
  <c r="DD27" i="15"/>
  <c r="O17" i="15"/>
  <c r="AE17" i="15"/>
  <c r="AM17" i="15"/>
  <c r="BT17" i="15"/>
  <c r="CC17" i="15"/>
  <c r="CM17" i="15"/>
  <c r="CV17" i="15"/>
  <c r="O22" i="15"/>
  <c r="AE22" i="15"/>
  <c r="AM22" i="15"/>
  <c r="AU22" i="15"/>
  <c r="BC22" i="15"/>
  <c r="BT22" i="15"/>
  <c r="CC22" i="15"/>
  <c r="CM22" i="15"/>
  <c r="CV22" i="15"/>
  <c r="DD22" i="15"/>
  <c r="O26" i="15"/>
  <c r="AE26" i="15"/>
  <c r="AM26" i="15"/>
  <c r="AU26" i="15"/>
  <c r="BC26" i="15"/>
  <c r="BT26" i="15"/>
  <c r="DD26" i="15"/>
  <c r="O15" i="15"/>
  <c r="AE15" i="15"/>
  <c r="AM15" i="15"/>
  <c r="AU15" i="15"/>
  <c r="BC15" i="15"/>
  <c r="BT15" i="15"/>
  <c r="CC15" i="15"/>
  <c r="CM15" i="15"/>
  <c r="CV15" i="15"/>
  <c r="DD15" i="15"/>
  <c r="AE25" i="15"/>
  <c r="AM25" i="15"/>
  <c r="AU25" i="15"/>
  <c r="DD25" i="15"/>
  <c r="O13" i="15"/>
  <c r="W13" i="15"/>
  <c r="AE13" i="15"/>
  <c r="AM13" i="15"/>
  <c r="AU13" i="15"/>
  <c r="BC13" i="15"/>
  <c r="BT13" i="15"/>
  <c r="CC13" i="15"/>
  <c r="CM13" i="15"/>
  <c r="CV13" i="15"/>
  <c r="DD13" i="15"/>
  <c r="C42" i="13"/>
  <c r="D42" i="13" s="1"/>
  <c r="E42" i="13" s="1"/>
  <c r="C58" i="13"/>
  <c r="D58" i="13" s="1"/>
  <c r="E58" i="13" s="1"/>
  <c r="C54" i="13"/>
  <c r="D54" i="13" s="1"/>
  <c r="E54" i="13" s="1"/>
  <c r="C37" i="13"/>
  <c r="C44" i="13"/>
  <c r="D44" i="13" s="1"/>
  <c r="E44" i="13" s="1"/>
  <c r="C53" i="13"/>
  <c r="D53" i="13" s="1"/>
  <c r="E53" i="13" s="1"/>
  <c r="C38" i="13"/>
  <c r="D38" i="13" s="1"/>
  <c r="E38" i="13" s="1"/>
  <c r="C41" i="13"/>
  <c r="D41" i="13" s="1"/>
  <c r="E41" i="13" s="1"/>
  <c r="C39" i="13"/>
  <c r="D39" i="13" s="1"/>
  <c r="E39" i="13" s="1"/>
  <c r="C57" i="13"/>
  <c r="D57" i="13" s="1"/>
  <c r="E57" i="13" s="1"/>
  <c r="C59" i="13"/>
  <c r="D59" i="13" s="1"/>
  <c r="E59" i="13" s="1"/>
  <c r="C40" i="13"/>
  <c r="D40" i="13" s="1"/>
  <c r="E40" i="13" s="1"/>
  <c r="C64" i="13"/>
  <c r="D64" i="13" s="1"/>
  <c r="E64" i="13" s="1"/>
  <c r="C51" i="13"/>
  <c r="D51" i="13" s="1"/>
  <c r="E51" i="13" s="1"/>
  <c r="C56" i="13"/>
  <c r="D56" i="13" s="1"/>
  <c r="E56" i="13" s="1"/>
  <c r="C62" i="13"/>
  <c r="D62" i="13" s="1"/>
  <c r="E62" i="13" s="1"/>
  <c r="C65" i="13"/>
  <c r="D65" i="13" s="1"/>
  <c r="E65" i="13" s="1"/>
  <c r="C60" i="13"/>
  <c r="D60" i="13" s="1"/>
  <c r="E60" i="13" s="1"/>
  <c r="C49" i="13"/>
  <c r="D49" i="13" s="1"/>
  <c r="E49" i="13" s="1"/>
  <c r="C45" i="13"/>
  <c r="D45" i="13" s="1"/>
  <c r="E45" i="13" s="1"/>
  <c r="C48" i="13"/>
  <c r="D48" i="13" s="1"/>
  <c r="E48" i="13" s="1"/>
  <c r="C50" i="13"/>
  <c r="D50" i="13" s="1"/>
  <c r="E50" i="13" s="1"/>
  <c r="C47" i="13"/>
  <c r="D47" i="13" s="1"/>
  <c r="E47" i="13" s="1"/>
  <c r="C55" i="13"/>
  <c r="D55" i="13" s="1"/>
  <c r="E55" i="13" s="1"/>
  <c r="C61" i="13"/>
  <c r="D61" i="13" s="1"/>
  <c r="E61" i="13" s="1"/>
  <c r="C63" i="13"/>
  <c r="D63" i="13" s="1"/>
  <c r="E63" i="13" s="1"/>
  <c r="C52" i="13"/>
  <c r="D52" i="13" s="1"/>
  <c r="E52" i="13" s="1"/>
  <c r="C46" i="13"/>
  <c r="D46" i="13" s="1"/>
  <c r="E46" i="13" s="1"/>
  <c r="C43" i="13"/>
  <c r="D43" i="13" s="1"/>
  <c r="E43" i="13" s="1"/>
  <c r="C66" i="13"/>
  <c r="D66" i="13" s="1"/>
  <c r="E66" i="13" s="1"/>
  <c r="C81" i="6"/>
  <c r="Y34" i="12"/>
  <c r="K65" i="6"/>
  <c r="L66" i="6" s="1"/>
  <c r="Y42" i="6"/>
  <c r="BE42" i="6"/>
  <c r="AB71" i="6"/>
  <c r="BD65" i="6"/>
  <c r="BD66" i="6" s="1"/>
  <c r="AR65" i="6"/>
  <c r="AR66" i="6" s="1"/>
  <c r="C58" i="6"/>
  <c r="C59" i="6" s="1"/>
  <c r="X65" i="6"/>
  <c r="Y66" i="6" s="1"/>
  <c r="AZ58" i="6"/>
  <c r="AZ59" i="6" s="1"/>
  <c r="AB58" i="6"/>
  <c r="AC59" i="6" s="1"/>
  <c r="AJ58" i="6"/>
  <c r="AK59" i="6" s="1"/>
  <c r="AF65" i="6"/>
  <c r="AG66" i="6" s="1"/>
  <c r="S65" i="6"/>
  <c r="T66" i="6" s="1"/>
  <c r="O58" i="6"/>
  <c r="O59" i="6" s="1"/>
  <c r="AF31" i="6"/>
  <c r="AG32" i="6" s="1"/>
  <c r="X30" i="1"/>
  <c r="X7" i="6"/>
  <c r="X8" i="6" s="1"/>
  <c r="S31" i="6"/>
  <c r="T32" i="6" s="1"/>
  <c r="BH65" i="6"/>
  <c r="BI66" i="6" s="1"/>
  <c r="C7" i="6"/>
  <c r="C8" i="6" s="1"/>
  <c r="AN71" i="6"/>
  <c r="Y71" i="6"/>
  <c r="X71" i="6"/>
  <c r="AC19" i="6"/>
  <c r="BE71" i="6"/>
  <c r="BD71" i="6"/>
  <c r="AB20" i="6"/>
  <c r="AB21" i="6" s="1"/>
  <c r="L71" i="6"/>
  <c r="K71" i="6"/>
  <c r="AG71" i="6"/>
  <c r="AF71" i="6"/>
  <c r="T71" i="6"/>
  <c r="S71" i="6"/>
  <c r="BI71" i="6"/>
  <c r="BH71" i="6"/>
  <c r="AS71" i="6"/>
  <c r="AR71" i="6"/>
  <c r="C71" i="6"/>
  <c r="D71" i="6"/>
  <c r="P65" i="6"/>
  <c r="O65" i="6"/>
  <c r="BA65" i="6"/>
  <c r="AZ65" i="6"/>
  <c r="AK65" i="6"/>
  <c r="AJ65" i="6"/>
  <c r="AO65" i="6"/>
  <c r="AN65" i="6"/>
  <c r="AC65" i="6"/>
  <c r="AB65" i="6"/>
  <c r="D65" i="6"/>
  <c r="C65" i="6"/>
  <c r="BI58" i="6"/>
  <c r="BH58" i="6"/>
  <c r="AO59" i="6"/>
  <c r="AN59" i="6"/>
  <c r="BD58" i="6"/>
  <c r="BE58" i="6"/>
  <c r="X58" i="6"/>
  <c r="Y58" i="6"/>
  <c r="AG58" i="6"/>
  <c r="AF58" i="6"/>
  <c r="S58" i="6"/>
  <c r="T58" i="6"/>
  <c r="AR58" i="6"/>
  <c r="AS58" i="6"/>
  <c r="L58" i="6"/>
  <c r="K58" i="6"/>
  <c r="BA50" i="6"/>
  <c r="AZ50" i="6"/>
  <c r="BD51" i="6"/>
  <c r="BE51" i="6"/>
  <c r="AG51" i="6"/>
  <c r="AF51" i="6"/>
  <c r="AK50" i="6"/>
  <c r="AJ50" i="6"/>
  <c r="L51" i="6"/>
  <c r="K51" i="6"/>
  <c r="P50" i="6"/>
  <c r="O50" i="6"/>
  <c r="Y51" i="6"/>
  <c r="X51" i="6"/>
  <c r="BI51" i="6"/>
  <c r="BH51" i="6"/>
  <c r="AN50" i="6"/>
  <c r="AO50" i="6"/>
  <c r="AB50" i="6"/>
  <c r="AC50" i="6"/>
  <c r="T51" i="6"/>
  <c r="S51" i="6"/>
  <c r="AS51" i="6"/>
  <c r="AR51" i="6"/>
  <c r="D51" i="6"/>
  <c r="C51" i="6"/>
  <c r="AK42" i="6"/>
  <c r="AJ42" i="6"/>
  <c r="BE43" i="6"/>
  <c r="BD43" i="6"/>
  <c r="AS41" i="6"/>
  <c r="AR41" i="6"/>
  <c r="AG41" i="6"/>
  <c r="AF41" i="6"/>
  <c r="AC42" i="6"/>
  <c r="AB42" i="6"/>
  <c r="BI41" i="6"/>
  <c r="BH41" i="6"/>
  <c r="T41" i="6"/>
  <c r="S41" i="6"/>
  <c r="AO42" i="6"/>
  <c r="AN42" i="6"/>
  <c r="P42" i="6"/>
  <c r="O42" i="6"/>
  <c r="BA42" i="6"/>
  <c r="AZ42" i="6"/>
  <c r="Y43" i="6"/>
  <c r="X43" i="6"/>
  <c r="L41" i="6"/>
  <c r="K41" i="6"/>
  <c r="O31" i="6"/>
  <c r="P32" i="6" s="1"/>
  <c r="C41" i="6"/>
  <c r="D41" i="6"/>
  <c r="BI32" i="6"/>
  <c r="BH32" i="6"/>
  <c r="BE31" i="6"/>
  <c r="BD31" i="6"/>
  <c r="AZ31" i="6"/>
  <c r="BA31" i="6"/>
  <c r="AS31" i="6"/>
  <c r="AR31" i="6"/>
  <c r="AN31" i="6"/>
  <c r="AO31" i="6"/>
  <c r="AJ31" i="6"/>
  <c r="AK31" i="6"/>
  <c r="AC31" i="6"/>
  <c r="AB31" i="6"/>
  <c r="Y31" i="6"/>
  <c r="X31" i="6"/>
  <c r="L32" i="6"/>
  <c r="K32" i="6"/>
  <c r="D31" i="6"/>
  <c r="C31" i="6"/>
  <c r="BH19" i="6"/>
  <c r="BI19" i="6"/>
  <c r="BE19" i="6"/>
  <c r="BD19" i="6"/>
  <c r="BA19" i="6"/>
  <c r="AZ19" i="6"/>
  <c r="AR20" i="6"/>
  <c r="AS20" i="6"/>
  <c r="AO19" i="6"/>
  <c r="AN19" i="6"/>
  <c r="AK19" i="6"/>
  <c r="AJ19" i="6"/>
  <c r="AG19" i="6"/>
  <c r="AF19" i="6"/>
  <c r="X19" i="6"/>
  <c r="Y19" i="6"/>
  <c r="T19" i="6"/>
  <c r="S19" i="6"/>
  <c r="P20" i="6"/>
  <c r="O20" i="6"/>
  <c r="K19" i="6"/>
  <c r="L19" i="6"/>
  <c r="D20" i="6"/>
  <c r="C20" i="6"/>
  <c r="BI7" i="6"/>
  <c r="BH7" i="6"/>
  <c r="BD7" i="6"/>
  <c r="BE7" i="6"/>
  <c r="BA7" i="6"/>
  <c r="AZ7" i="6"/>
  <c r="AR7" i="6"/>
  <c r="AS7" i="6"/>
  <c r="AN8" i="6"/>
  <c r="AO8" i="6"/>
  <c r="AK8" i="6"/>
  <c r="AJ8" i="6"/>
  <c r="AG7" i="6"/>
  <c r="AF7" i="6"/>
  <c r="AB7" i="6"/>
  <c r="AC8" i="6" s="1"/>
  <c r="S7" i="6"/>
  <c r="T7" i="6"/>
  <c r="P7" i="6"/>
  <c r="O7" i="6"/>
  <c r="L8" i="6"/>
  <c r="K8" i="6"/>
  <c r="D75" i="6"/>
  <c r="C75" i="6"/>
  <c r="D36" i="9" l="1"/>
  <c r="E36" i="9" s="1"/>
  <c r="D42" i="9"/>
  <c r="E42" i="9" s="1"/>
  <c r="D43" i="9"/>
  <c r="E43" i="9" s="1"/>
  <c r="D38" i="9"/>
  <c r="E38" i="9" s="1"/>
  <c r="D54" i="9"/>
  <c r="E54" i="9" s="1"/>
  <c r="D51" i="9"/>
  <c r="E51" i="9" s="1"/>
  <c r="D55" i="9"/>
  <c r="E55" i="9" s="1"/>
  <c r="D52" i="9"/>
  <c r="E52" i="9" s="1"/>
  <c r="D45" i="9"/>
  <c r="E45" i="9" s="1"/>
  <c r="D53" i="9"/>
  <c r="E53" i="9" s="1"/>
  <c r="D44" i="9"/>
  <c r="E44" i="9" s="1"/>
  <c r="D47" i="9"/>
  <c r="E47" i="9" s="1"/>
  <c r="G59" i="9"/>
  <c r="C35" i="9"/>
  <c r="C59" i="9" s="1"/>
  <c r="H22" i="17"/>
  <c r="H8" i="17"/>
  <c r="I8" i="17" s="1"/>
  <c r="L8" i="17" s="1"/>
  <c r="P8" i="17" s="1"/>
  <c r="H13" i="17"/>
  <c r="H21" i="17"/>
  <c r="I21" i="17" s="1"/>
  <c r="O21" i="17" s="1"/>
  <c r="P21" i="17" s="1"/>
  <c r="H14" i="17"/>
  <c r="I14" i="17" s="1"/>
  <c r="N14" i="17" s="1"/>
  <c r="P14" i="17" s="1"/>
  <c r="H18" i="17"/>
  <c r="I18" i="17" s="1"/>
  <c r="N18" i="17" s="1"/>
  <c r="P18" i="17" s="1"/>
  <c r="H7" i="17"/>
  <c r="I7" i="17" s="1"/>
  <c r="J7" i="17" s="1"/>
  <c r="P7" i="17" s="1"/>
  <c r="H15" i="17"/>
  <c r="H4" i="17"/>
  <c r="H25" i="17"/>
  <c r="I25" i="17" s="1"/>
  <c r="O25" i="17" s="1"/>
  <c r="P25" i="17" s="1"/>
  <c r="H20" i="17"/>
  <c r="H31" i="17"/>
  <c r="I31" i="17" s="1"/>
  <c r="N31" i="17" s="1"/>
  <c r="P31" i="17" s="1"/>
  <c r="H30" i="17"/>
  <c r="I30" i="17" s="1"/>
  <c r="L30" i="17" s="1"/>
  <c r="P30" i="17" s="1"/>
  <c r="H32" i="17"/>
  <c r="I32" i="17" s="1"/>
  <c r="N32" i="17" s="1"/>
  <c r="P32" i="17" s="1"/>
  <c r="E39" i="9"/>
  <c r="H11" i="17"/>
  <c r="H23" i="17"/>
  <c r="I23" i="17" s="1"/>
  <c r="J23" i="17" s="1"/>
  <c r="P23" i="17" s="1"/>
  <c r="D41" i="9"/>
  <c r="E41" i="9" s="1"/>
  <c r="D37" i="9"/>
  <c r="E37" i="9" s="1"/>
  <c r="H10" i="17"/>
  <c r="D50" i="9"/>
  <c r="E50" i="9" s="1"/>
  <c r="H9" i="17"/>
  <c r="I9" i="17" s="1"/>
  <c r="L9" i="17" s="1"/>
  <c r="H28" i="17"/>
  <c r="I28" i="17" s="1"/>
  <c r="J28" i="17" s="1"/>
  <c r="P28" i="17" s="1"/>
  <c r="D56" i="9"/>
  <c r="E56" i="9" s="1"/>
  <c r="H12" i="17"/>
  <c r="I12" i="17" s="1"/>
  <c r="J12" i="17" s="1"/>
  <c r="P12" i="17" s="1"/>
  <c r="H19" i="17"/>
  <c r="I19" i="17" s="1"/>
  <c r="O19" i="17" s="1"/>
  <c r="P19" i="17" s="1"/>
  <c r="H17" i="17"/>
  <c r="H16" i="17"/>
  <c r="H5" i="17"/>
  <c r="I5" i="17" s="1"/>
  <c r="O5" i="17" s="1"/>
  <c r="P5" i="17" s="1"/>
  <c r="D49" i="9"/>
  <c r="E49" i="9" s="1"/>
  <c r="D57" i="9"/>
  <c r="E57" i="9" s="1"/>
  <c r="D46" i="9"/>
  <c r="E46" i="9" s="1"/>
  <c r="H6" i="17"/>
  <c r="I6" i="17" s="1"/>
  <c r="N6" i="17" s="1"/>
  <c r="P6" i="17" s="1"/>
  <c r="D48" i="9"/>
  <c r="E48" i="9" s="1"/>
  <c r="AA30" i="1"/>
  <c r="H3" i="17"/>
  <c r="D37" i="13"/>
  <c r="C67" i="13"/>
  <c r="BE66" i="6"/>
  <c r="S32" i="6"/>
  <c r="T33" i="6" s="1"/>
  <c r="D59" i="6"/>
  <c r="AS66" i="6"/>
  <c r="K66" i="6"/>
  <c r="Y8" i="6"/>
  <c r="BA59" i="6"/>
  <c r="AF66" i="6"/>
  <c r="AB59" i="6"/>
  <c r="AB60" i="6" s="1"/>
  <c r="X66" i="6"/>
  <c r="AJ59" i="6"/>
  <c r="AK60" i="6" s="1"/>
  <c r="S66" i="6"/>
  <c r="P59" i="6"/>
  <c r="AF32" i="6"/>
  <c r="AG33" i="6" s="1"/>
  <c r="BH66" i="6"/>
  <c r="D8" i="6"/>
  <c r="AC21" i="6"/>
  <c r="AC66" i="6"/>
  <c r="AB66" i="6"/>
  <c r="AK66" i="6"/>
  <c r="AJ66" i="6"/>
  <c r="AO66" i="6"/>
  <c r="AN66" i="6"/>
  <c r="BA66" i="6"/>
  <c r="AZ66" i="6"/>
  <c r="P66" i="6"/>
  <c r="O66" i="6"/>
  <c r="D66" i="6"/>
  <c r="C66" i="6"/>
  <c r="AG59" i="6"/>
  <c r="AF59" i="6"/>
  <c r="T59" i="6"/>
  <c r="S59" i="6"/>
  <c r="Y59" i="6"/>
  <c r="X59" i="6"/>
  <c r="AS59" i="6"/>
  <c r="AR59" i="6"/>
  <c r="BE59" i="6"/>
  <c r="BD59" i="6"/>
  <c r="BI59" i="6"/>
  <c r="BH59" i="6"/>
  <c r="L59" i="6"/>
  <c r="K59" i="6"/>
  <c r="P60" i="6"/>
  <c r="O60" i="6"/>
  <c r="AO60" i="6"/>
  <c r="AN60" i="6"/>
  <c r="BA60" i="6"/>
  <c r="AZ60" i="6"/>
  <c r="D60" i="6"/>
  <c r="C60" i="6"/>
  <c r="AO51" i="6"/>
  <c r="AN51" i="6"/>
  <c r="AS52" i="6"/>
  <c r="AR52" i="6"/>
  <c r="BI52" i="6"/>
  <c r="BH52" i="6"/>
  <c r="L52" i="6"/>
  <c r="K52" i="6"/>
  <c r="T52" i="6"/>
  <c r="S52" i="6"/>
  <c r="Y52" i="6"/>
  <c r="X52" i="6"/>
  <c r="AG52" i="6"/>
  <c r="AF52" i="6"/>
  <c r="AC51" i="6"/>
  <c r="AB51" i="6"/>
  <c r="BE52" i="6"/>
  <c r="BD52" i="6"/>
  <c r="P51" i="6"/>
  <c r="O51" i="6"/>
  <c r="AK51" i="6"/>
  <c r="AJ51" i="6"/>
  <c r="BA51" i="6"/>
  <c r="AZ51" i="6"/>
  <c r="D52" i="6"/>
  <c r="C52" i="6"/>
  <c r="BI42" i="6"/>
  <c r="BH42" i="6"/>
  <c r="Y44" i="6"/>
  <c r="X44" i="6"/>
  <c r="AO43" i="6"/>
  <c r="AN43" i="6"/>
  <c r="AC43" i="6"/>
  <c r="AB43" i="6"/>
  <c r="BE44" i="6"/>
  <c r="BD44" i="6"/>
  <c r="BA43" i="6"/>
  <c r="AZ43" i="6"/>
  <c r="T42" i="6"/>
  <c r="S42" i="6"/>
  <c r="AG42" i="6"/>
  <c r="AF42" i="6"/>
  <c r="L42" i="6"/>
  <c r="K42" i="6"/>
  <c r="P43" i="6"/>
  <c r="O43" i="6"/>
  <c r="AS42" i="6"/>
  <c r="AR42" i="6"/>
  <c r="AK43" i="6"/>
  <c r="AJ43" i="6"/>
  <c r="O32" i="6"/>
  <c r="P33" i="6" s="1"/>
  <c r="D42" i="6"/>
  <c r="C42" i="6"/>
  <c r="BH33" i="6"/>
  <c r="BI33" i="6"/>
  <c r="BD32" i="6"/>
  <c r="BE32" i="6"/>
  <c r="BA32" i="6"/>
  <c r="AZ32" i="6"/>
  <c r="AS32" i="6"/>
  <c r="AR32" i="6"/>
  <c r="AO32" i="6"/>
  <c r="AN32" i="6"/>
  <c r="AJ32" i="6"/>
  <c r="AK32" i="6"/>
  <c r="AC32" i="6"/>
  <c r="AB32" i="6"/>
  <c r="Y32" i="6"/>
  <c r="X32" i="6"/>
  <c r="L33" i="6"/>
  <c r="K33" i="6"/>
  <c r="D32" i="6"/>
  <c r="C32" i="6"/>
  <c r="BH20" i="6"/>
  <c r="BI20" i="6"/>
  <c r="BE20" i="6"/>
  <c r="BD20" i="6"/>
  <c r="BA20" i="6"/>
  <c r="AZ20" i="6"/>
  <c r="AS21" i="6"/>
  <c r="AR21" i="6"/>
  <c r="AO20" i="6"/>
  <c r="AN20" i="6"/>
  <c r="AK20" i="6"/>
  <c r="AJ20" i="6"/>
  <c r="AF20" i="6"/>
  <c r="AG20" i="6"/>
  <c r="AC22" i="6"/>
  <c r="AB22" i="6"/>
  <c r="X20" i="6"/>
  <c r="Y20" i="6"/>
  <c r="S20" i="6"/>
  <c r="T20" i="6"/>
  <c r="P21" i="6"/>
  <c r="O21" i="6"/>
  <c r="L20" i="6"/>
  <c r="K20" i="6"/>
  <c r="D21" i="6"/>
  <c r="C21" i="6"/>
  <c r="BH8" i="6"/>
  <c r="BI8" i="6"/>
  <c r="BE8" i="6"/>
  <c r="BD8" i="6"/>
  <c r="BA8" i="6"/>
  <c r="AZ8" i="6"/>
  <c r="AS8" i="6"/>
  <c r="AR8" i="6"/>
  <c r="AO9" i="6"/>
  <c r="AN9" i="6"/>
  <c r="AK9" i="6"/>
  <c r="AJ9" i="6"/>
  <c r="AG8" i="6"/>
  <c r="AF8" i="6"/>
  <c r="AB8" i="6"/>
  <c r="AB9" i="6" s="1"/>
  <c r="Y9" i="6"/>
  <c r="X9" i="6"/>
  <c r="T8" i="6"/>
  <c r="S8" i="6"/>
  <c r="P8" i="6"/>
  <c r="O8" i="6"/>
  <c r="L9" i="6"/>
  <c r="K9" i="6"/>
  <c r="D9" i="6"/>
  <c r="C9" i="6"/>
  <c r="D35" i="9" l="1"/>
  <c r="E35" i="9" s="1"/>
  <c r="E59" i="9" s="1"/>
  <c r="L37" i="17"/>
  <c r="L38" i="17" s="1"/>
  <c r="P9" i="17"/>
  <c r="I3" i="17"/>
  <c r="H37" i="17"/>
  <c r="E37" i="13"/>
  <c r="E67" i="13" s="1"/>
  <c r="D67" i="13"/>
  <c r="S33" i="6"/>
  <c r="S34" i="6" s="1"/>
  <c r="AC60" i="6"/>
  <c r="AJ60" i="6"/>
  <c r="AF33" i="6"/>
  <c r="AG34" i="6" s="1"/>
  <c r="O33" i="6"/>
  <c r="P34" i="6" s="1"/>
  <c r="T60" i="6"/>
  <c r="S60" i="6"/>
  <c r="AF60" i="6"/>
  <c r="AG60" i="6"/>
  <c r="K60" i="6"/>
  <c r="L60" i="6"/>
  <c r="AR60" i="6"/>
  <c r="AS60" i="6"/>
  <c r="BE60" i="6"/>
  <c r="BD60" i="6"/>
  <c r="Y60" i="6"/>
  <c r="X60" i="6"/>
  <c r="BI60" i="6"/>
  <c r="BH60" i="6"/>
  <c r="AZ52" i="6"/>
  <c r="BA52" i="6"/>
  <c r="AG53" i="6"/>
  <c r="AF53" i="6"/>
  <c r="AO52" i="6"/>
  <c r="AN52" i="6"/>
  <c r="AJ52" i="6"/>
  <c r="AK52" i="6"/>
  <c r="AC52" i="6"/>
  <c r="AB52" i="6"/>
  <c r="Y53" i="6"/>
  <c r="X53" i="6"/>
  <c r="K53" i="6"/>
  <c r="L53" i="6"/>
  <c r="O52" i="6"/>
  <c r="P52" i="6"/>
  <c r="S53" i="6"/>
  <c r="T53" i="6"/>
  <c r="BH53" i="6"/>
  <c r="BI53" i="6"/>
  <c r="BE53" i="6"/>
  <c r="BD53" i="6"/>
  <c r="AS53" i="6"/>
  <c r="AR53" i="6"/>
  <c r="D53" i="6"/>
  <c r="C53" i="6"/>
  <c r="AS43" i="6"/>
  <c r="AR43" i="6"/>
  <c r="BE45" i="6"/>
  <c r="BD45" i="6"/>
  <c r="AG43" i="6"/>
  <c r="AF43" i="6"/>
  <c r="AC44" i="6"/>
  <c r="AB44" i="6"/>
  <c r="AO44" i="6"/>
  <c r="AN44" i="6"/>
  <c r="BI43" i="6"/>
  <c r="BH43" i="6"/>
  <c r="P44" i="6"/>
  <c r="O44" i="6"/>
  <c r="T43" i="6"/>
  <c r="S43" i="6"/>
  <c r="AK44" i="6"/>
  <c r="AJ44" i="6"/>
  <c r="L43" i="6"/>
  <c r="K43" i="6"/>
  <c r="BA44" i="6"/>
  <c r="AZ44" i="6"/>
  <c r="Y45" i="6"/>
  <c r="X45" i="6"/>
  <c r="C43" i="6"/>
  <c r="D43" i="6"/>
  <c r="BI34" i="6"/>
  <c r="BH34" i="6"/>
  <c r="BE33" i="6"/>
  <c r="BD33" i="6"/>
  <c r="BA33" i="6"/>
  <c r="AZ33" i="6"/>
  <c r="AR33" i="6"/>
  <c r="AS33" i="6"/>
  <c r="AN33" i="6"/>
  <c r="AO33" i="6"/>
  <c r="AJ33" i="6"/>
  <c r="AK33" i="6"/>
  <c r="AC33" i="6"/>
  <c r="AB33" i="6"/>
  <c r="X33" i="6"/>
  <c r="Y33" i="6"/>
  <c r="K34" i="6"/>
  <c r="L34" i="6"/>
  <c r="D33" i="6"/>
  <c r="C33" i="6"/>
  <c r="BI21" i="6"/>
  <c r="BH21" i="6"/>
  <c r="BD21" i="6"/>
  <c r="BE21" i="6"/>
  <c r="BA21" i="6"/>
  <c r="AZ21" i="6"/>
  <c r="AS22" i="6"/>
  <c r="AR22" i="6"/>
  <c r="AN21" i="6"/>
  <c r="AO21" i="6"/>
  <c r="AK21" i="6"/>
  <c r="AJ21" i="6"/>
  <c r="AF21" i="6"/>
  <c r="AG21" i="6"/>
  <c r="AB23" i="6"/>
  <c r="AC23" i="6"/>
  <c r="Y21" i="6"/>
  <c r="X21" i="6"/>
  <c r="T21" i="6"/>
  <c r="S21" i="6"/>
  <c r="P22" i="6"/>
  <c r="O22" i="6"/>
  <c r="K21" i="6"/>
  <c r="L21" i="6"/>
  <c r="D22" i="6"/>
  <c r="C22" i="6"/>
  <c r="BH9" i="6"/>
  <c r="BI9" i="6"/>
  <c r="BE9" i="6"/>
  <c r="BD9" i="6"/>
  <c r="BA9" i="6"/>
  <c r="AZ9" i="6"/>
  <c r="AR9" i="6"/>
  <c r="AS9" i="6"/>
  <c r="AN10" i="6"/>
  <c r="AO10" i="6"/>
  <c r="AK10" i="6"/>
  <c r="AJ10" i="6"/>
  <c r="AG9" i="6"/>
  <c r="AF9" i="6"/>
  <c r="AC9" i="6"/>
  <c r="AC10" i="6"/>
  <c r="AB10" i="6"/>
  <c r="Y10" i="6"/>
  <c r="X10" i="6"/>
  <c r="T9" i="6"/>
  <c r="S9" i="6"/>
  <c r="P9" i="6"/>
  <c r="O9" i="6"/>
  <c r="L10" i="6"/>
  <c r="K10" i="6"/>
  <c r="D10" i="6"/>
  <c r="C10" i="6"/>
  <c r="D59" i="9" l="1"/>
  <c r="J3" i="17"/>
  <c r="P3" i="17" s="1"/>
  <c r="T34" i="6"/>
  <c r="AF34" i="6"/>
  <c r="AF35" i="6" s="1"/>
  <c r="O34" i="6"/>
  <c r="P35" i="6" s="1"/>
  <c r="AO53" i="6"/>
  <c r="AN53" i="6"/>
  <c r="AC53" i="6"/>
  <c r="AB53" i="6"/>
  <c r="P53" i="6"/>
  <c r="O53" i="6"/>
  <c r="AK53" i="6"/>
  <c r="AJ53" i="6"/>
  <c r="BA53" i="6"/>
  <c r="AZ53" i="6"/>
  <c r="BA45" i="6"/>
  <c r="AZ45" i="6"/>
  <c r="AO45" i="6"/>
  <c r="AN45" i="6"/>
  <c r="AC45" i="6"/>
  <c r="AB45" i="6"/>
  <c r="L44" i="6"/>
  <c r="K44" i="6"/>
  <c r="P45" i="6"/>
  <c r="O45" i="6"/>
  <c r="AG44" i="6"/>
  <c r="AF44" i="6"/>
  <c r="T44" i="6"/>
  <c r="S44" i="6"/>
  <c r="AK45" i="6"/>
  <c r="AJ45" i="6"/>
  <c r="BI44" i="6"/>
  <c r="BH44" i="6"/>
  <c r="AS44" i="6"/>
  <c r="AR44" i="6"/>
  <c r="D44" i="6"/>
  <c r="C44" i="6"/>
  <c r="BI35" i="6"/>
  <c r="BH35" i="6"/>
  <c r="BE34" i="6"/>
  <c r="BD34" i="6"/>
  <c r="BA34" i="6"/>
  <c r="AZ34" i="6"/>
  <c r="AS34" i="6"/>
  <c r="AR34" i="6"/>
  <c r="AO34" i="6"/>
  <c r="AN34" i="6"/>
  <c r="AK34" i="6"/>
  <c r="AJ34" i="6"/>
  <c r="AC34" i="6"/>
  <c r="AB34" i="6"/>
  <c r="Y34" i="6"/>
  <c r="X34" i="6"/>
  <c r="T35" i="6"/>
  <c r="S35" i="6"/>
  <c r="L35" i="6"/>
  <c r="K35" i="6"/>
  <c r="D34" i="6"/>
  <c r="C34" i="6"/>
  <c r="BI22" i="6"/>
  <c r="BH22" i="6"/>
  <c r="BE22" i="6"/>
  <c r="BD22" i="6"/>
  <c r="BA22" i="6"/>
  <c r="AZ22" i="6"/>
  <c r="AS23" i="6"/>
  <c r="AR23" i="6"/>
  <c r="AO22" i="6"/>
  <c r="AN22" i="6"/>
  <c r="AK22" i="6"/>
  <c r="AJ22" i="6"/>
  <c r="AG22" i="6"/>
  <c r="AF22" i="6"/>
  <c r="AC24" i="6"/>
  <c r="AB24" i="6"/>
  <c r="Y22" i="6"/>
  <c r="X22" i="6"/>
  <c r="T22" i="6"/>
  <c r="S22" i="6"/>
  <c r="P23" i="6"/>
  <c r="O23" i="6"/>
  <c r="L22" i="6"/>
  <c r="K22" i="6"/>
  <c r="D23" i="6"/>
  <c r="C23" i="6"/>
  <c r="BI10" i="6"/>
  <c r="BH10" i="6"/>
  <c r="BE10" i="6"/>
  <c r="BD10" i="6"/>
  <c r="BA10" i="6"/>
  <c r="AZ10" i="6"/>
  <c r="AS10" i="6"/>
  <c r="AR10" i="6"/>
  <c r="AO11" i="6"/>
  <c r="AN11" i="6"/>
  <c r="AK11" i="6"/>
  <c r="AJ11" i="6"/>
  <c r="AG10" i="6"/>
  <c r="AF10" i="6"/>
  <c r="AC11" i="6"/>
  <c r="AB11" i="6"/>
  <c r="Y11" i="6"/>
  <c r="X11" i="6"/>
  <c r="T10" i="6"/>
  <c r="S10" i="6"/>
  <c r="P10" i="6"/>
  <c r="O10" i="6"/>
  <c r="K11" i="6"/>
  <c r="L11" i="6"/>
  <c r="C11" i="6"/>
  <c r="D11" i="6"/>
  <c r="AG35" i="6" l="1"/>
  <c r="O35" i="6"/>
  <c r="P36" i="6" s="1"/>
  <c r="L45" i="6"/>
  <c r="K45" i="6"/>
  <c r="AS45" i="6"/>
  <c r="AR45" i="6"/>
  <c r="BI45" i="6"/>
  <c r="BH45" i="6"/>
  <c r="AG45" i="6"/>
  <c r="AF45" i="6"/>
  <c r="T45" i="6"/>
  <c r="S45" i="6"/>
  <c r="C45" i="6"/>
  <c r="D45" i="6"/>
  <c r="BI36" i="6"/>
  <c r="BH36" i="6"/>
  <c r="BE35" i="6"/>
  <c r="BD35" i="6"/>
  <c r="AZ35" i="6"/>
  <c r="BA35" i="6"/>
  <c r="AR35" i="6"/>
  <c r="AS35" i="6"/>
  <c r="AO35" i="6"/>
  <c r="AN35" i="6"/>
  <c r="AJ35" i="6"/>
  <c r="AK35" i="6"/>
  <c r="AG36" i="6"/>
  <c r="AF36" i="6"/>
  <c r="AC35" i="6"/>
  <c r="AB35" i="6"/>
  <c r="Y35" i="6"/>
  <c r="X35" i="6"/>
  <c r="T36" i="6"/>
  <c r="S36" i="6"/>
  <c r="L36" i="6"/>
  <c r="K36" i="6"/>
  <c r="D35" i="6"/>
  <c r="C35" i="6"/>
  <c r="BH23" i="6"/>
  <c r="BI23" i="6"/>
  <c r="BE23" i="6"/>
  <c r="BD23" i="6"/>
  <c r="BA23" i="6"/>
  <c r="AZ23" i="6"/>
  <c r="AS24" i="6"/>
  <c r="AR24" i="6"/>
  <c r="AO23" i="6"/>
  <c r="AN23" i="6"/>
  <c r="AK23" i="6"/>
  <c r="AJ23" i="6"/>
  <c r="AG23" i="6"/>
  <c r="AF23" i="6"/>
  <c r="AB25" i="6"/>
  <c r="AC25" i="6"/>
  <c r="Y23" i="6"/>
  <c r="X23" i="6"/>
  <c r="T23" i="6"/>
  <c r="S23" i="6"/>
  <c r="P24" i="6"/>
  <c r="O24" i="6"/>
  <c r="L23" i="6"/>
  <c r="K23" i="6"/>
  <c r="D24" i="6"/>
  <c r="C24" i="6"/>
  <c r="BI11" i="6"/>
  <c r="BH11" i="6"/>
  <c r="BD11" i="6"/>
  <c r="BE11" i="6"/>
  <c r="BA11" i="6"/>
  <c r="AZ11" i="6"/>
  <c r="AR11" i="6"/>
  <c r="AS11" i="6"/>
  <c r="AN12" i="6"/>
  <c r="AO12" i="6"/>
  <c r="AK12" i="6"/>
  <c r="AJ12" i="6"/>
  <c r="AG11" i="6"/>
  <c r="AF11" i="6"/>
  <c r="AB12" i="6"/>
  <c r="AC12" i="6"/>
  <c r="Y12" i="6"/>
  <c r="X12" i="6"/>
  <c r="S11" i="6"/>
  <c r="T11" i="6"/>
  <c r="P11" i="6"/>
  <c r="O11" i="6"/>
  <c r="L12" i="6"/>
  <c r="K12" i="6"/>
  <c r="D12" i="6"/>
  <c r="C12" i="6"/>
  <c r="O36" i="6" l="1"/>
  <c r="BE36" i="6"/>
  <c r="BD36" i="6"/>
  <c r="AZ36" i="6"/>
  <c r="BA36" i="6"/>
  <c r="AS36" i="6"/>
  <c r="AR36" i="6"/>
  <c r="AO36" i="6"/>
  <c r="AN36" i="6"/>
  <c r="AJ36" i="6"/>
  <c r="AK36" i="6"/>
  <c r="AC36" i="6"/>
  <c r="AB36" i="6"/>
  <c r="Y36" i="6"/>
  <c r="X36" i="6"/>
  <c r="D36" i="6"/>
  <c r="C36" i="6"/>
  <c r="BI24" i="6"/>
  <c r="BH24" i="6"/>
  <c r="BD24" i="6"/>
  <c r="BE24" i="6"/>
  <c r="BA24" i="6"/>
  <c r="AZ24" i="6"/>
  <c r="AS25" i="6"/>
  <c r="AR25" i="6"/>
  <c r="AO24" i="6"/>
  <c r="AN24" i="6"/>
  <c r="AK24" i="6"/>
  <c r="AJ24" i="6"/>
  <c r="AF24" i="6"/>
  <c r="AG24" i="6"/>
  <c r="X24" i="6"/>
  <c r="Y24" i="6"/>
  <c r="S24" i="6"/>
  <c r="T24" i="6"/>
  <c r="P25" i="6"/>
  <c r="O25" i="6"/>
  <c r="L24" i="6"/>
  <c r="K24" i="6"/>
  <c r="D25" i="6"/>
  <c r="C25" i="6"/>
  <c r="BI12" i="6"/>
  <c r="BH12" i="6"/>
  <c r="BE12" i="6"/>
  <c r="BD12" i="6"/>
  <c r="BA12" i="6"/>
  <c r="AZ12" i="6"/>
  <c r="AS12" i="6"/>
  <c r="AR12" i="6"/>
  <c r="AO13" i="6"/>
  <c r="AN13" i="6"/>
  <c r="AK13" i="6"/>
  <c r="AJ13" i="6"/>
  <c r="AG12" i="6"/>
  <c r="AF12" i="6"/>
  <c r="AC13" i="6"/>
  <c r="AB13" i="6"/>
  <c r="Y13" i="6"/>
  <c r="X13" i="6"/>
  <c r="T12" i="6"/>
  <c r="S12" i="6"/>
  <c r="P12" i="6"/>
  <c r="O12" i="6"/>
  <c r="L13" i="6"/>
  <c r="K13" i="6"/>
  <c r="D13" i="6"/>
  <c r="C13" i="6"/>
  <c r="BI25" i="6" l="1"/>
  <c r="BH25" i="6"/>
  <c r="BD25" i="6"/>
  <c r="BE25" i="6"/>
  <c r="BA25" i="6"/>
  <c r="AZ25" i="6"/>
  <c r="AN25" i="6"/>
  <c r="AO25" i="6"/>
  <c r="AK25" i="6"/>
  <c r="AJ25" i="6"/>
  <c r="AG25" i="6"/>
  <c r="AF25" i="6"/>
  <c r="Y25" i="6"/>
  <c r="X25" i="6"/>
  <c r="T25" i="6"/>
  <c r="S25" i="6"/>
  <c r="K25" i="6"/>
  <c r="L25" i="6"/>
  <c r="BI13" i="6"/>
  <c r="BH13" i="6"/>
  <c r="BE13" i="6"/>
  <c r="BD13" i="6"/>
  <c r="BA13" i="6"/>
  <c r="AZ13" i="6"/>
  <c r="AS13" i="6"/>
  <c r="AR13" i="6"/>
  <c r="AN14" i="6"/>
  <c r="AO14" i="6"/>
  <c r="AK14" i="6"/>
  <c r="AJ14" i="6"/>
  <c r="AG13" i="6"/>
  <c r="AF13" i="6"/>
  <c r="AC14" i="6"/>
  <c r="AB14" i="6"/>
  <c r="AB80" i="6" s="1"/>
  <c r="Y14" i="6"/>
  <c r="X14" i="6"/>
  <c r="T13" i="6"/>
  <c r="S13" i="6"/>
  <c r="P13" i="6"/>
  <c r="O13" i="6"/>
  <c r="K14" i="6"/>
  <c r="L14" i="6"/>
  <c r="D14" i="6"/>
  <c r="C14" i="6"/>
  <c r="C80" i="6" s="1"/>
  <c r="X80" i="6" l="1"/>
  <c r="X83" i="6" s="1"/>
  <c r="AN80" i="6"/>
  <c r="AN83" i="6" s="1"/>
  <c r="AJ80" i="6"/>
  <c r="AJ83" i="6" s="1"/>
  <c r="K80" i="6"/>
  <c r="K85" i="6" s="1"/>
  <c r="D4" i="14" s="1"/>
  <c r="F4" i="14" s="1"/>
  <c r="H4" i="14" s="1"/>
  <c r="BI14" i="6"/>
  <c r="BH14" i="6"/>
  <c r="BH80" i="6" s="1"/>
  <c r="BE14" i="6"/>
  <c r="BD14" i="6"/>
  <c r="BD80" i="6" s="1"/>
  <c r="BA14" i="6"/>
  <c r="AZ14" i="6"/>
  <c r="AZ80" i="6" s="1"/>
  <c r="AS14" i="6"/>
  <c r="AR14" i="6"/>
  <c r="AR80" i="6" s="1"/>
  <c r="AG14" i="6"/>
  <c r="AF14" i="6"/>
  <c r="AF80" i="6" s="1"/>
  <c r="AB85" i="6"/>
  <c r="D8" i="14" s="1"/>
  <c r="F8" i="14" s="1"/>
  <c r="H8" i="14" s="1"/>
  <c r="AB83" i="6"/>
  <c r="T14" i="6"/>
  <c r="S14" i="6"/>
  <c r="S80" i="6" s="1"/>
  <c r="P14" i="6"/>
  <c r="O14" i="6"/>
  <c r="O80" i="6" s="1"/>
  <c r="C85" i="6"/>
  <c r="C83" i="6"/>
  <c r="C3" i="17" l="1"/>
  <c r="C4" i="17"/>
  <c r="E4" i="17" s="1"/>
  <c r="F4" i="17" s="1"/>
  <c r="I4" i="17" s="1"/>
  <c r="AB87" i="6"/>
  <c r="C11" i="17"/>
  <c r="E11" i="17" s="1"/>
  <c r="F11" i="17" s="1"/>
  <c r="I11" i="17" s="1"/>
  <c r="C15" i="17"/>
  <c r="E15" i="17" s="1"/>
  <c r="F15" i="17" s="1"/>
  <c r="I15" i="17" s="1"/>
  <c r="C21" i="17"/>
  <c r="E21" i="17" s="1"/>
  <c r="X85" i="6"/>
  <c r="D7" i="14" s="1"/>
  <c r="F7" i="14" s="1"/>
  <c r="H7" i="14" s="1"/>
  <c r="AJ85" i="6"/>
  <c r="D10" i="14" s="1"/>
  <c r="F10" i="14" s="1"/>
  <c r="AN85" i="6"/>
  <c r="D11" i="14" s="1"/>
  <c r="F11" i="14" s="1"/>
  <c r="H11" i="14" s="1"/>
  <c r="K83" i="6"/>
  <c r="BH85" i="6"/>
  <c r="BH83" i="6"/>
  <c r="BD85" i="6"/>
  <c r="D15" i="14" s="1"/>
  <c r="F15" i="14" s="1"/>
  <c r="H15" i="14" s="1"/>
  <c r="BD83" i="6"/>
  <c r="AZ85" i="6"/>
  <c r="D14" i="14" s="1"/>
  <c r="F14" i="14" s="1"/>
  <c r="H14" i="14" s="1"/>
  <c r="AZ83" i="6"/>
  <c r="AR83" i="6"/>
  <c r="AR85" i="6"/>
  <c r="D13" i="14" s="1"/>
  <c r="F13" i="14" s="1"/>
  <c r="H13" i="14" s="1"/>
  <c r="AF85" i="6"/>
  <c r="D9" i="14" s="1"/>
  <c r="F9" i="14" s="1"/>
  <c r="H9" i="14" s="1"/>
  <c r="AF83" i="6"/>
  <c r="S83" i="6"/>
  <c r="S85" i="6"/>
  <c r="D6" i="14" s="1"/>
  <c r="F6" i="14" s="1"/>
  <c r="H6" i="14" s="1"/>
  <c r="O85" i="6"/>
  <c r="D5" i="14" s="1"/>
  <c r="F5" i="14" s="1"/>
  <c r="H5" i="14" s="1"/>
  <c r="O83" i="6"/>
  <c r="H10" i="14" l="1"/>
  <c r="G18" i="14"/>
  <c r="K4" i="17"/>
  <c r="P4" i="17" s="1"/>
  <c r="C6" i="17"/>
  <c r="E6" i="17" s="1"/>
  <c r="AJ87" i="6"/>
  <c r="C13" i="17"/>
  <c r="E13" i="17" s="1"/>
  <c r="F13" i="17" s="1"/>
  <c r="I13" i="17" s="1"/>
  <c r="C7" i="17"/>
  <c r="E7" i="17" s="1"/>
  <c r="G7" i="17" s="1"/>
  <c r="G37" i="17" s="1"/>
  <c r="C43" i="17" s="1"/>
  <c r="C45" i="17" s="1"/>
  <c r="AR87" i="6"/>
  <c r="C17" i="17"/>
  <c r="E17" i="17" s="1"/>
  <c r="F17" i="17" s="1"/>
  <c r="I17" i="17" s="1"/>
  <c r="AZ87" i="6"/>
  <c r="C19" i="17"/>
  <c r="E19" i="17" s="1"/>
  <c r="BD87" i="6"/>
  <c r="C20" i="17"/>
  <c r="E20" i="17" s="1"/>
  <c r="F20" i="17" s="1"/>
  <c r="I20" i="17" s="1"/>
  <c r="O87" i="6"/>
  <c r="C5" i="17"/>
  <c r="AN87" i="6"/>
  <c r="C16" i="17"/>
  <c r="E16" i="17" s="1"/>
  <c r="F16" i="17" s="1"/>
  <c r="I16" i="17" s="1"/>
  <c r="C8" i="17"/>
  <c r="E8" i="17" s="1"/>
  <c r="BH87" i="6"/>
  <c r="C22" i="17"/>
  <c r="E22" i="17" s="1"/>
  <c r="F22" i="17" s="1"/>
  <c r="I22" i="17" s="1"/>
  <c r="N15" i="17"/>
  <c r="N37" i="17" s="1"/>
  <c r="N38" i="17" s="1"/>
  <c r="C9" i="17"/>
  <c r="E9" i="17" s="1"/>
  <c r="K11" i="17"/>
  <c r="P11" i="17" s="1"/>
  <c r="AF87" i="6"/>
  <c r="C12" i="17"/>
  <c r="E12" i="17" s="1"/>
  <c r="X87" i="6"/>
  <c r="C10" i="17"/>
  <c r="E10" i="17" s="1"/>
  <c r="F10" i="17" s="1"/>
  <c r="K87" i="6"/>
  <c r="G9" i="14" l="1"/>
  <c r="G14" i="14"/>
  <c r="G5" i="14"/>
  <c r="G4" i="14"/>
  <c r="G6" i="14"/>
  <c r="G7" i="14"/>
  <c r="G15" i="14"/>
  <c r="G13" i="14"/>
  <c r="G19" i="14"/>
  <c r="G11" i="14"/>
  <c r="G10" i="14"/>
  <c r="G8" i="14"/>
  <c r="G16" i="14"/>
  <c r="G3" i="14"/>
  <c r="G17" i="14"/>
  <c r="N17" i="17"/>
  <c r="P17" i="17" s="1"/>
  <c r="P15" i="17"/>
  <c r="N22" i="17"/>
  <c r="P22" i="17" s="1"/>
  <c r="M13" i="17"/>
  <c r="M37" i="17" s="1"/>
  <c r="M38" i="17" s="1"/>
  <c r="O16" i="17"/>
  <c r="I10" i="17"/>
  <c r="F37" i="17"/>
  <c r="O20" i="17"/>
  <c r="P20" i="17" s="1"/>
  <c r="E5" i="17"/>
  <c r="C37" i="17"/>
  <c r="K37" i="17"/>
  <c r="K38" i="17" s="1"/>
  <c r="F38" i="17" l="1"/>
  <c r="C42" i="17"/>
  <c r="J10" i="17"/>
  <c r="J37" i="17" s="1"/>
  <c r="I37" i="17"/>
  <c r="O37" i="17"/>
  <c r="O38" i="17" s="1"/>
  <c r="P16" i="17"/>
  <c r="P13" i="17"/>
  <c r="P10" i="17" l="1"/>
  <c r="P37" i="17"/>
  <c r="P38" i="17" s="1"/>
  <c r="J38" i="17"/>
  <c r="D44" i="17"/>
  <c r="E44" i="17" s="1"/>
  <c r="E43" i="17"/>
  <c r="C46" i="17"/>
  <c r="D46" i="17" l="1"/>
  <c r="F46" i="17" s="1"/>
  <c r="H40" i="17"/>
  <c r="AL6" i="15" l="1"/>
  <c r="AH31" i="15"/>
  <c r="AO6" i="15" l="1"/>
  <c r="AM6" i="15"/>
  <c r="AL31" i="15"/>
  <c r="AO31" i="15" l="1"/>
  <c r="AT6" i="15"/>
  <c r="AP31" i="15"/>
  <c r="AU6" i="15" l="1"/>
  <c r="AW6" i="15"/>
  <c r="AT31" i="15"/>
  <c r="AW31" i="15" l="1"/>
  <c r="BB6" i="15"/>
  <c r="BE6" i="15" l="1"/>
  <c r="BC6" i="15"/>
  <c r="BB31" i="15"/>
  <c r="BE31" i="15" l="1"/>
  <c r="BH31" i="15" s="1"/>
  <c r="BJ6" i="15"/>
  <c r="BK6" i="15" l="1"/>
  <c r="BJ31" i="15"/>
  <c r="BM6" i="15"/>
  <c r="BS6" i="15" l="1"/>
  <c r="BM31" i="15"/>
  <c r="BT6" i="15" l="1"/>
  <c r="BV6" i="15"/>
  <c r="BS31" i="15"/>
  <c r="J6" i="9" l="1"/>
  <c r="K6" i="9" s="1"/>
  <c r="CB6" i="15"/>
  <c r="BV31" i="15"/>
  <c r="CE6" i="15" l="1"/>
  <c r="CL6" i="15" s="1"/>
  <c r="CO6" i="15" s="1"/>
  <c r="CC6" i="15"/>
  <c r="CB31" i="15"/>
  <c r="CE31" i="15" l="1"/>
  <c r="CM6" i="15" l="1"/>
  <c r="CL31" i="15"/>
  <c r="CO31" i="15" l="1"/>
  <c r="CR6" i="15"/>
  <c r="CU6" i="15" s="1"/>
  <c r="CX6" i="15" l="1"/>
  <c r="CU31" i="15"/>
  <c r="CV6" i="15"/>
  <c r="DA6" i="15" l="1"/>
  <c r="CX31" i="15"/>
  <c r="DC6" i="15" l="1"/>
  <c r="C86" i="6" s="1"/>
  <c r="E2" i="14" s="1"/>
  <c r="DA31" i="15"/>
  <c r="DD6" i="15"/>
  <c r="DC31" i="15"/>
  <c r="D3" i="17"/>
  <c r="P2" i="14" l="1"/>
  <c r="P31" i="14" s="1"/>
  <c r="E28" i="14"/>
  <c r="F2" i="14"/>
  <c r="G2" i="14" s="1"/>
  <c r="G28" i="14" s="1"/>
  <c r="C87" i="6"/>
  <c r="D37" i="17"/>
  <c r="E3" i="17"/>
  <c r="E37" i="17" s="1"/>
  <c r="H2" i="14" l="1"/>
  <c r="H28" i="14" s="1"/>
  <c r="D32" i="14" s="1"/>
  <c r="D33" i="14" s="1"/>
  <c r="F28" i="14"/>
  <c r="S2" i="14"/>
  <c r="S31" i="14" s="1"/>
  <c r="Q2" i="14"/>
  <c r="Q31" i="14" s="1"/>
  <c r="D34" i="14" l="1"/>
  <c r="D36" i="14" s="1"/>
  <c r="D38" i="14" s="1"/>
  <c r="R2" i="14"/>
  <c r="R31" i="14" s="1"/>
  <c r="K25" i="14" l="1"/>
  <c r="K12" i="14"/>
  <c r="K10" i="14"/>
  <c r="K2" i="14"/>
  <c r="K5" i="14"/>
  <c r="K4" i="14"/>
  <c r="K13" i="14"/>
  <c r="K11" i="14"/>
  <c r="K26" i="14"/>
  <c r="K9" i="14"/>
  <c r="K24" i="14"/>
  <c r="K8" i="14"/>
  <c r="K23" i="14"/>
  <c r="K7" i="14"/>
  <c r="K22" i="14"/>
  <c r="K21" i="14"/>
  <c r="K19" i="14"/>
  <c r="K6" i="14"/>
  <c r="K3" i="14"/>
  <c r="K17" i="14"/>
  <c r="K15" i="14"/>
  <c r="K18" i="14"/>
  <c r="T30" i="14"/>
  <c r="T31" i="14"/>
  <c r="K20" i="14" l="1"/>
  <c r="K14" i="14"/>
  <c r="K16" i="14"/>
  <c r="M5" i="14"/>
  <c r="U3" i="14"/>
  <c r="T33" i="14"/>
  <c r="T34" i="14" s="1"/>
  <c r="Q32" i="14" s="1"/>
  <c r="T32" i="14"/>
  <c r="K28" i="14" l="1"/>
  <c r="I2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<sst xmlns="http://schemas.openxmlformats.org/spreadsheetml/2006/main" count="3321" uniqueCount="212">
  <si>
    <t>MEETING</t>
  </si>
  <si>
    <t>NOVEMBER</t>
  </si>
  <si>
    <t>DECEMBER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</si>
  <si>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</si>
  <si>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</si>
  <si>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</si>
  <si>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</si>
  <si>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</si>
  <si>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</si>
  <si>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</si>
  <si>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</si>
  <si>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No</t>
  </si>
  <si>
    <t>FULL NAMES</t>
  </si>
  <si>
    <t>SHARES</t>
  </si>
  <si>
    <t>TOTAL</t>
  </si>
  <si>
    <t>GRAND SHARES</t>
  </si>
  <si>
    <t>GRAND TOTAL INVESTED</t>
  </si>
  <si>
    <t>LOAN ELIGIBILTY</t>
  </si>
  <si>
    <t>Abigail Mundia</t>
  </si>
  <si>
    <t>Andrew</t>
  </si>
  <si>
    <t>Arthur</t>
  </si>
  <si>
    <t>Evans</t>
  </si>
  <si>
    <t>Jesper</t>
  </si>
  <si>
    <t>Joshua</t>
  </si>
  <si>
    <t>Kampamba</t>
  </si>
  <si>
    <t>Karen Mwinga</t>
  </si>
  <si>
    <t>Keji</t>
  </si>
  <si>
    <t>Kombe</t>
  </si>
  <si>
    <t>Khucwayo</t>
  </si>
  <si>
    <t>Kwibisa</t>
  </si>
  <si>
    <t>Michael</t>
  </si>
  <si>
    <t>Millie</t>
  </si>
  <si>
    <t>Mukuma</t>
  </si>
  <si>
    <t>Mumba</t>
  </si>
  <si>
    <t>Mumbi</t>
  </si>
  <si>
    <t>Nyanyiwe</t>
  </si>
  <si>
    <t>Pamela</t>
  </si>
  <si>
    <t>Schuller</t>
  </si>
  <si>
    <t>Shubart</t>
  </si>
  <si>
    <t>Solomon</t>
  </si>
  <si>
    <t>Tumelo</t>
  </si>
  <si>
    <t>INSURANCE</t>
  </si>
  <si>
    <t>SHARES OUT</t>
  </si>
  <si>
    <t>SHARE-LOAN</t>
  </si>
  <si>
    <t>PEOPLE GET SHAREOUT</t>
  </si>
  <si>
    <t>REDLIST</t>
  </si>
  <si>
    <t>Excess</t>
  </si>
  <si>
    <t xml:space="preserve">Total
SHARE+
EXCESS </t>
  </si>
  <si>
    <t>Mwenya</t>
  </si>
  <si>
    <t xml:space="preserve">Benson </t>
  </si>
  <si>
    <t>Davies</t>
  </si>
  <si>
    <t xml:space="preserve">Evans </t>
  </si>
  <si>
    <t>Gilbert</t>
  </si>
  <si>
    <t>Jesper Chola</t>
  </si>
  <si>
    <t>Karen S</t>
  </si>
  <si>
    <t>Kebby</t>
  </si>
  <si>
    <t>Mike</t>
  </si>
  <si>
    <t>Mofya</t>
  </si>
  <si>
    <t>Nancy Mwila</t>
  </si>
  <si>
    <t>Paul</t>
  </si>
  <si>
    <t>Zeko</t>
  </si>
  <si>
    <t>PEOPLE GETTING SHAREOUT</t>
  </si>
  <si>
    <t>ADMINS</t>
  </si>
  <si>
    <t>REDLIST + ADMINS</t>
  </si>
  <si>
    <t>MAY TRANSACTIONS</t>
  </si>
  <si>
    <t>Name</t>
  </si>
  <si>
    <t>Shares</t>
  </si>
  <si>
    <t>LR1</t>
  </si>
  <si>
    <t>Penalty</t>
  </si>
  <si>
    <t>Insurance</t>
  </si>
  <si>
    <t>LA</t>
  </si>
  <si>
    <t>Total</t>
  </si>
  <si>
    <t>Recipient &gt;</t>
  </si>
  <si>
    <t>Sender</t>
  </si>
  <si>
    <t>TOTAL LOAN</t>
  </si>
  <si>
    <t>FL</t>
  </si>
  <si>
    <t>FL Interest</t>
  </si>
  <si>
    <t>Chilombo</t>
  </si>
  <si>
    <t>Phyllis</t>
  </si>
  <si>
    <t>Karen M</t>
  </si>
  <si>
    <t>July</t>
  </si>
  <si>
    <t>August</t>
  </si>
  <si>
    <t>September</t>
  </si>
  <si>
    <t>October</t>
  </si>
  <si>
    <t>Abigail</t>
  </si>
  <si>
    <t>Karen</t>
  </si>
  <si>
    <t>Grand Total</t>
  </si>
  <si>
    <t>GROSS SHARES OUT</t>
  </si>
  <si>
    <t>Loan</t>
  </si>
  <si>
    <t>Net Share
 Out</t>
  </si>
  <si>
    <t>Share Out</t>
  </si>
  <si>
    <t>Red List</t>
  </si>
  <si>
    <t>Net 
Shareout</t>
  </si>
  <si>
    <t>Admin</t>
  </si>
  <si>
    <t>Totals</t>
  </si>
  <si>
    <t>Bal</t>
  </si>
  <si>
    <t>Admins</t>
  </si>
  <si>
    <t>Loans</t>
  </si>
  <si>
    <t>INFRACash 2025</t>
  </si>
  <si>
    <t>LOAN TRANSACTIONS</t>
  </si>
  <si>
    <t>FEBRUARY</t>
  </si>
  <si>
    <t>SEPTEMBER</t>
  </si>
  <si>
    <t>OCTOBER</t>
  </si>
  <si>
    <t>Saving</t>
  </si>
  <si>
    <t>Loan Application</t>
  </si>
  <si>
    <t>Loan Repayment</t>
  </si>
  <si>
    <t>Credit Limit</t>
  </si>
  <si>
    <t>Member ID</t>
  </si>
  <si>
    <t>Opening Loan Balance</t>
  </si>
  <si>
    <t>Loan repayment</t>
  </si>
  <si>
    <t>Interest 5%</t>
  </si>
  <si>
    <t>Interest 10%</t>
  </si>
  <si>
    <t>Closing Loan Balance</t>
  </si>
  <si>
    <t>Penalt</t>
  </si>
  <si>
    <t>Forced
 Loan</t>
  </si>
  <si>
    <t>Fines/Penalties</t>
  </si>
  <si>
    <t>NOVEMBER LOANS REPAYMENT SCHEDULE</t>
  </si>
  <si>
    <t>December</t>
  </si>
  <si>
    <t>January</t>
  </si>
  <si>
    <t>February</t>
  </si>
  <si>
    <t>March</t>
  </si>
  <si>
    <t>April</t>
  </si>
  <si>
    <t>May</t>
  </si>
  <si>
    <t>June</t>
  </si>
  <si>
    <t>AMOUNT</t>
  </si>
  <si>
    <t>INTEREST %</t>
  </si>
  <si>
    <t>TOTAL DUE</t>
  </si>
  <si>
    <t>PAID</t>
  </si>
  <si>
    <t>REDUCING BALANCE</t>
  </si>
  <si>
    <t>REDUCING BALANCE PLUS 5%</t>
  </si>
  <si>
    <t>Closed</t>
  </si>
  <si>
    <t>Kwibisa Kalumba</t>
  </si>
  <si>
    <t>Richard</t>
  </si>
  <si>
    <t>DECEMBER LOANS REPAYMENT SCHEDULE</t>
  </si>
  <si>
    <t>Keji 2</t>
  </si>
  <si>
    <t>Shuller</t>
  </si>
  <si>
    <t>Micheal</t>
  </si>
  <si>
    <t>Kamps</t>
  </si>
  <si>
    <t>JANUARY LOANS REPAYMENT SCHEDULE</t>
  </si>
  <si>
    <t>Benson</t>
  </si>
  <si>
    <t>Kamps2</t>
  </si>
  <si>
    <t>FEBRUARY LOANS REPAYMENT SCHEDULE</t>
  </si>
  <si>
    <t>MARCH LOANS REPAYMENT SCHEDULE</t>
  </si>
  <si>
    <t>APRIL LOANS REPAYMENT SCHEDULE</t>
  </si>
  <si>
    <t>Abigal</t>
  </si>
  <si>
    <t>MAY LOANS REPAYMENT SCHEDULE</t>
  </si>
  <si>
    <t>Moya</t>
  </si>
  <si>
    <t>JUNE LOANS REPAYMENT SCHEDULE</t>
  </si>
  <si>
    <t>Mrs Phiri</t>
  </si>
  <si>
    <t>Mwinga</t>
  </si>
  <si>
    <t>JULY LOANS REPAYMENT SCHEDULE</t>
  </si>
  <si>
    <t>Milllie</t>
  </si>
  <si>
    <t>AUGUST LOANS REPAYMENT SCHEDULE</t>
  </si>
  <si>
    <t>FL Total</t>
  </si>
  <si>
    <t>LOAN APPLICANTS</t>
  </si>
  <si>
    <t>Names</t>
  </si>
  <si>
    <t>November</t>
  </si>
  <si>
    <t>InfraCash</t>
  </si>
  <si>
    <t>Interest</t>
  </si>
  <si>
    <t>NOV</t>
  </si>
  <si>
    <t>DEC</t>
  </si>
  <si>
    <t>JAN</t>
  </si>
  <si>
    <t>FEB</t>
  </si>
  <si>
    <t>MAR</t>
  </si>
  <si>
    <t>AUG</t>
  </si>
  <si>
    <t>SEP</t>
  </si>
  <si>
    <t>APR</t>
  </si>
  <si>
    <t>JUL</t>
  </si>
  <si>
    <t>total shares invested</t>
  </si>
  <si>
    <t>Total Amount of Shares</t>
  </si>
  <si>
    <t>Return of Investment</t>
  </si>
  <si>
    <t>SHAREOUT</t>
  </si>
  <si>
    <t>loan</t>
  </si>
  <si>
    <t>Net Shareout</t>
  </si>
  <si>
    <t>Net shareout</t>
  </si>
  <si>
    <t>Column1</t>
  </si>
  <si>
    <t>NAMES</t>
  </si>
  <si>
    <t xml:space="preserve">November </t>
  </si>
  <si>
    <t>Column3</t>
  </si>
  <si>
    <t>TOTAL LOAN BALANCE</t>
  </si>
  <si>
    <t>SHARE VALUE</t>
  </si>
  <si>
    <t>INTEREST</t>
  </si>
  <si>
    <t>Kampamba Nkole</t>
  </si>
  <si>
    <t>Khucwayo Simewo</t>
  </si>
  <si>
    <t>Micheal Likando</t>
  </si>
  <si>
    <t>Mukuma Musenge</t>
  </si>
  <si>
    <t>Mwenya Kaunda</t>
  </si>
  <si>
    <t>Nyanyiwe Phiri</t>
  </si>
  <si>
    <t>Pamela Hyde</t>
  </si>
  <si>
    <t xml:space="preserve">Schuller Habeenzu </t>
  </si>
  <si>
    <t>Shubart Nyimbili</t>
  </si>
  <si>
    <t>Solomon Phiri</t>
  </si>
  <si>
    <t xml:space="preserve">Zeko </t>
  </si>
  <si>
    <t>PENALTIES</t>
  </si>
  <si>
    <t>LOANS</t>
  </si>
  <si>
    <t>LOAN REPAYMENT</t>
  </si>
  <si>
    <t>Total borrowed to date - Principle</t>
  </si>
  <si>
    <t xml:space="preserve">Outstanding loan balance </t>
  </si>
  <si>
    <t>TOTAL INVESTED TO DATE</t>
  </si>
  <si>
    <t>January 2022 - Shareout Schedule</t>
  </si>
  <si>
    <t>Recipient</t>
  </si>
  <si>
    <t xml:space="preserve">Paul </t>
  </si>
  <si>
    <t>Remaining</t>
  </si>
  <si>
    <t>Loan Amount</t>
  </si>
  <si>
    <t>SH</t>
  </si>
  <si>
    <t>LR2</t>
  </si>
  <si>
    <t xml:space="preserve">Michael </t>
  </si>
  <si>
    <t>Khuch</t>
  </si>
  <si>
    <t>Mr Chola</t>
  </si>
  <si>
    <t>Abel Kunda</t>
  </si>
  <si>
    <t>FLR</t>
  </si>
  <si>
    <t>Total ShareOut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</si>
</sst>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0;[Red]#,##0.00"/>
    <numFmt numFmtId="166" formatCode="0;[Red]0"/>
    <numFmt numFmtId="167" formatCode="#,##0;[Red]#,##0"/>
    <numFmt numFmtId="168" formatCode="_(* #,##0_);_(* \(#,##0\);_(* &quot;-&quot;??_);_(@_)"/>
    <numFmt numFmtId="169" formatCode="0.0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sz val="12"/>
      <name val="Trebuchet MS"/>
      <family val="2"/>
    </font>
    <font>
      <b/>
      <sz val="11"/>
      <color theme="1"/>
      <name val="Calibri"/>
      <family val="2"/>
      <scheme val="minor"/>
    </font>
    <font>
      <sz val="12"/>
      <name val="Palatino Linotype"/>
      <family val="1"/>
    </font>
    <font>
      <sz val="12"/>
      <color theme="1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name val="Trebuchet MS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Palatino Linotype"/>
      <family val="1"/>
    </font>
    <font>
      <sz val="10"/>
      <color theme="0"/>
      <name val="Palatino Linotype"/>
      <family val="1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rebuchet M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Trebuchet MS"/>
      <family val="2"/>
    </font>
    <font>
      <sz val="11"/>
      <color rgb="FF000000"/>
      <name val="Calibri"/>
      <family val="2"/>
      <scheme val="minor"/>
    </font>
    <font>
      <b/>
      <sz val="10"/>
      <name val="Trebuchet MS"/>
      <family val="2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Palatino Linotype"/>
      <family val="1"/>
    </font>
    <font>
      <sz val="18"/>
      <color theme="1"/>
      <name val="Palatino Linotype"/>
      <family val="1"/>
    </font>
    <font>
      <sz val="18"/>
      <name val="Palatino Linotype"/>
      <family val="1"/>
    </font>
    <font>
      <b/>
      <sz val="14"/>
      <color theme="1"/>
      <name val="Palatino Linotype"/>
      <family val="1"/>
    </font>
    <font>
      <b/>
      <sz val="24"/>
      <color theme="1"/>
      <name val="Palatino Linotype"/>
      <family val="1"/>
    </font>
    <font>
      <sz val="24"/>
      <color theme="1"/>
      <name val="Palatino Linotype"/>
      <family val="1"/>
    </font>
    <font>
      <sz val="24"/>
      <name val="Palatino Linotype"/>
      <family val="1"/>
    </font>
    <font>
      <b/>
      <sz val="14"/>
      <name val="Palatino Linotype"/>
      <family val="1"/>
    </font>
    <font>
      <b/>
      <sz val="20"/>
      <color theme="1"/>
      <name val="Palatino Linotype"/>
      <family val="1"/>
    </font>
    <font>
      <b/>
      <sz val="20"/>
      <name val="Palatino Linotype"/>
      <family val="1"/>
    </font>
    <font>
      <sz val="20"/>
      <color rgb="FFFF0000"/>
      <name val="Calibri"/>
      <family val="2"/>
      <scheme val="minor"/>
    </font>
    <font>
      <b/>
      <sz val="36"/>
      <color theme="1"/>
      <name val="Palatino Linotype"/>
      <family val="1"/>
    </font>
    <font>
      <b/>
      <sz val="28"/>
      <color theme="1"/>
      <name val="Palatino Linotype"/>
      <family val="1"/>
    </font>
    <font>
      <sz val="36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24"/>
      <name val="Calibri Light"/>
      <family val="2"/>
      <scheme val="major"/>
    </font>
    <font>
      <b/>
      <sz val="36"/>
      <color theme="1"/>
      <name val="Calibri"/>
      <family val="2"/>
      <scheme val="minor"/>
    </font>
    <font>
      <b/>
      <sz val="36"/>
      <color theme="1"/>
      <name val="Calibri Light"/>
      <family val="2"/>
      <scheme val="major"/>
    </font>
    <font>
      <b/>
      <sz val="36"/>
      <name val="Calibri Light"/>
      <family val="2"/>
      <scheme val="major"/>
    </font>
    <font>
      <sz val="28"/>
      <color theme="1"/>
      <name val="Palatino Linotype"/>
      <family val="1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name val="Palatino Linotype"/>
      <family val="1"/>
    </font>
  </fonts>
  <fills count="3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</cellStyleXfs>
  <cellXfs count="44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43" fontId="2" fillId="0" borderId="0" xfId="0" applyNumberFormat="1" applyFont="1"/>
    <xf numFmtId="43" fontId="2" fillId="0" borderId="0" xfId="1" applyFont="1"/>
    <xf numFmtId="0" fontId="3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43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7" fillId="0" borderId="0" xfId="0" applyNumberFormat="1" applyFont="1"/>
    <xf numFmtId="0" fontId="0" fillId="0" borderId="1" xfId="0" applyBorder="1"/>
    <xf numFmtId="0" fontId="10" fillId="2" borderId="1" xfId="0" applyFont="1" applyFill="1" applyBorder="1" applyAlignment="1">
      <alignment vertical="center"/>
    </xf>
    <xf numFmtId="43" fontId="11" fillId="2" borderId="0" xfId="1" applyFont="1" applyFill="1"/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43" fontId="10" fillId="0" borderId="1" xfId="1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43" fontId="9" fillId="0" borderId="1" xfId="1" applyFont="1" applyBorder="1"/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43" fontId="9" fillId="0" borderId="0" xfId="0" applyNumberFormat="1" applyFont="1"/>
    <xf numFmtId="43" fontId="9" fillId="6" borderId="1" xfId="1" applyFont="1" applyFill="1" applyBorder="1"/>
    <xf numFmtId="165" fontId="12" fillId="5" borderId="2" xfId="0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7" fontId="12" fillId="0" borderId="1" xfId="1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43" fontId="13" fillId="0" borderId="1" xfId="1" applyFont="1" applyBorder="1" applyAlignment="1">
      <alignment vertical="center"/>
    </xf>
    <xf numFmtId="43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165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165" fontId="16" fillId="0" borderId="1" xfId="0" applyNumberFormat="1" applyFont="1" applyBorder="1"/>
    <xf numFmtId="0" fontId="15" fillId="0" borderId="0" xfId="0" applyFont="1" applyAlignment="1">
      <alignment horizontal="center"/>
    </xf>
    <xf numFmtId="165" fontId="0" fillId="0" borderId="1" xfId="0" applyNumberFormat="1" applyBorder="1"/>
    <xf numFmtId="165" fontId="15" fillId="0" borderId="1" xfId="0" applyNumberFormat="1" applyFont="1" applyBorder="1"/>
    <xf numFmtId="0" fontId="14" fillId="0" borderId="0" xfId="0" applyFont="1" applyAlignment="1">
      <alignment wrapText="1"/>
    </xf>
    <xf numFmtId="165" fontId="15" fillId="0" borderId="0" xfId="0" applyNumberFormat="1" applyFont="1"/>
    <xf numFmtId="165" fontId="16" fillId="0" borderId="0" xfId="0" applyNumberFormat="1" applyFont="1"/>
    <xf numFmtId="43" fontId="0" fillId="0" borderId="0" xfId="0" applyNumberFormat="1"/>
    <xf numFmtId="43" fontId="0" fillId="0" borderId="0" xfId="1" applyFont="1"/>
    <xf numFmtId="0" fontId="7" fillId="0" borderId="0" xfId="0" applyFont="1"/>
    <xf numFmtId="43" fontId="9" fillId="0" borderId="1" xfId="0" applyNumberFormat="1" applyFont="1" applyBorder="1" applyAlignment="1">
      <alignment vertical="center"/>
    </xf>
    <xf numFmtId="43" fontId="0" fillId="0" borderId="1" xfId="0" applyNumberFormat="1" applyBorder="1"/>
    <xf numFmtId="2" fontId="8" fillId="0" borderId="1" xfId="0" applyNumberFormat="1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43" fontId="8" fillId="0" borderId="1" xfId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8" fillId="0" borderId="0" xfId="0" applyFont="1"/>
    <xf numFmtId="167" fontId="9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8" fontId="12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/>
    <xf numFmtId="43" fontId="4" fillId="0" borderId="1" xfId="1" applyFont="1" applyFill="1" applyBorder="1"/>
    <xf numFmtId="43" fontId="8" fillId="0" borderId="1" xfId="1" applyFont="1" applyBorder="1" applyAlignment="1">
      <alignment vertical="center"/>
    </xf>
    <xf numFmtId="44" fontId="9" fillId="0" borderId="1" xfId="0" applyNumberFormat="1" applyFont="1" applyBorder="1" applyAlignment="1">
      <alignment horizontal="left"/>
    </xf>
    <xf numFmtId="0" fontId="7" fillId="6" borderId="1" xfId="0" applyFont="1" applyFill="1" applyBorder="1"/>
    <xf numFmtId="0" fontId="7" fillId="6" borderId="10" xfId="0" applyFont="1" applyFill="1" applyBorder="1"/>
    <xf numFmtId="0" fontId="7" fillId="11" borderId="1" xfId="0" applyFont="1" applyFill="1" applyBorder="1"/>
    <xf numFmtId="0" fontId="0" fillId="11" borderId="1" xfId="0" applyFill="1" applyBorder="1"/>
    <xf numFmtId="0" fontId="7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0" fillId="5" borderId="1" xfId="0" applyFill="1" applyBorder="1"/>
    <xf numFmtId="0" fontId="0" fillId="10" borderId="1" xfId="0" applyFill="1" applyBorder="1"/>
    <xf numFmtId="0" fontId="0" fillId="3" borderId="1" xfId="0" applyFill="1" applyBorder="1"/>
    <xf numFmtId="0" fontId="0" fillId="22" borderId="1" xfId="0" applyFill="1" applyBorder="1"/>
    <xf numFmtId="0" fontId="0" fillId="12" borderId="1" xfId="0" applyFill="1" applyBorder="1"/>
    <xf numFmtId="0" fontId="17" fillId="5" borderId="0" xfId="0" applyFont="1" applyFill="1"/>
    <xf numFmtId="0" fontId="0" fillId="3" borderId="0" xfId="0" applyFill="1"/>
    <xf numFmtId="43" fontId="4" fillId="0" borderId="0" xfId="0" applyNumberFormat="1" applyFont="1"/>
    <xf numFmtId="43" fontId="4" fillId="13" borderId="1" xfId="0" applyNumberFormat="1" applyFont="1" applyFill="1" applyBorder="1"/>
    <xf numFmtId="43" fontId="23" fillId="0" borderId="0" xfId="0" applyNumberFormat="1" applyFont="1"/>
    <xf numFmtId="43" fontId="9" fillId="0" borderId="1" xfId="0" applyNumberFormat="1" applyFont="1" applyBorder="1" applyAlignment="1">
      <alignment horizontal="center"/>
    </xf>
    <xf numFmtId="43" fontId="8" fillId="0" borderId="1" xfId="0" applyNumberFormat="1" applyFont="1" applyBorder="1" applyAlignment="1">
      <alignment vertical="center"/>
    </xf>
    <xf numFmtId="43" fontId="9" fillId="3" borderId="1" xfId="0" applyNumberFormat="1" applyFont="1" applyFill="1" applyBorder="1" applyAlignment="1">
      <alignment horizontal="center" vertical="center"/>
    </xf>
    <xf numFmtId="43" fontId="8" fillId="0" borderId="1" xfId="0" applyNumberFormat="1" applyFont="1" applyBorder="1"/>
    <xf numFmtId="0" fontId="25" fillId="2" borderId="1" xfId="0" applyFont="1" applyFill="1" applyBorder="1" applyAlignment="1">
      <alignment vertical="center"/>
    </xf>
    <xf numFmtId="165" fontId="25" fillId="2" borderId="0" xfId="0" applyNumberFormat="1" applyFont="1" applyFill="1" applyAlignment="1">
      <alignment horizontal="right" vertical="center"/>
    </xf>
    <xf numFmtId="0" fontId="26" fillId="2" borderId="0" xfId="0" applyFont="1" applyFill="1"/>
    <xf numFmtId="43" fontId="26" fillId="2" borderId="0" xfId="1" applyFont="1" applyFill="1"/>
    <xf numFmtId="43" fontId="24" fillId="0" borderId="1" xfId="1" applyFont="1" applyBorder="1"/>
    <xf numFmtId="43" fontId="0" fillId="0" borderId="1" xfId="1" applyFont="1" applyBorder="1"/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3" fillId="0" borderId="0" xfId="0" applyFont="1"/>
    <xf numFmtId="0" fontId="27" fillId="0" borderId="0" xfId="0" applyFont="1"/>
    <xf numFmtId="43" fontId="27" fillId="0" borderId="0" xfId="0" applyNumberFormat="1" applyFont="1"/>
    <xf numFmtId="44" fontId="4" fillId="0" borderId="1" xfId="0" applyNumberFormat="1" applyFont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 wrapText="1"/>
    </xf>
    <xf numFmtId="165" fontId="7" fillId="0" borderId="0" xfId="0" applyNumberFormat="1" applyFont="1"/>
    <xf numFmtId="43" fontId="29" fillId="0" borderId="0" xfId="0" applyNumberFormat="1" applyFont="1"/>
    <xf numFmtId="43" fontId="30" fillId="0" borderId="1" xfId="1" applyFont="1" applyBorder="1" applyAlignment="1">
      <alignment vertical="center"/>
    </xf>
    <xf numFmtId="164" fontId="2" fillId="0" borderId="0" xfId="0" applyNumberFormat="1" applyFont="1"/>
    <xf numFmtId="43" fontId="9" fillId="0" borderId="1" xfId="1" applyFont="1" applyBorder="1" applyAlignment="1">
      <alignment horizontal="center"/>
    </xf>
    <xf numFmtId="0" fontId="10" fillId="28" borderId="1" xfId="0" applyFont="1" applyFill="1" applyBorder="1" applyAlignment="1">
      <alignment horizontal="center" vertical="center" wrapText="1"/>
    </xf>
    <xf numFmtId="165" fontId="10" fillId="28" borderId="1" xfId="0" applyNumberFormat="1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0" fillId="7" borderId="0" xfId="0" applyFill="1"/>
    <xf numFmtId="0" fontId="7" fillId="27" borderId="6" xfId="0" applyFont="1" applyFill="1" applyBorder="1" applyAlignment="1">
      <alignment horizontal="center" wrapText="1"/>
    </xf>
    <xf numFmtId="43" fontId="7" fillId="26" borderId="6" xfId="1" applyFont="1" applyFill="1" applyBorder="1"/>
    <xf numFmtId="43" fontId="13" fillId="0" borderId="1" xfId="1" applyFont="1" applyFill="1" applyBorder="1" applyAlignment="1">
      <alignment vertical="center"/>
    </xf>
    <xf numFmtId="0" fontId="24" fillId="0" borderId="0" xfId="2"/>
    <xf numFmtId="0" fontId="32" fillId="29" borderId="0" xfId="2" applyFont="1" applyFill="1"/>
    <xf numFmtId="0" fontId="33" fillId="0" borderId="0" xfId="2" applyFont="1"/>
    <xf numFmtId="0" fontId="33" fillId="30" borderId="0" xfId="2" applyFont="1" applyFill="1"/>
    <xf numFmtId="0" fontId="33" fillId="7" borderId="0" xfId="2" applyFont="1" applyFill="1"/>
    <xf numFmtId="168" fontId="33" fillId="0" borderId="0" xfId="3" applyNumberFormat="1" applyFont="1" applyFill="1"/>
    <xf numFmtId="168" fontId="0" fillId="0" borderId="0" xfId="3" applyNumberFormat="1" applyFont="1"/>
    <xf numFmtId="0" fontId="31" fillId="31" borderId="1" xfId="2" applyFont="1" applyFill="1" applyBorder="1" applyAlignment="1">
      <alignment vertical="center" wrapText="1"/>
    </xf>
    <xf numFmtId="0" fontId="31" fillId="32" borderId="20" xfId="2" applyFont="1" applyFill="1" applyBorder="1" applyAlignment="1">
      <alignment vertical="center" wrapText="1"/>
    </xf>
    <xf numFmtId="10" fontId="31" fillId="32" borderId="12" xfId="2" applyNumberFormat="1" applyFont="1" applyFill="1" applyBorder="1" applyAlignment="1">
      <alignment horizontal="center" vertical="center" wrapText="1"/>
    </xf>
    <xf numFmtId="0" fontId="34" fillId="32" borderId="21" xfId="2" applyFont="1" applyFill="1" applyBorder="1" applyAlignment="1">
      <alignment horizontal="center" vertical="center" wrapText="1"/>
    </xf>
    <xf numFmtId="0" fontId="31" fillId="32" borderId="21" xfId="2" applyFont="1" applyFill="1" applyBorder="1" applyAlignment="1">
      <alignment horizontal="center" vertical="center" wrapText="1"/>
    </xf>
    <xf numFmtId="10" fontId="31" fillId="32" borderId="21" xfId="2" applyNumberFormat="1" applyFont="1" applyFill="1" applyBorder="1" applyAlignment="1">
      <alignment horizontal="center" vertical="center" wrapText="1"/>
    </xf>
    <xf numFmtId="0" fontId="7" fillId="33" borderId="13" xfId="2" applyFont="1" applyFill="1" applyBorder="1" applyAlignment="1">
      <alignment horizontal="center" vertical="center" wrapText="1"/>
    </xf>
    <xf numFmtId="0" fontId="31" fillId="0" borderId="0" xfId="2" applyFont="1" applyAlignment="1">
      <alignment vertical="center" wrapText="1"/>
    </xf>
    <xf numFmtId="0" fontId="34" fillId="32" borderId="22" xfId="2" applyFont="1" applyFill="1" applyBorder="1" applyAlignment="1">
      <alignment horizontal="center" vertical="center" wrapText="1"/>
    </xf>
    <xf numFmtId="0" fontId="31" fillId="32" borderId="22" xfId="2" applyFont="1" applyFill="1" applyBorder="1" applyAlignment="1">
      <alignment horizontal="center" vertical="center" wrapText="1"/>
    </xf>
    <xf numFmtId="10" fontId="31" fillId="32" borderId="22" xfId="2" applyNumberFormat="1" applyFont="1" applyFill="1" applyBorder="1" applyAlignment="1">
      <alignment horizontal="center" vertical="center" wrapText="1"/>
    </xf>
    <xf numFmtId="0" fontId="7" fillId="33" borderId="23" xfId="2" applyFont="1" applyFill="1" applyBorder="1" applyAlignment="1">
      <alignment horizontal="center" vertical="center" wrapText="1"/>
    </xf>
    <xf numFmtId="0" fontId="18" fillId="0" borderId="1" xfId="2" applyFont="1" applyBorder="1"/>
    <xf numFmtId="0" fontId="17" fillId="28" borderId="2" xfId="2" applyFont="1" applyFill="1" applyBorder="1"/>
    <xf numFmtId="43" fontId="35" fillId="0" borderId="7" xfId="1" applyFont="1" applyFill="1" applyBorder="1" applyAlignment="1">
      <alignment horizontal="right"/>
    </xf>
    <xf numFmtId="43" fontId="33" fillId="0" borderId="7" xfId="1" applyFont="1" applyFill="1" applyBorder="1" applyAlignment="1">
      <alignment horizontal="right"/>
    </xf>
    <xf numFmtId="43" fontId="0" fillId="0" borderId="7" xfId="1" applyFont="1" applyFill="1" applyBorder="1" applyAlignment="1">
      <alignment horizontal="right"/>
    </xf>
    <xf numFmtId="43" fontId="24" fillId="33" borderId="24" xfId="1" applyFont="1" applyFill="1" applyBorder="1" applyAlignment="1">
      <alignment horizontal="right"/>
    </xf>
    <xf numFmtId="43" fontId="24" fillId="0" borderId="0" xfId="1" applyFont="1" applyBorder="1" applyAlignment="1">
      <alignment horizontal="right"/>
    </xf>
    <xf numFmtId="43" fontId="35" fillId="0" borderId="25" xfId="1" applyFont="1" applyFill="1" applyBorder="1" applyAlignment="1">
      <alignment horizontal="right"/>
    </xf>
    <xf numFmtId="43" fontId="0" fillId="0" borderId="0" xfId="1" applyFont="1" applyAlignment="1">
      <alignment horizontal="right"/>
    </xf>
    <xf numFmtId="43" fontId="7" fillId="0" borderId="7" xfId="1" applyFont="1" applyFill="1" applyBorder="1" applyAlignment="1">
      <alignment horizontal="right"/>
    </xf>
    <xf numFmtId="43" fontId="24" fillId="0" borderId="0" xfId="1" applyFont="1" applyAlignment="1">
      <alignment horizontal="right"/>
    </xf>
    <xf numFmtId="43" fontId="0" fillId="34" borderId="7" xfId="1" applyFont="1" applyFill="1" applyBorder="1" applyAlignment="1">
      <alignment horizontal="right"/>
    </xf>
    <xf numFmtId="43" fontId="33" fillId="0" borderId="1" xfId="1" applyFont="1" applyFill="1" applyBorder="1" applyAlignment="1">
      <alignment horizontal="right"/>
    </xf>
    <xf numFmtId="43" fontId="0" fillId="0" borderId="1" xfId="1" applyFont="1" applyFill="1" applyBorder="1" applyAlignment="1">
      <alignment horizontal="right"/>
    </xf>
    <xf numFmtId="43" fontId="36" fillId="0" borderId="7" xfId="1" applyFont="1" applyFill="1" applyBorder="1" applyAlignment="1">
      <alignment horizontal="right"/>
    </xf>
    <xf numFmtId="43" fontId="24" fillId="0" borderId="1" xfId="1" applyFont="1" applyBorder="1" applyAlignment="1">
      <alignment horizontal="right"/>
    </xf>
    <xf numFmtId="43" fontId="24" fillId="34" borderId="7" xfId="1" applyFont="1" applyFill="1" applyBorder="1" applyAlignment="1">
      <alignment horizontal="right"/>
    </xf>
    <xf numFmtId="43" fontId="33" fillId="7" borderId="0" xfId="1" applyFont="1" applyFill="1" applyBorder="1" applyAlignment="1">
      <alignment horizontal="right"/>
    </xf>
    <xf numFmtId="43" fontId="37" fillId="7" borderId="0" xfId="1" applyFont="1" applyFill="1" applyBorder="1" applyAlignment="1">
      <alignment horizontal="right"/>
    </xf>
    <xf numFmtId="0" fontId="24" fillId="0" borderId="0" xfId="2" applyAlignment="1">
      <alignment horizontal="right"/>
    </xf>
    <xf numFmtId="0" fontId="33" fillId="0" borderId="0" xfId="2" applyFont="1" applyAlignment="1">
      <alignment horizontal="right"/>
    </xf>
    <xf numFmtId="0" fontId="24" fillId="7" borderId="0" xfId="2" applyFill="1"/>
    <xf numFmtId="43" fontId="24" fillId="7" borderId="0" xfId="1" applyFont="1" applyFill="1" applyAlignment="1">
      <alignment horizontal="right"/>
    </xf>
    <xf numFmtId="43" fontId="33" fillId="7" borderId="0" xfId="1" applyFont="1" applyFill="1" applyAlignment="1">
      <alignment horizontal="right"/>
    </xf>
    <xf numFmtId="0" fontId="7" fillId="27" borderId="1" xfId="0" applyFont="1" applyFill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3" fontId="27" fillId="0" borderId="0" xfId="1" applyFont="1" applyAlignment="1">
      <alignment vertical="center"/>
    </xf>
    <xf numFmtId="43" fontId="7" fillId="0" borderId="0" xfId="1" applyFont="1"/>
    <xf numFmtId="43" fontId="7" fillId="0" borderId="1" xfId="1" applyFont="1" applyBorder="1"/>
    <xf numFmtId="0" fontId="12" fillId="0" borderId="1" xfId="0" applyFont="1" applyBorder="1" applyAlignment="1">
      <alignment vertical="center" wrapText="1"/>
    </xf>
    <xf numFmtId="165" fontId="33" fillId="0" borderId="1" xfId="0" applyNumberFormat="1" applyFont="1" applyBorder="1"/>
    <xf numFmtId="0" fontId="33" fillId="0" borderId="1" xfId="0" applyFont="1" applyBorder="1"/>
    <xf numFmtId="165" fontId="33" fillId="35" borderId="1" xfId="0" applyNumberFormat="1" applyFont="1" applyFill="1" applyBorder="1"/>
    <xf numFmtId="165" fontId="0" fillId="0" borderId="0" xfId="0" applyNumberFormat="1"/>
    <xf numFmtId="0" fontId="25" fillId="2" borderId="8" xfId="0" applyFont="1" applyFill="1" applyBorder="1" applyAlignment="1">
      <alignment vertical="center"/>
    </xf>
    <xf numFmtId="43" fontId="0" fillId="36" borderId="0" xfId="1" applyFont="1" applyFill="1"/>
    <xf numFmtId="43" fontId="0" fillId="9" borderId="0" xfId="1" applyFont="1" applyFill="1"/>
    <xf numFmtId="43" fontId="0" fillId="10" borderId="0" xfId="1" applyFont="1" applyFill="1"/>
    <xf numFmtId="43" fontId="0" fillId="20" borderId="0" xfId="1" applyFont="1" applyFill="1"/>
    <xf numFmtId="43" fontId="33" fillId="28" borderId="0" xfId="1" applyFont="1" applyFill="1"/>
    <xf numFmtId="0" fontId="40" fillId="10" borderId="1" xfId="0" applyFont="1" applyFill="1" applyBorder="1" applyAlignment="1">
      <alignment horizontal="center" vertical="center" wrapText="1"/>
    </xf>
    <xf numFmtId="165" fontId="40" fillId="10" borderId="1" xfId="0" applyNumberFormat="1" applyFont="1" applyFill="1" applyBorder="1" applyAlignment="1">
      <alignment horizontal="center" vertical="center" wrapText="1"/>
    </xf>
    <xf numFmtId="43" fontId="40" fillId="10" borderId="1" xfId="1" applyFont="1" applyFill="1" applyBorder="1" applyAlignment="1">
      <alignment horizontal="center" vertical="center"/>
    </xf>
    <xf numFmtId="43" fontId="40" fillId="10" borderId="1" xfId="1" applyFont="1" applyFill="1" applyBorder="1" applyAlignment="1">
      <alignment horizontal="center" vertical="center" wrapText="1"/>
    </xf>
    <xf numFmtId="43" fontId="40" fillId="28" borderId="1" xfId="1" applyFont="1" applyFill="1" applyBorder="1" applyAlignment="1">
      <alignment vertical="center"/>
    </xf>
    <xf numFmtId="0" fontId="40" fillId="36" borderId="1" xfId="0" applyFont="1" applyFill="1" applyBorder="1" applyAlignment="1">
      <alignment vertical="center"/>
    </xf>
    <xf numFmtId="0" fontId="40" fillId="9" borderId="1" xfId="0" applyFont="1" applyFill="1" applyBorder="1" applyAlignment="1">
      <alignment vertical="center"/>
    </xf>
    <xf numFmtId="0" fontId="40" fillId="10" borderId="1" xfId="0" applyFont="1" applyFill="1" applyBorder="1" applyAlignment="1">
      <alignment vertical="center"/>
    </xf>
    <xf numFmtId="0" fontId="40" fillId="20" borderId="1" xfId="0" applyFont="1" applyFill="1" applyBorder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43" fontId="41" fillId="0" borderId="1" xfId="1" applyFont="1" applyBorder="1" applyAlignment="1">
      <alignment horizontal="center"/>
    </xf>
    <xf numFmtId="43" fontId="41" fillId="15" borderId="1" xfId="1" applyFont="1" applyFill="1" applyBorder="1" applyAlignment="1">
      <alignment horizontal="center"/>
    </xf>
    <xf numFmtId="0" fontId="20" fillId="0" borderId="1" xfId="0" applyFont="1" applyBorder="1"/>
    <xf numFmtId="43" fontId="20" fillId="0" borderId="1" xfId="0" applyNumberFormat="1" applyFont="1" applyBorder="1"/>
    <xf numFmtId="43" fontId="20" fillId="0" borderId="1" xfId="1" applyFont="1" applyBorder="1"/>
    <xf numFmtId="43" fontId="39" fillId="0" borderId="1" xfId="1" applyFont="1" applyBorder="1"/>
    <xf numFmtId="43" fontId="39" fillId="28" borderId="1" xfId="1" applyFont="1" applyFill="1" applyBorder="1"/>
    <xf numFmtId="43" fontId="39" fillId="36" borderId="1" xfId="1" applyFont="1" applyFill="1" applyBorder="1"/>
    <xf numFmtId="43" fontId="39" fillId="9" borderId="1" xfId="1" applyFont="1" applyFill="1" applyBorder="1"/>
    <xf numFmtId="43" fontId="39" fillId="10" borderId="1" xfId="1" applyFont="1" applyFill="1" applyBorder="1"/>
    <xf numFmtId="43" fontId="39" fillId="20" borderId="1" xfId="1" applyFont="1" applyFill="1" applyBorder="1"/>
    <xf numFmtId="43" fontId="42" fillId="0" borderId="1" xfId="1" applyFont="1" applyFill="1" applyBorder="1" applyAlignment="1">
      <alignment horizontal="left" vertical="center"/>
    </xf>
    <xf numFmtId="43" fontId="41" fillId="0" borderId="1" xfId="1" applyFont="1" applyFill="1" applyBorder="1" applyAlignment="1">
      <alignment horizontal="center"/>
    </xf>
    <xf numFmtId="167" fontId="40" fillId="0" borderId="1" xfId="0" applyNumberFormat="1" applyFont="1" applyBorder="1" applyAlignment="1">
      <alignment horizontal="center" vertical="center"/>
    </xf>
    <xf numFmtId="167" fontId="40" fillId="0" borderId="1" xfId="0" applyNumberFormat="1" applyFont="1" applyBorder="1" applyAlignment="1">
      <alignment vertical="center"/>
    </xf>
    <xf numFmtId="43" fontId="40" fillId="0" borderId="1" xfId="1" applyFont="1" applyBorder="1" applyAlignment="1">
      <alignment horizontal="center" vertical="center"/>
    </xf>
    <xf numFmtId="165" fontId="40" fillId="0" borderId="1" xfId="0" applyNumberFormat="1" applyFont="1" applyBorder="1" applyAlignment="1">
      <alignment horizontal="center" vertical="center"/>
    </xf>
    <xf numFmtId="43" fontId="39" fillId="28" borderId="8" xfId="1" applyFont="1" applyFill="1" applyBorder="1"/>
    <xf numFmtId="0" fontId="39" fillId="36" borderId="8" xfId="0" applyFont="1" applyFill="1" applyBorder="1"/>
    <xf numFmtId="0" fontId="39" fillId="9" borderId="8" xfId="0" applyFont="1" applyFill="1" applyBorder="1"/>
    <xf numFmtId="0" fontId="39" fillId="10" borderId="8" xfId="0" applyFont="1" applyFill="1" applyBorder="1"/>
    <xf numFmtId="0" fontId="39" fillId="20" borderId="8" xfId="0" applyFont="1" applyFill="1" applyBorder="1"/>
    <xf numFmtId="43" fontId="39" fillId="28" borderId="26" xfId="1" applyFont="1" applyFill="1" applyBorder="1"/>
    <xf numFmtId="165" fontId="39" fillId="36" borderId="27" xfId="0" applyNumberFormat="1" applyFont="1" applyFill="1" applyBorder="1" applyAlignment="1">
      <alignment horizontal="center" vertical="center"/>
    </xf>
    <xf numFmtId="165" fontId="39" fillId="20" borderId="27" xfId="0" applyNumberFormat="1" applyFont="1" applyFill="1" applyBorder="1" applyAlignment="1">
      <alignment horizontal="center" vertical="center"/>
    </xf>
    <xf numFmtId="165" fontId="39" fillId="9" borderId="28" xfId="0" applyNumberFormat="1" applyFont="1" applyFill="1" applyBorder="1" applyAlignment="1">
      <alignment horizontal="center" vertical="center"/>
    </xf>
    <xf numFmtId="165" fontId="40" fillId="0" borderId="2" xfId="0" applyNumberFormat="1" applyFont="1" applyBorder="1" applyAlignment="1">
      <alignment horizontal="center" vertical="center"/>
    </xf>
    <xf numFmtId="165" fontId="39" fillId="10" borderId="29" xfId="0" applyNumberFormat="1" applyFont="1" applyFill="1" applyBorder="1" applyAlignment="1">
      <alignment horizontal="center" vertical="center"/>
    </xf>
    <xf numFmtId="43" fontId="20" fillId="35" borderId="8" xfId="0" applyNumberFormat="1" applyFont="1" applyFill="1" applyBorder="1"/>
    <xf numFmtId="0" fontId="20" fillId="0" borderId="8" xfId="0" applyFont="1" applyBorder="1"/>
    <xf numFmtId="43" fontId="20" fillId="0" borderId="8" xfId="1" applyFont="1" applyBorder="1"/>
    <xf numFmtId="43" fontId="39" fillId="0" borderId="8" xfId="1" applyFont="1" applyBorder="1"/>
    <xf numFmtId="165" fontId="20" fillId="0" borderId="26" xfId="0" applyNumberFormat="1" applyFont="1" applyBorder="1" applyAlignment="1">
      <alignment horizontal="center" vertical="center"/>
    </xf>
    <xf numFmtId="165" fontId="20" fillId="0" borderId="27" xfId="0" applyNumberFormat="1" applyFont="1" applyBorder="1" applyAlignment="1">
      <alignment horizontal="center" vertical="center"/>
    </xf>
    <xf numFmtId="43" fontId="20" fillId="0" borderId="27" xfId="1" applyFont="1" applyBorder="1" applyAlignment="1">
      <alignment horizontal="center" vertical="center"/>
    </xf>
    <xf numFmtId="43" fontId="20" fillId="0" borderId="30" xfId="1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28" borderId="0" xfId="0" applyFont="1" applyFill="1"/>
    <xf numFmtId="43" fontId="7" fillId="28" borderId="0" xfId="0" applyNumberFormat="1" applyFont="1" applyFill="1"/>
    <xf numFmtId="43" fontId="0" fillId="28" borderId="1" xfId="1" applyFont="1" applyFill="1" applyBorder="1"/>
    <xf numFmtId="0" fontId="0" fillId="24" borderId="1" xfId="0" applyFill="1" applyBorder="1"/>
    <xf numFmtId="0" fontId="28" fillId="36" borderId="31" xfId="0" applyFont="1" applyFill="1" applyBorder="1"/>
    <xf numFmtId="0" fontId="28" fillId="5" borderId="31" xfId="0" applyFont="1" applyFill="1" applyBorder="1"/>
    <xf numFmtId="0" fontId="28" fillId="27" borderId="31" xfId="0" applyFont="1" applyFill="1" applyBorder="1"/>
    <xf numFmtId="0" fontId="28" fillId="19" borderId="31" xfId="0" applyFont="1" applyFill="1" applyBorder="1"/>
    <xf numFmtId="0" fontId="44" fillId="0" borderId="12" xfId="0" applyFont="1" applyBorder="1" applyAlignment="1">
      <alignment horizontal="center" vertical="center"/>
    </xf>
    <xf numFmtId="0" fontId="45" fillId="0" borderId="21" xfId="0" applyFont="1" applyBorder="1" applyAlignment="1">
      <alignment horizontal="left"/>
    </xf>
    <xf numFmtId="43" fontId="28" fillId="36" borderId="21" xfId="0" applyNumberFormat="1" applyFont="1" applyFill="1" applyBorder="1"/>
    <xf numFmtId="43" fontId="28" fillId="5" borderId="21" xfId="0" applyNumberFormat="1" applyFont="1" applyFill="1" applyBorder="1"/>
    <xf numFmtId="43" fontId="28" fillId="27" borderId="21" xfId="0" applyNumberFormat="1" applyFont="1" applyFill="1" applyBorder="1"/>
    <xf numFmtId="43" fontId="28" fillId="19" borderId="21" xfId="0" applyNumberFormat="1" applyFont="1" applyFill="1" applyBorder="1"/>
    <xf numFmtId="0" fontId="44" fillId="0" borderId="25" xfId="0" applyFont="1" applyBorder="1" applyAlignment="1">
      <alignment horizontal="center" vertical="center"/>
    </xf>
    <xf numFmtId="0" fontId="45" fillId="0" borderId="7" xfId="0" applyFont="1" applyBorder="1" applyAlignment="1">
      <alignment horizontal="left"/>
    </xf>
    <xf numFmtId="43" fontId="38" fillId="36" borderId="7" xfId="1" applyFont="1" applyFill="1" applyBorder="1"/>
    <xf numFmtId="43" fontId="38" fillId="5" borderId="7" xfId="1" applyFont="1" applyFill="1" applyBorder="1"/>
    <xf numFmtId="43" fontId="38" fillId="27" borderId="7" xfId="1" applyFont="1" applyFill="1" applyBorder="1"/>
    <xf numFmtId="43" fontId="38" fillId="19" borderId="7" xfId="1" applyFont="1" applyFill="1" applyBorder="1"/>
    <xf numFmtId="43" fontId="38" fillId="0" borderId="24" xfId="1" applyFont="1" applyBorder="1"/>
    <xf numFmtId="0" fontId="44" fillId="0" borderId="33" xfId="0" applyFont="1" applyBorder="1" applyAlignment="1">
      <alignment horizontal="center" vertical="center"/>
    </xf>
    <xf numFmtId="0" fontId="45" fillId="0" borderId="1" xfId="0" applyFont="1" applyBorder="1" applyAlignment="1">
      <alignment horizontal="left"/>
    </xf>
    <xf numFmtId="43" fontId="38" fillId="36" borderId="1" xfId="1" applyFont="1" applyFill="1" applyBorder="1"/>
    <xf numFmtId="43" fontId="38" fillId="5" borderId="1" xfId="1" applyFont="1" applyFill="1" applyBorder="1"/>
    <xf numFmtId="43" fontId="38" fillId="27" borderId="1" xfId="1" applyFont="1" applyFill="1" applyBorder="1"/>
    <xf numFmtId="43" fontId="38" fillId="19" borderId="1" xfId="1" applyFont="1" applyFill="1" applyBorder="1"/>
    <xf numFmtId="43" fontId="38" fillId="0" borderId="34" xfId="1" applyFont="1" applyBorder="1"/>
    <xf numFmtId="0" fontId="46" fillId="0" borderId="1" xfId="1" applyNumberFormat="1" applyFont="1" applyFill="1" applyBorder="1" applyAlignment="1">
      <alignment horizontal="left" vertical="center"/>
    </xf>
    <xf numFmtId="0" fontId="46" fillId="0" borderId="21" xfId="1" applyNumberFormat="1" applyFont="1" applyFill="1" applyBorder="1" applyAlignment="1">
      <alignment horizontal="left" vertical="center"/>
    </xf>
    <xf numFmtId="43" fontId="38" fillId="36" borderId="21" xfId="1" applyFont="1" applyFill="1" applyBorder="1"/>
    <xf numFmtId="43" fontId="38" fillId="5" borderId="21" xfId="1" applyFont="1" applyFill="1" applyBorder="1"/>
    <xf numFmtId="43" fontId="38" fillId="27" borderId="21" xfId="1" applyFont="1" applyFill="1" applyBorder="1"/>
    <xf numFmtId="43" fontId="38" fillId="19" borderId="21" xfId="1" applyFont="1" applyFill="1" applyBorder="1"/>
    <xf numFmtId="43" fontId="38" fillId="0" borderId="13" xfId="1" applyFont="1" applyBorder="1"/>
    <xf numFmtId="0" fontId="17" fillId="0" borderId="7" xfId="0" applyFont="1" applyBorder="1"/>
    <xf numFmtId="43" fontId="17" fillId="0" borderId="7" xfId="0" applyNumberFormat="1" applyFont="1" applyBorder="1"/>
    <xf numFmtId="0" fontId="43" fillId="14" borderId="1" xfId="0" applyFont="1" applyFill="1" applyBorder="1" applyAlignment="1">
      <alignment horizontal="center" vertical="center" wrapText="1"/>
    </xf>
    <xf numFmtId="43" fontId="18" fillId="0" borderId="1" xfId="0" applyNumberFormat="1" applyFont="1" applyBorder="1"/>
    <xf numFmtId="43" fontId="18" fillId="0" borderId="0" xfId="0" applyNumberFormat="1" applyFont="1"/>
    <xf numFmtId="0" fontId="43" fillId="0" borderId="36" xfId="0" applyFont="1" applyBorder="1" applyAlignment="1">
      <alignment horizontal="center" vertical="center"/>
    </xf>
    <xf numFmtId="0" fontId="47" fillId="0" borderId="10" xfId="1" applyNumberFormat="1" applyFont="1" applyFill="1" applyBorder="1" applyAlignment="1">
      <alignment horizontal="left" vertical="center"/>
    </xf>
    <xf numFmtId="43" fontId="17" fillId="0" borderId="0" xfId="0" applyNumberFormat="1" applyFont="1"/>
    <xf numFmtId="43" fontId="17" fillId="0" borderId="1" xfId="1" applyFont="1" applyBorder="1"/>
    <xf numFmtId="167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vertical="center"/>
    </xf>
    <xf numFmtId="43" fontId="43" fillId="0" borderId="1" xfId="1" applyFont="1" applyBorder="1" applyAlignment="1">
      <alignment horizontal="center" vertical="center"/>
    </xf>
    <xf numFmtId="43" fontId="18" fillId="0" borderId="0" xfId="1" applyFont="1"/>
    <xf numFmtId="0" fontId="44" fillId="17" borderId="1" xfId="0" applyFont="1" applyFill="1" applyBorder="1" applyAlignment="1">
      <alignment horizontal="center" vertical="center" wrapText="1"/>
    </xf>
    <xf numFmtId="43" fontId="44" fillId="17" borderId="8" xfId="1" applyFont="1" applyFill="1" applyBorder="1" applyAlignment="1">
      <alignment horizontal="center" vertical="center" wrapText="1"/>
    </xf>
    <xf numFmtId="43" fontId="28" fillId="14" borderId="1" xfId="1" applyFont="1" applyFill="1" applyBorder="1"/>
    <xf numFmtId="0" fontId="44" fillId="0" borderId="1" xfId="0" applyFont="1" applyBorder="1" applyAlignment="1">
      <alignment horizontal="center" vertical="center"/>
    </xf>
    <xf numFmtId="43" fontId="45" fillId="0" borderId="1" xfId="0" applyNumberFormat="1" applyFont="1" applyBorder="1" applyAlignment="1">
      <alignment horizontal="left"/>
    </xf>
    <xf numFmtId="43" fontId="45" fillId="0" borderId="1" xfId="1" applyFont="1" applyBorder="1" applyAlignment="1">
      <alignment horizontal="center"/>
    </xf>
    <xf numFmtId="43" fontId="38" fillId="0" borderId="1" xfId="1" applyFont="1" applyFill="1" applyBorder="1"/>
    <xf numFmtId="43" fontId="38" fillId="0" borderId="1" xfId="1" applyFont="1" applyBorder="1"/>
    <xf numFmtId="0" fontId="27" fillId="6" borderId="5" xfId="0" applyFont="1" applyFill="1" applyBorder="1" applyAlignment="1">
      <alignment horizontal="center" wrapText="1"/>
    </xf>
    <xf numFmtId="43" fontId="27" fillId="6" borderId="1" xfId="0" applyNumberFormat="1" applyFont="1" applyFill="1" applyBorder="1" applyAlignment="1">
      <alignment horizontal="left"/>
    </xf>
    <xf numFmtId="43" fontId="27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7" fillId="6" borderId="0" xfId="0" applyFont="1" applyFill="1" applyAlignment="1">
      <alignment wrapText="1"/>
    </xf>
    <xf numFmtId="0" fontId="27" fillId="11" borderId="11" xfId="0" applyFont="1" applyFill="1" applyBorder="1" applyAlignment="1">
      <alignment horizontal="left"/>
    </xf>
    <xf numFmtId="0" fontId="27" fillId="0" borderId="11" xfId="0" applyFont="1" applyBorder="1"/>
    <xf numFmtId="0" fontId="48" fillId="9" borderId="7" xfId="0" applyFont="1" applyFill="1" applyBorder="1"/>
    <xf numFmtId="43" fontId="49" fillId="9" borderId="7" xfId="1" applyFont="1" applyFill="1" applyBorder="1" applyAlignment="1">
      <alignment horizontal="left" vertical="center"/>
    </xf>
    <xf numFmtId="0" fontId="48" fillId="0" borderId="1" xfId="0" applyFont="1" applyBorder="1"/>
    <xf numFmtId="0" fontId="27" fillId="0" borderId="8" xfId="0" applyFont="1" applyBorder="1"/>
    <xf numFmtId="43" fontId="27" fillId="15" borderId="0" xfId="1" applyFont="1" applyFill="1" applyBorder="1" applyAlignment="1">
      <alignment horizontal="left"/>
    </xf>
    <xf numFmtId="43" fontId="48" fillId="10" borderId="1" xfId="1" applyFont="1" applyFill="1" applyBorder="1"/>
    <xf numFmtId="4" fontId="48" fillId="0" borderId="1" xfId="0" applyNumberFormat="1" applyFont="1" applyBorder="1"/>
    <xf numFmtId="43" fontId="48" fillId="4" borderId="1" xfId="1" applyFont="1" applyFill="1" applyBorder="1"/>
    <xf numFmtId="43" fontId="48" fillId="6" borderId="1" xfId="1" applyFont="1" applyFill="1" applyBorder="1"/>
    <xf numFmtId="43" fontId="48" fillId="7" borderId="1" xfId="1" applyFont="1" applyFill="1" applyBorder="1"/>
    <xf numFmtId="43" fontId="48" fillId="15" borderId="1" xfId="1" applyFont="1" applyFill="1" applyBorder="1"/>
    <xf numFmtId="43" fontId="48" fillId="23" borderId="1" xfId="1" applyFont="1" applyFill="1" applyBorder="1"/>
    <xf numFmtId="43" fontId="48" fillId="37" borderId="1" xfId="1" applyFont="1" applyFill="1" applyBorder="1"/>
    <xf numFmtId="0" fontId="50" fillId="0" borderId="0" xfId="0" applyFont="1"/>
    <xf numFmtId="4" fontId="23" fillId="0" borderId="0" xfId="0" applyNumberFormat="1" applyFont="1"/>
    <xf numFmtId="0" fontId="0" fillId="28" borderId="1" xfId="0" applyFill="1" applyBorder="1"/>
    <xf numFmtId="0" fontId="51" fillId="9" borderId="1" xfId="0" applyFont="1" applyFill="1" applyBorder="1"/>
    <xf numFmtId="0" fontId="51" fillId="9" borderId="7" xfId="0" applyFont="1" applyFill="1" applyBorder="1"/>
    <xf numFmtId="0" fontId="51" fillId="10" borderId="1" xfId="0" applyFont="1" applyFill="1" applyBorder="1"/>
    <xf numFmtId="43" fontId="51" fillId="10" borderId="1" xfId="1" applyFont="1" applyFill="1" applyBorder="1"/>
    <xf numFmtId="0" fontId="51" fillId="4" borderId="1" xfId="0" applyFont="1" applyFill="1" applyBorder="1"/>
    <xf numFmtId="43" fontId="51" fillId="4" borderId="1" xfId="1" applyFont="1" applyFill="1" applyBorder="1"/>
    <xf numFmtId="0" fontId="51" fillId="14" borderId="1" xfId="0" applyFont="1" applyFill="1" applyBorder="1"/>
    <xf numFmtId="43" fontId="51" fillId="14" borderId="1" xfId="1" applyFont="1" applyFill="1" applyBorder="1"/>
    <xf numFmtId="43" fontId="51" fillId="6" borderId="1" xfId="0" applyNumberFormat="1" applyFont="1" applyFill="1" applyBorder="1" applyAlignment="1">
      <alignment horizontal="left"/>
    </xf>
    <xf numFmtId="43" fontId="51" fillId="6" borderId="1" xfId="1" applyFont="1" applyFill="1" applyBorder="1" applyAlignment="1">
      <alignment horizontal="left"/>
    </xf>
    <xf numFmtId="43" fontId="51" fillId="6" borderId="1" xfId="1" applyFont="1" applyFill="1" applyBorder="1"/>
    <xf numFmtId="0" fontId="51" fillId="21" borderId="1" xfId="0" applyFont="1" applyFill="1" applyBorder="1"/>
    <xf numFmtId="43" fontId="51" fillId="21" borderId="1" xfId="1" applyFont="1" applyFill="1" applyBorder="1"/>
    <xf numFmtId="43" fontId="51" fillId="9" borderId="1" xfId="1" applyFont="1" applyFill="1" applyBorder="1"/>
    <xf numFmtId="0" fontId="51" fillId="6" borderId="1" xfId="0" applyFont="1" applyFill="1" applyBorder="1"/>
    <xf numFmtId="0" fontId="51" fillId="12" borderId="1" xfId="0" applyFont="1" applyFill="1" applyBorder="1"/>
    <xf numFmtId="43" fontId="51" fillId="12" borderId="1" xfId="1" applyFont="1" applyFill="1" applyBorder="1"/>
    <xf numFmtId="0" fontId="51" fillId="23" borderId="1" xfId="0" applyFont="1" applyFill="1" applyBorder="1"/>
    <xf numFmtId="43" fontId="51" fillId="23" borderId="1" xfId="1" applyFont="1" applyFill="1" applyBorder="1"/>
    <xf numFmtId="0" fontId="51" fillId="18" borderId="1" xfId="0" applyFont="1" applyFill="1" applyBorder="1"/>
    <xf numFmtId="43" fontId="51" fillId="18" borderId="1" xfId="1" applyFont="1" applyFill="1" applyBorder="1"/>
    <xf numFmtId="0" fontId="51" fillId="25" borderId="1" xfId="0" applyFont="1" applyFill="1" applyBorder="1"/>
    <xf numFmtId="43" fontId="51" fillId="25" borderId="1" xfId="1" applyFont="1" applyFill="1" applyBorder="1"/>
    <xf numFmtId="0" fontId="51" fillId="19" borderId="1" xfId="0" applyFont="1" applyFill="1" applyBorder="1"/>
    <xf numFmtId="43" fontId="51" fillId="19" borderId="1" xfId="1" applyFont="1" applyFill="1" applyBorder="1"/>
    <xf numFmtId="0" fontId="51" fillId="16" borderId="1" xfId="0" applyFont="1" applyFill="1" applyBorder="1"/>
    <xf numFmtId="43" fontId="51" fillId="16" borderId="1" xfId="1" applyFont="1" applyFill="1" applyBorder="1"/>
    <xf numFmtId="0" fontId="51" fillId="20" borderId="1" xfId="0" applyFont="1" applyFill="1" applyBorder="1"/>
    <xf numFmtId="43" fontId="51" fillId="20" borderId="1" xfId="1" applyFont="1" applyFill="1" applyBorder="1"/>
    <xf numFmtId="43" fontId="48" fillId="0" borderId="1" xfId="1" applyFont="1" applyBorder="1"/>
    <xf numFmtId="43" fontId="52" fillId="0" borderId="1" xfId="1" applyFont="1" applyBorder="1"/>
    <xf numFmtId="4" fontId="51" fillId="0" borderId="1" xfId="0" applyNumberFormat="1" applyFont="1" applyBorder="1"/>
    <xf numFmtId="4" fontId="53" fillId="0" borderId="0" xfId="0" applyNumberFormat="1" applyFont="1"/>
    <xf numFmtId="0" fontId="44" fillId="8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28" fillId="11" borderId="1" xfId="0" applyFont="1" applyFill="1" applyBorder="1" applyAlignment="1">
      <alignment horizontal="left"/>
    </xf>
    <xf numFmtId="0" fontId="54" fillId="0" borderId="8" xfId="0" applyFont="1" applyBorder="1" applyAlignment="1">
      <alignment horizontal="left"/>
    </xf>
    <xf numFmtId="43" fontId="28" fillId="0" borderId="1" xfId="1" applyFont="1" applyBorder="1" applyAlignment="1">
      <alignment horizontal="left"/>
    </xf>
    <xf numFmtId="43" fontId="28" fillId="0" borderId="2" xfId="1" applyFont="1" applyBorder="1" applyAlignment="1">
      <alignment horizontal="left"/>
    </xf>
    <xf numFmtId="43" fontId="28" fillId="13" borderId="1" xfId="1" applyFont="1" applyFill="1" applyBorder="1" applyAlignment="1">
      <alignment horizontal="left"/>
    </xf>
    <xf numFmtId="43" fontId="28" fillId="0" borderId="6" xfId="1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55" fillId="0" borderId="1" xfId="1" applyNumberFormat="1" applyFont="1" applyFill="1" applyBorder="1" applyAlignment="1">
      <alignment horizontal="left" vertical="center"/>
    </xf>
    <xf numFmtId="0" fontId="54" fillId="0" borderId="10" xfId="0" applyFont="1" applyBorder="1" applyAlignment="1">
      <alignment horizontal="left"/>
    </xf>
    <xf numFmtId="0" fontId="55" fillId="0" borderId="7" xfId="1" applyNumberFormat="1" applyFont="1" applyFill="1" applyBorder="1" applyAlignment="1">
      <alignment horizontal="left" vertical="center"/>
    </xf>
    <xf numFmtId="0" fontId="54" fillId="0" borderId="7" xfId="0" applyFont="1" applyBorder="1" applyAlignment="1">
      <alignment horizontal="left"/>
    </xf>
    <xf numFmtId="4" fontId="38" fillId="0" borderId="0" xfId="0" applyNumberFormat="1" applyFont="1"/>
    <xf numFmtId="167" fontId="44" fillId="0" borderId="1" xfId="0" applyNumberFormat="1" applyFont="1" applyBorder="1" applyAlignment="1">
      <alignment horizontal="left" vertical="center"/>
    </xf>
    <xf numFmtId="43" fontId="28" fillId="6" borderId="1" xfId="0" applyNumberFormat="1" applyFont="1" applyFill="1" applyBorder="1" applyAlignment="1">
      <alignment horizontal="left"/>
    </xf>
    <xf numFmtId="168" fontId="9" fillId="0" borderId="1" xfId="0" applyNumberFormat="1" applyFont="1" applyBorder="1" applyAlignment="1">
      <alignment vertical="center"/>
    </xf>
    <xf numFmtId="43" fontId="24" fillId="0" borderId="31" xfId="1" applyFont="1" applyBorder="1"/>
    <xf numFmtId="169" fontId="23" fillId="0" borderId="0" xfId="0" applyNumberFormat="1" applyFont="1"/>
    <xf numFmtId="0" fontId="51" fillId="8" borderId="1" xfId="0" applyFont="1" applyFill="1" applyBorder="1" applyAlignment="1">
      <alignment horizontal="left" vertical="center" wrapText="1"/>
    </xf>
    <xf numFmtId="0" fontId="56" fillId="0" borderId="1" xfId="0" applyFont="1" applyBorder="1" applyAlignment="1">
      <alignment horizontal="center"/>
    </xf>
    <xf numFmtId="0" fontId="57" fillId="0" borderId="8" xfId="0" applyFont="1" applyBorder="1" applyAlignment="1">
      <alignment horizontal="left"/>
    </xf>
    <xf numFmtId="43" fontId="56" fillId="0" borderId="1" xfId="1" applyFont="1" applyBorder="1" applyAlignment="1">
      <alignment horizontal="left"/>
    </xf>
    <xf numFmtId="0" fontId="57" fillId="0" borderId="1" xfId="0" applyFont="1" applyBorder="1" applyAlignment="1">
      <alignment horizontal="left"/>
    </xf>
    <xf numFmtId="43" fontId="58" fillId="0" borderId="1" xfId="1" applyFont="1" applyFill="1" applyBorder="1" applyAlignment="1">
      <alignment horizontal="left" vertical="center"/>
    </xf>
    <xf numFmtId="43" fontId="58" fillId="0" borderId="8" xfId="1" applyFont="1" applyFill="1" applyBorder="1" applyAlignment="1">
      <alignment horizontal="left" vertical="center"/>
    </xf>
    <xf numFmtId="0" fontId="57" fillId="0" borderId="10" xfId="0" applyFont="1" applyBorder="1" applyAlignment="1">
      <alignment horizontal="left"/>
    </xf>
    <xf numFmtId="43" fontId="58" fillId="0" borderId="7" xfId="1" applyFont="1" applyFill="1" applyBorder="1" applyAlignment="1">
      <alignment horizontal="left" vertical="center"/>
    </xf>
    <xf numFmtId="0" fontId="57" fillId="0" borderId="7" xfId="0" applyFont="1" applyBorder="1" applyAlignment="1">
      <alignment horizontal="left"/>
    </xf>
    <xf numFmtId="43" fontId="58" fillId="0" borderId="10" xfId="1" applyFont="1" applyFill="1" applyBorder="1" applyAlignment="1">
      <alignment horizontal="left" vertical="center"/>
    </xf>
    <xf numFmtId="167" fontId="51" fillId="0" borderId="1" xfId="0" applyNumberFormat="1" applyFont="1" applyBorder="1" applyAlignment="1">
      <alignment horizontal="left" vertical="center"/>
    </xf>
    <xf numFmtId="43" fontId="56" fillId="6" borderId="1" xfId="0" applyNumberFormat="1" applyFont="1" applyFill="1" applyBorder="1" applyAlignment="1">
      <alignment horizontal="left"/>
    </xf>
    <xf numFmtId="43" fontId="44" fillId="17" borderId="7" xfId="1" applyFont="1" applyFill="1" applyBorder="1" applyAlignment="1">
      <alignment horizontal="center" vertical="center" wrapText="1"/>
    </xf>
    <xf numFmtId="43" fontId="8" fillId="3" borderId="0" xfId="1" applyFont="1" applyFill="1" applyBorder="1" applyAlignment="1">
      <alignment horizontal="center" vertical="center"/>
    </xf>
    <xf numFmtId="0" fontId="52" fillId="17" borderId="8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/>
    </xf>
    <xf numFmtId="43" fontId="60" fillId="17" borderId="1" xfId="1" applyFont="1" applyFill="1" applyBorder="1" applyAlignment="1">
      <alignment vertical="center"/>
    </xf>
    <xf numFmtId="43" fontId="61" fillId="15" borderId="1" xfId="1" applyFont="1" applyFill="1" applyBorder="1"/>
    <xf numFmtId="0" fontId="62" fillId="0" borderId="1" xfId="1" applyNumberFormat="1" applyFont="1" applyFill="1" applyBorder="1" applyAlignment="1">
      <alignment horizontal="left" vertical="center"/>
    </xf>
    <xf numFmtId="0" fontId="12" fillId="9" borderId="1" xfId="0" applyFont="1" applyFill="1" applyBorder="1"/>
    <xf numFmtId="0" fontId="12" fillId="9" borderId="7" xfId="0" applyFont="1" applyFill="1" applyBorder="1"/>
    <xf numFmtId="0" fontId="12" fillId="10" borderId="1" xfId="0" applyFont="1" applyFill="1" applyBorder="1"/>
    <xf numFmtId="43" fontId="12" fillId="10" borderId="1" xfId="1" applyFont="1" applyFill="1" applyBorder="1"/>
    <xf numFmtId="0" fontId="12" fillId="4" borderId="1" xfId="0" applyFont="1" applyFill="1" applyBorder="1"/>
    <xf numFmtId="43" fontId="12" fillId="4" borderId="1" xfId="1" applyFont="1" applyFill="1" applyBorder="1"/>
    <xf numFmtId="0" fontId="12" fillId="14" borderId="1" xfId="0" applyFont="1" applyFill="1" applyBorder="1"/>
    <xf numFmtId="43" fontId="12" fillId="14" borderId="1" xfId="1" applyFont="1" applyFill="1" applyBorder="1"/>
    <xf numFmtId="43" fontId="12" fillId="6" borderId="1" xfId="0" applyNumberFormat="1" applyFont="1" applyFill="1" applyBorder="1" applyAlignment="1">
      <alignment horizontal="left"/>
    </xf>
    <xf numFmtId="43" fontId="12" fillId="6" borderId="1" xfId="1" applyFont="1" applyFill="1" applyBorder="1" applyAlignment="1">
      <alignment horizontal="left"/>
    </xf>
    <xf numFmtId="43" fontId="12" fillId="6" borderId="1" xfId="1" applyFont="1" applyFill="1" applyBorder="1"/>
    <xf numFmtId="0" fontId="12" fillId="21" borderId="1" xfId="0" applyFont="1" applyFill="1" applyBorder="1"/>
    <xf numFmtId="43" fontId="12" fillId="21" borderId="1" xfId="1" applyFont="1" applyFill="1" applyBorder="1"/>
    <xf numFmtId="43" fontId="12" fillId="9" borderId="1" xfId="1" applyFont="1" applyFill="1" applyBorder="1"/>
    <xf numFmtId="0" fontId="12" fillId="6" borderId="1" xfId="0" applyFont="1" applyFill="1" applyBorder="1"/>
    <xf numFmtId="0" fontId="12" fillId="12" borderId="1" xfId="0" applyFont="1" applyFill="1" applyBorder="1"/>
    <xf numFmtId="43" fontId="12" fillId="12" borderId="1" xfId="1" applyFont="1" applyFill="1" applyBorder="1"/>
    <xf numFmtId="0" fontId="12" fillId="23" borderId="1" xfId="0" applyFont="1" applyFill="1" applyBorder="1"/>
    <xf numFmtId="43" fontId="12" fillId="23" borderId="1" xfId="1" applyFont="1" applyFill="1" applyBorder="1"/>
    <xf numFmtId="0" fontId="12" fillId="18" borderId="1" xfId="0" applyFont="1" applyFill="1" applyBorder="1"/>
    <xf numFmtId="43" fontId="12" fillId="18" borderId="1" xfId="1" applyFont="1" applyFill="1" applyBorder="1"/>
    <xf numFmtId="0" fontId="12" fillId="25" borderId="1" xfId="0" applyFont="1" applyFill="1" applyBorder="1"/>
    <xf numFmtId="43" fontId="12" fillId="25" borderId="1" xfId="1" applyFont="1" applyFill="1" applyBorder="1"/>
    <xf numFmtId="0" fontId="12" fillId="19" borderId="1" xfId="0" applyFont="1" applyFill="1" applyBorder="1"/>
    <xf numFmtId="43" fontId="12" fillId="19" borderId="1" xfId="1" applyFont="1" applyFill="1" applyBorder="1"/>
    <xf numFmtId="0" fontId="12" fillId="16" borderId="1" xfId="0" applyFont="1" applyFill="1" applyBorder="1"/>
    <xf numFmtId="43" fontId="12" fillId="16" borderId="1" xfId="1" applyFont="1" applyFill="1" applyBorder="1"/>
    <xf numFmtId="0" fontId="12" fillId="20" borderId="1" xfId="0" applyFont="1" applyFill="1" applyBorder="1"/>
    <xf numFmtId="43" fontId="12" fillId="20" borderId="1" xfId="1" applyFont="1" applyFill="1" applyBorder="1"/>
    <xf numFmtId="4" fontId="24" fillId="0" borderId="0" xfId="0" applyNumberFormat="1" applyFont="1"/>
    <xf numFmtId="43" fontId="12" fillId="0" borderId="1" xfId="1" applyFont="1" applyBorder="1"/>
    <xf numFmtId="43" fontId="24" fillId="0" borderId="0" xfId="2" applyNumberFormat="1"/>
    <xf numFmtId="43" fontId="39" fillId="0" borderId="1" xfId="1" applyFont="1" applyFill="1" applyBorder="1" applyAlignment="1">
      <alignment horizontal="right"/>
    </xf>
    <xf numFmtId="0" fontId="61" fillId="0" borderId="0" xfId="0" applyFont="1"/>
    <xf numFmtId="0" fontId="61" fillId="5" borderId="0" xfId="0" applyFont="1" applyFill="1"/>
    <xf numFmtId="43" fontId="61" fillId="0" borderId="0" xfId="1" applyFont="1"/>
    <xf numFmtId="0" fontId="25" fillId="2" borderId="5" xfId="0" applyFont="1" applyFill="1" applyBorder="1" applyAlignment="1">
      <alignment horizontal="center"/>
    </xf>
    <xf numFmtId="165" fontId="25" fillId="2" borderId="5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0" fillId="35" borderId="0" xfId="0" applyFill="1" applyAlignment="1">
      <alignment horizontal="center"/>
    </xf>
    <xf numFmtId="168" fontId="33" fillId="7" borderId="14" xfId="3" applyNumberFormat="1" applyFont="1" applyFill="1" applyBorder="1" applyAlignment="1">
      <alignment horizontal="center"/>
    </xf>
    <xf numFmtId="168" fontId="33" fillId="7" borderId="15" xfId="3" applyNumberFormat="1" applyFont="1" applyFill="1" applyBorder="1" applyAlignment="1">
      <alignment horizontal="center"/>
    </xf>
    <xf numFmtId="168" fontId="33" fillId="7" borderId="16" xfId="3" applyNumberFormat="1" applyFont="1" applyFill="1" applyBorder="1" applyAlignment="1">
      <alignment horizontal="center"/>
    </xf>
    <xf numFmtId="168" fontId="33" fillId="7" borderId="17" xfId="3" applyNumberFormat="1" applyFont="1" applyFill="1" applyBorder="1" applyAlignment="1">
      <alignment horizontal="center"/>
    </xf>
    <xf numFmtId="168" fontId="33" fillId="7" borderId="18" xfId="3" applyNumberFormat="1" applyFont="1" applyFill="1" applyBorder="1" applyAlignment="1">
      <alignment horizontal="center"/>
    </xf>
    <xf numFmtId="168" fontId="33" fillId="7" borderId="19" xfId="3" applyNumberFormat="1" applyFont="1" applyFill="1" applyBorder="1" applyAlignment="1">
      <alignment horizontal="center"/>
    </xf>
    <xf numFmtId="43" fontId="4" fillId="14" borderId="2" xfId="1" applyFont="1" applyFill="1" applyBorder="1" applyAlignment="1">
      <alignment horizontal="center"/>
    </xf>
    <xf numFmtId="43" fontId="4" fillId="14" borderId="6" xfId="1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8" fillId="0" borderId="35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43" fontId="61" fillId="0" borderId="0" xfId="1" applyFont="1" applyAlignment="1">
      <alignment horizontal="center"/>
    </xf>
    <xf numFmtId="43" fontId="61" fillId="5" borderId="0" xfId="1" applyFont="1" applyFill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43" fontId="8" fillId="12" borderId="4" xfId="1" applyFont="1" applyFill="1" applyBorder="1" applyAlignment="1">
      <alignment horizontal="center" vertical="center"/>
    </xf>
    <xf numFmtId="43" fontId="8" fillId="12" borderId="5" xfId="1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/>
    </xf>
  </cellXfs>
  <cellStyles count="4">
    <cellStyle name="Comma" xfId="1" builtinId="3"/>
    <cellStyle name="Comma 2" xfId="3" xr:uid="{EB730EFD-95F1-447D-BA53-75D26A481A66}"/>
    <cellStyle name="Normal" xfId="0" builtinId="0"/>
    <cellStyle name="Normal 2" xfId="2" xr:uid="{2954A14C-926F-4ABE-BB4E-6550FBD33CFC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Palatino Linotype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alatino Linotype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fgColor indexed="64"/>
          <bgColor theme="7" tint="0.39997558519241921"/>
        </patternFill>
      </fill>
    </dxf>
  </dxfs>
  <tableStyles count="1" defaultTableStyle="TableStyleMedium2" defaultPivotStyle="PivotStyleLight16">
    <tableStyle name="Table Style 1" pivot="0" count="0" xr9:uid="{D8CD68B0-4176-4422-8A42-6BDD6357A72B}"/>
  </tableStyles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Money2022%20Records%20-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s"/>
      <sheetName val="Calculations"/>
      <sheetName val="Loan Applicants"/>
      <sheetName val="Repayment Schedule"/>
      <sheetName val="New Repayment Schedule"/>
      <sheetName val="Sheet1"/>
      <sheetName val="Shareout"/>
      <sheetName val="Penalties"/>
      <sheetName val="Totals"/>
      <sheetName val="RED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CDBC3-43EE-41CA-A51C-0BE8A85B0B89}" name="Table1" displayName="Table1" ref="A2:N33" totalsRowShown="0" headerRowDxfId="18" dataDxfId="17" tableBorderDxfId="16" dataCellStyle="Comma">
  <tableColumns count="14">
    <tableColumn id="1" xr3:uid="{5B4AE297-E143-436B-9D43-8E0F08EAC028}" name="Column1" dataDxfId="15"/>
    <tableColumn id="2" xr3:uid="{58519E55-0C10-4E7E-A54A-29ABFF2635E0}" name="NAMES" dataDxfId="14" dataCellStyle="Comma"/>
    <tableColumn id="3" xr3:uid="{CD10448E-CCBA-44C5-A6FB-0CD133E7F75B}" name="November " dataDxfId="13" dataCellStyle="Comma"/>
    <tableColumn id="4" xr3:uid="{E0595B8A-90F3-462E-9E3A-4A2FEF1D4E28}" name="December" dataDxfId="12" dataCellStyle="Comma"/>
    <tableColumn id="5" xr3:uid="{A07A17C1-A0C7-4081-A765-6435B5106467}" name="January" dataDxfId="11" dataCellStyle="Comma"/>
    <tableColumn id="6" xr3:uid="{4203BB1D-360D-41FB-B212-A92682DB09D3}" name="February" dataDxfId="10" dataCellStyle="Comma"/>
    <tableColumn id="7" xr3:uid="{5B60D6E1-F4ED-45D5-9360-02D18D5124FB}" name="March" dataDxfId="9" dataCellStyle="Comma"/>
    <tableColumn id="8" xr3:uid="{BA953720-32F2-44D4-8497-53C716A081EB}" name="April" dataDxfId="8" dataCellStyle="Comma"/>
    <tableColumn id="9" xr3:uid="{752A9CE8-8D70-4335-A995-D4D78B9DC60F}" name="May" dataDxfId="7" dataCellStyle="Comma"/>
    <tableColumn id="10" xr3:uid="{08087DA9-604F-48C4-AC96-4D954A4A7559}" name="June" dataDxfId="6" dataCellStyle="Comma"/>
    <tableColumn id="11" xr3:uid="{FC712747-F31C-42A4-B638-FA456E2DC7CB}" name="July" dataDxfId="5" dataCellStyle="Comma"/>
    <tableColumn id="12" xr3:uid="{C0AFD00B-719A-441E-A628-E7FAC48D29FE}" name="August" dataDxfId="4" dataCellStyle="Comma"/>
    <tableColumn id="13" xr3:uid="{BE48A8ED-109B-4F21-AE30-EAFD83570EA7}" name="Total" dataDxfId="3" dataCellStyle="Comma">
      <calculatedColumnFormula>SUM(C3:L3)</calculatedColumnFormula>
    </tableColumn>
    <tableColumn id="15" xr3:uid="{69A3F794-73A6-4F00-92C6-2E886BDD2A14}" name="Column3" dataDxfId="2" dataCellStyle="Comma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34"/>
  <sheetViews>
    <sheetView topLeftCell="A13" zoomScale="75" zoomScaleNormal="75" workbookViewId="0">
      <pane xSplit="2" topLeftCell="M1" activePane="topRight" state="frozen"/>
      <selection pane="topRight" activeCell="Y31" sqref="Y31"/>
    </sheetView>
  </sheetViews>
  <sheetFormatPr defaultColWidth="9.1796875" defaultRowHeight="13.5" x14ac:dyDescent="0.35"/>
  <cols>
    <col min="1" max="1" width="9.453125" style="1" bestFit="1" customWidth="1"/>
    <col min="2" max="2" width="25.453125" style="1" customWidth="1"/>
    <col min="3" max="3" width="10.81640625" style="57" bestFit="1" customWidth="1"/>
    <col min="4" max="4" width="13.7265625" style="1" customWidth="1"/>
    <col min="5" max="5" width="11.54296875" style="1" customWidth="1"/>
    <col min="6" max="6" width="12.1796875" style="1" customWidth="1"/>
    <col min="7" max="7" width="11.1796875" style="1" bestFit="1" customWidth="1"/>
    <col min="8" max="8" width="12.81640625" style="1" customWidth="1"/>
    <col min="9" max="9" width="11" style="1" customWidth="1"/>
    <col min="10" max="10" width="13.26953125" style="1" customWidth="1"/>
    <col min="11" max="11" width="10.1796875" style="1" bestFit="1" customWidth="1"/>
    <col min="12" max="12" width="16" style="1" customWidth="1"/>
    <col min="13" max="13" width="11.54296875" style="1" customWidth="1"/>
    <col min="14" max="14" width="14.26953125" style="1" customWidth="1"/>
    <col min="15" max="15" width="12.453125" style="1" customWidth="1"/>
    <col min="16" max="16" width="15.453125" style="1" customWidth="1"/>
    <col min="17" max="17" width="12.26953125" style="1" customWidth="1"/>
    <col min="18" max="18" width="14.1796875" style="1" customWidth="1"/>
    <col min="19" max="19" width="14" style="57" customWidth="1"/>
    <col min="20" max="20" width="12.54296875" style="1" customWidth="1"/>
    <col min="21" max="21" width="12.1796875" style="1" customWidth="1"/>
    <col min="22" max="22" width="11.453125" style="1" bestFit="1" customWidth="1"/>
    <col min="23" max="23" width="9.453125" style="1" customWidth="1"/>
    <col min="24" max="24" width="9.453125" style="1" bestFit="1" customWidth="1"/>
    <col min="25" max="25" width="17.26953125" style="1" customWidth="1"/>
    <col min="26" max="26" width="14" style="5" customWidth="1"/>
    <col min="27" max="16384" width="9.1796875" style="1"/>
  </cols>
  <sheetData>
    <row r="2" spans="1:27" s="2" customFormat="1" ht="15.75" customHeight="1" x14ac:dyDescent="0.4">
      <c r="A2" s="12"/>
      <c r="B2" s="86" t="s">
        <v>0</v>
      </c>
      <c r="C2" s="412" t="s">
        <v>1</v>
      </c>
      <c r="D2" s="412"/>
      <c r="E2" s="412" t="s">
        <v>2</v>
      </c>
      <c r="F2" s="412"/>
      <c r="G2" s="412" t="s">
        <v>3</v>
      </c>
      <c r="H2" s="412"/>
      <c r="I2" s="412" t="s">
        <v>4</v>
      </c>
      <c r="J2" s="412"/>
      <c r="K2" s="412" t="s">
        <v>5</v>
      </c>
      <c r="L2" s="412"/>
      <c r="M2" s="412" t="s">
        <v>6</v>
      </c>
      <c r="N2" s="412"/>
      <c r="O2" s="412" t="s">
        <v>7</v>
      </c>
      <c r="P2" s="413"/>
      <c r="Q2" s="410" t="s">
        <v>8</v>
      </c>
      <c r="R2" s="410"/>
      <c r="S2" s="410" t="s">
        <v>9</v>
      </c>
      <c r="T2" s="410"/>
      <c r="U2" s="411" t="s">
        <v>10</v>
      </c>
      <c r="V2" s="411"/>
      <c r="W2" s="87"/>
      <c r="X2" s="88"/>
      <c r="Y2" s="88"/>
      <c r="Z2" s="13"/>
    </row>
    <row r="3" spans="1:27" ht="29" x14ac:dyDescent="0.4">
      <c r="A3" s="14" t="s">
        <v>11</v>
      </c>
      <c r="B3" s="14" t="s">
        <v>12</v>
      </c>
      <c r="C3" s="14" t="s">
        <v>13</v>
      </c>
      <c r="D3" s="15" t="s">
        <v>14</v>
      </c>
      <c r="E3" s="14" t="s">
        <v>13</v>
      </c>
      <c r="F3" s="14" t="s">
        <v>14</v>
      </c>
      <c r="G3" s="14" t="s">
        <v>13</v>
      </c>
      <c r="H3" s="15" t="s">
        <v>14</v>
      </c>
      <c r="I3" s="14" t="s">
        <v>13</v>
      </c>
      <c r="J3" s="15" t="s">
        <v>14</v>
      </c>
      <c r="K3" s="14" t="s">
        <v>13</v>
      </c>
      <c r="L3" s="15" t="s">
        <v>14</v>
      </c>
      <c r="M3" s="14" t="s">
        <v>13</v>
      </c>
      <c r="N3" s="15" t="s">
        <v>14</v>
      </c>
      <c r="O3" s="16" t="s">
        <v>13</v>
      </c>
      <c r="P3" s="15" t="s">
        <v>14</v>
      </c>
      <c r="Q3" s="14" t="s">
        <v>13</v>
      </c>
      <c r="R3" s="15" t="s">
        <v>14</v>
      </c>
      <c r="S3" s="14" t="s">
        <v>13</v>
      </c>
      <c r="T3" s="15" t="s">
        <v>14</v>
      </c>
      <c r="U3" s="14" t="s">
        <v>13</v>
      </c>
      <c r="V3" s="15" t="s">
        <v>14</v>
      </c>
      <c r="W3" s="15"/>
      <c r="X3" s="17" t="s">
        <v>15</v>
      </c>
      <c r="Y3" s="18" t="s">
        <v>16</v>
      </c>
      <c r="Z3" s="19" t="s">
        <v>17</v>
      </c>
    </row>
    <row r="4" spans="1:27" ht="17" x14ac:dyDescent="0.45">
      <c r="A4" s="20">
        <v>1</v>
      </c>
      <c r="B4" s="53" t="s">
        <v>18</v>
      </c>
      <c r="C4" s="56">
        <f t="shared" ref="C4:U29" si="0">D4/200</f>
        <v>1</v>
      </c>
      <c r="D4" s="22">
        <v>200</v>
      </c>
      <c r="E4" s="56">
        <f t="shared" si="0"/>
        <v>75</v>
      </c>
      <c r="F4" s="56">
        <v>15000</v>
      </c>
      <c r="G4" s="56">
        <f t="shared" si="0"/>
        <v>1</v>
      </c>
      <c r="H4" s="56">
        <v>200</v>
      </c>
      <c r="I4" s="56">
        <f t="shared" si="0"/>
        <v>1</v>
      </c>
      <c r="J4" s="51">
        <v>200</v>
      </c>
      <c r="K4" s="56">
        <f t="shared" si="0"/>
        <v>50</v>
      </c>
      <c r="L4" s="63">
        <v>10000</v>
      </c>
      <c r="M4" s="56">
        <f t="shared" si="0"/>
        <v>1</v>
      </c>
      <c r="N4" s="48">
        <v>200</v>
      </c>
      <c r="O4" s="56">
        <f t="shared" si="0"/>
        <v>1</v>
      </c>
      <c r="P4" s="48">
        <v>200</v>
      </c>
      <c r="Q4" s="56">
        <f t="shared" si="0"/>
        <v>1</v>
      </c>
      <c r="R4" s="24">
        <v>200</v>
      </c>
      <c r="S4" s="351">
        <f t="shared" si="0"/>
        <v>1</v>
      </c>
      <c r="T4" s="23">
        <v>200</v>
      </c>
      <c r="U4" s="351">
        <f t="shared" si="0"/>
        <v>5</v>
      </c>
      <c r="V4" s="24">
        <v>1000</v>
      </c>
      <c r="W4" s="24"/>
      <c r="X4" s="55"/>
      <c r="Y4" s="25">
        <f t="shared" ref="Y4:Y29" si="1">D4+F4+H4+J4+L4+N4+P4+R4+T4+V4</f>
        <v>27400</v>
      </c>
      <c r="Z4" s="26">
        <f>Y4*3</f>
        <v>82200</v>
      </c>
      <c r="AA4" s="104" cm="1">
        <f t="array" ref="AA4">Y4/Totalinfracash2024</f>
        <v>6.3455303381194997E-2</v>
      </c>
    </row>
    <row r="5" spans="1:27" ht="17" x14ac:dyDescent="0.45">
      <c r="A5" s="20">
        <v>2</v>
      </c>
      <c r="B5" s="53" t="s">
        <v>209</v>
      </c>
      <c r="C5" s="56">
        <f t="shared" ref="C5" si="2">D5/200</f>
        <v>0</v>
      </c>
      <c r="D5" s="22"/>
      <c r="E5" s="56">
        <f t="shared" ref="E5" si="3">F5/200</f>
        <v>0</v>
      </c>
      <c r="F5" s="56"/>
      <c r="G5" s="56">
        <f t="shared" ref="G5" si="4">H5/200</f>
        <v>0</v>
      </c>
      <c r="H5" s="56"/>
      <c r="I5" s="56">
        <f t="shared" ref="I5" si="5">J5/200</f>
        <v>0</v>
      </c>
      <c r="J5" s="51"/>
      <c r="K5" s="56">
        <f t="shared" si="0"/>
        <v>240</v>
      </c>
      <c r="L5" s="63">
        <v>48000</v>
      </c>
      <c r="M5" s="56">
        <f t="shared" si="0"/>
        <v>1</v>
      </c>
      <c r="N5" s="48">
        <v>200</v>
      </c>
      <c r="O5" s="56">
        <f t="shared" si="0"/>
        <v>1</v>
      </c>
      <c r="P5" s="48">
        <v>200</v>
      </c>
      <c r="Q5" s="56">
        <f t="shared" si="0"/>
        <v>1</v>
      </c>
      <c r="R5" s="24">
        <v>200</v>
      </c>
      <c r="S5" s="351">
        <f t="shared" si="0"/>
        <v>1</v>
      </c>
      <c r="T5" s="23">
        <v>200</v>
      </c>
      <c r="U5" s="351">
        <f t="shared" si="0"/>
        <v>1</v>
      </c>
      <c r="V5" s="24">
        <v>200</v>
      </c>
      <c r="W5" s="24"/>
      <c r="X5" s="55"/>
      <c r="Y5" s="25">
        <f t="shared" ref="Y5" si="6">D5+F5+H5+J5+L5+N5+P5+R5+T5+V5</f>
        <v>49000</v>
      </c>
      <c r="Z5" s="26">
        <f>Y5*3</f>
        <v>147000</v>
      </c>
      <c r="AA5" s="104" cm="1">
        <f t="array" ref="AA5">Y5/Totalinfracash2024</f>
        <v>0.11347846225104215</v>
      </c>
    </row>
    <row r="6" spans="1:27" ht="17" x14ac:dyDescent="0.45">
      <c r="A6" s="20">
        <v>3</v>
      </c>
      <c r="B6" s="53" t="s">
        <v>19</v>
      </c>
      <c r="C6" s="56">
        <f t="shared" si="0"/>
        <v>6</v>
      </c>
      <c r="D6" s="22">
        <v>1200</v>
      </c>
      <c r="E6" s="56">
        <f t="shared" si="0"/>
        <v>1</v>
      </c>
      <c r="F6" s="56">
        <v>200</v>
      </c>
      <c r="G6" s="56">
        <f t="shared" si="0"/>
        <v>1</v>
      </c>
      <c r="H6" s="56">
        <v>200</v>
      </c>
      <c r="I6" s="56">
        <f t="shared" si="0"/>
        <v>1</v>
      </c>
      <c r="J6" s="51">
        <v>200</v>
      </c>
      <c r="K6" s="56">
        <f t="shared" si="0"/>
        <v>15</v>
      </c>
      <c r="L6" s="63">
        <v>3000</v>
      </c>
      <c r="M6" s="56">
        <f t="shared" si="0"/>
        <v>1</v>
      </c>
      <c r="N6" s="48">
        <v>200</v>
      </c>
      <c r="O6" s="56">
        <f t="shared" si="0"/>
        <v>1</v>
      </c>
      <c r="P6" s="48">
        <v>200</v>
      </c>
      <c r="Q6" s="56">
        <f t="shared" si="0"/>
        <v>1</v>
      </c>
      <c r="R6" s="24">
        <v>200</v>
      </c>
      <c r="S6" s="351">
        <f t="shared" si="0"/>
        <v>1</v>
      </c>
      <c r="T6" s="23">
        <v>200</v>
      </c>
      <c r="U6" s="351">
        <f t="shared" si="0"/>
        <v>1</v>
      </c>
      <c r="V6" s="24">
        <v>200</v>
      </c>
      <c r="W6" s="24"/>
      <c r="X6" s="55"/>
      <c r="Y6" s="25">
        <f t="shared" si="1"/>
        <v>5800</v>
      </c>
      <c r="Z6" s="26">
        <f>Y6*3</f>
        <v>17400</v>
      </c>
      <c r="AA6" s="104" cm="1">
        <f t="array" ref="AA6">Y6/Totalinfracash2024</f>
        <v>1.3432144511347846E-2</v>
      </c>
    </row>
    <row r="7" spans="1:27" ht="17" x14ac:dyDescent="0.45">
      <c r="A7" s="20">
        <v>4</v>
      </c>
      <c r="B7" s="53" t="s">
        <v>20</v>
      </c>
      <c r="C7" s="56">
        <f t="shared" si="0"/>
        <v>1</v>
      </c>
      <c r="D7" s="22">
        <v>200</v>
      </c>
      <c r="E7" s="56">
        <f t="shared" si="0"/>
        <v>1</v>
      </c>
      <c r="F7" s="56">
        <v>200</v>
      </c>
      <c r="G7" s="56">
        <f t="shared" si="0"/>
        <v>2</v>
      </c>
      <c r="H7" s="56">
        <v>400</v>
      </c>
      <c r="I7" s="56">
        <f t="shared" si="0"/>
        <v>1</v>
      </c>
      <c r="J7" s="51">
        <v>200</v>
      </c>
      <c r="K7" s="56">
        <f t="shared" si="0"/>
        <v>2</v>
      </c>
      <c r="L7" s="63">
        <v>400</v>
      </c>
      <c r="M7" s="56">
        <f t="shared" si="0"/>
        <v>2</v>
      </c>
      <c r="N7" s="48">
        <v>400</v>
      </c>
      <c r="O7" s="56">
        <f t="shared" si="0"/>
        <v>5</v>
      </c>
      <c r="P7" s="48">
        <v>1000</v>
      </c>
      <c r="Q7" s="56">
        <f t="shared" si="0"/>
        <v>15</v>
      </c>
      <c r="R7" s="24">
        <v>3000</v>
      </c>
      <c r="S7" s="351">
        <f t="shared" si="0"/>
        <v>1</v>
      </c>
      <c r="T7" s="23">
        <v>200</v>
      </c>
      <c r="U7" s="351">
        <f t="shared" si="0"/>
        <v>1</v>
      </c>
      <c r="V7" s="24">
        <v>200</v>
      </c>
      <c r="W7" s="24"/>
      <c r="X7" s="55"/>
      <c r="Y7" s="25">
        <f t="shared" si="1"/>
        <v>6200</v>
      </c>
      <c r="Z7" s="26">
        <f t="shared" ref="Z7:Z29" si="7">Y7*3</f>
        <v>18600</v>
      </c>
      <c r="AA7" s="104" cm="1">
        <f t="array" ref="AA7">Y7/Totalinfracash2024</f>
        <v>1.4358499305233904E-2</v>
      </c>
    </row>
    <row r="8" spans="1:27" ht="17" x14ac:dyDescent="0.45">
      <c r="A8" s="20">
        <v>5</v>
      </c>
      <c r="B8" s="53" t="s">
        <v>21</v>
      </c>
      <c r="C8" s="56">
        <f t="shared" si="0"/>
        <v>25</v>
      </c>
      <c r="D8" s="22">
        <v>5000</v>
      </c>
      <c r="E8" s="56">
        <f t="shared" si="0"/>
        <v>1</v>
      </c>
      <c r="F8" s="56">
        <v>200</v>
      </c>
      <c r="G8" s="56">
        <f t="shared" si="0"/>
        <v>10</v>
      </c>
      <c r="H8" s="56">
        <v>2000</v>
      </c>
      <c r="I8" s="56">
        <f t="shared" si="0"/>
        <v>1</v>
      </c>
      <c r="J8" s="51">
        <v>200</v>
      </c>
      <c r="K8" s="56">
        <f t="shared" si="0"/>
        <v>1</v>
      </c>
      <c r="L8" s="63">
        <v>200</v>
      </c>
      <c r="M8" s="56">
        <f t="shared" si="0"/>
        <v>10</v>
      </c>
      <c r="N8" s="24">
        <v>2000</v>
      </c>
      <c r="O8" s="56">
        <f t="shared" si="0"/>
        <v>1</v>
      </c>
      <c r="P8" s="24">
        <v>200</v>
      </c>
      <c r="Q8" s="56">
        <f t="shared" si="0"/>
        <v>1</v>
      </c>
      <c r="R8" s="24">
        <v>200</v>
      </c>
      <c r="S8" s="351">
        <f t="shared" si="0"/>
        <v>1</v>
      </c>
      <c r="T8" s="23">
        <v>200</v>
      </c>
      <c r="U8" s="351">
        <f t="shared" si="0"/>
        <v>1</v>
      </c>
      <c r="V8" s="24">
        <v>200</v>
      </c>
      <c r="W8" s="24"/>
      <c r="X8" s="55"/>
      <c r="Y8" s="25">
        <f t="shared" si="1"/>
        <v>10400</v>
      </c>
      <c r="Z8" s="26">
        <f t="shared" si="7"/>
        <v>31200</v>
      </c>
      <c r="AA8" s="104" cm="1">
        <f t="array" ref="AA8">Y8/Totalinfracash2024</f>
        <v>2.4085224641037517E-2</v>
      </c>
    </row>
    <row r="9" spans="1:27" ht="17" x14ac:dyDescent="0.45">
      <c r="A9" s="20">
        <v>6</v>
      </c>
      <c r="B9" s="53" t="s">
        <v>22</v>
      </c>
      <c r="C9" s="56">
        <f t="shared" si="0"/>
        <v>1</v>
      </c>
      <c r="D9" s="22">
        <v>200</v>
      </c>
      <c r="E9" s="56">
        <f t="shared" si="0"/>
        <v>1</v>
      </c>
      <c r="F9" s="56">
        <v>200</v>
      </c>
      <c r="G9" s="56">
        <f t="shared" si="0"/>
        <v>1</v>
      </c>
      <c r="H9" s="56">
        <v>200</v>
      </c>
      <c r="I9" s="56">
        <f t="shared" si="0"/>
        <v>1</v>
      </c>
      <c r="J9" s="51">
        <v>200</v>
      </c>
      <c r="K9" s="56">
        <f t="shared" si="0"/>
        <v>1</v>
      </c>
      <c r="L9" s="63">
        <v>200</v>
      </c>
      <c r="M9" s="56">
        <f t="shared" si="0"/>
        <v>1</v>
      </c>
      <c r="N9" s="24">
        <v>200</v>
      </c>
      <c r="O9" s="56">
        <f t="shared" si="0"/>
        <v>1</v>
      </c>
      <c r="P9" s="24">
        <v>200</v>
      </c>
      <c r="Q9" s="56">
        <f t="shared" si="0"/>
        <v>2</v>
      </c>
      <c r="R9" s="24">
        <v>400</v>
      </c>
      <c r="S9" s="351">
        <f t="shared" si="0"/>
        <v>1</v>
      </c>
      <c r="T9" s="23">
        <v>200</v>
      </c>
      <c r="U9" s="351">
        <f t="shared" si="0"/>
        <v>1</v>
      </c>
      <c r="V9" s="24">
        <v>200</v>
      </c>
      <c r="W9" s="24"/>
      <c r="X9" s="55"/>
      <c r="Y9" s="25">
        <f t="shared" si="1"/>
        <v>2200</v>
      </c>
      <c r="Z9" s="26">
        <f t="shared" si="7"/>
        <v>6600</v>
      </c>
      <c r="AA9" s="104" cm="1">
        <f t="array" ref="AA9">Y9/Totalinfracash2024</f>
        <v>5.0949513663733209E-3</v>
      </c>
    </row>
    <row r="10" spans="1:27" ht="17" x14ac:dyDescent="0.45">
      <c r="A10" s="20">
        <v>7</v>
      </c>
      <c r="B10" s="53" t="s">
        <v>23</v>
      </c>
      <c r="C10" s="56">
        <f t="shared" si="0"/>
        <v>1</v>
      </c>
      <c r="D10" s="22">
        <v>200</v>
      </c>
      <c r="E10" s="56">
        <f t="shared" si="0"/>
        <v>1</v>
      </c>
      <c r="F10" s="56">
        <v>200</v>
      </c>
      <c r="G10" s="56">
        <f t="shared" si="0"/>
        <v>1</v>
      </c>
      <c r="H10" s="56">
        <v>200</v>
      </c>
      <c r="I10" s="56">
        <f t="shared" si="0"/>
        <v>1</v>
      </c>
      <c r="J10" s="51">
        <v>200</v>
      </c>
      <c r="K10" s="56">
        <f t="shared" si="0"/>
        <v>1</v>
      </c>
      <c r="L10" s="63">
        <v>200</v>
      </c>
      <c r="M10" s="56">
        <f t="shared" si="0"/>
        <v>1</v>
      </c>
      <c r="N10" s="24">
        <v>200</v>
      </c>
      <c r="O10" s="56">
        <f t="shared" si="0"/>
        <v>1</v>
      </c>
      <c r="P10" s="24">
        <v>200</v>
      </c>
      <c r="Q10" s="56">
        <f t="shared" si="0"/>
        <v>50</v>
      </c>
      <c r="R10" s="24">
        <v>10000</v>
      </c>
      <c r="S10" s="351">
        <f t="shared" si="0"/>
        <v>5</v>
      </c>
      <c r="T10" s="59">
        <v>1000</v>
      </c>
      <c r="U10" s="351">
        <f t="shared" si="0"/>
        <v>5</v>
      </c>
      <c r="V10" s="24">
        <v>1000</v>
      </c>
      <c r="W10" s="24"/>
      <c r="X10" s="55"/>
      <c r="Y10" s="25">
        <f t="shared" si="1"/>
        <v>13400</v>
      </c>
      <c r="Z10" s="26">
        <f t="shared" si="7"/>
        <v>40200</v>
      </c>
      <c r="AA10" s="104" cm="1">
        <f t="array" ref="AA10">Y10/Totalinfracash2024</f>
        <v>3.1032885595182955E-2</v>
      </c>
    </row>
    <row r="11" spans="1:27" ht="17" x14ac:dyDescent="0.45">
      <c r="A11" s="20">
        <v>8</v>
      </c>
      <c r="B11" s="53" t="s">
        <v>24</v>
      </c>
      <c r="C11" s="56">
        <f t="shared" si="0"/>
        <v>2</v>
      </c>
      <c r="D11" s="22">
        <v>400</v>
      </c>
      <c r="E11" s="56">
        <f t="shared" si="0"/>
        <v>2</v>
      </c>
      <c r="F11" s="56">
        <v>400</v>
      </c>
      <c r="G11" s="56">
        <f t="shared" si="0"/>
        <v>6</v>
      </c>
      <c r="H11" s="56">
        <v>1200</v>
      </c>
      <c r="I11" s="56">
        <f t="shared" si="0"/>
        <v>2</v>
      </c>
      <c r="J11" s="51">
        <v>400</v>
      </c>
      <c r="K11" s="56">
        <f t="shared" si="0"/>
        <v>2</v>
      </c>
      <c r="L11" s="63">
        <v>400</v>
      </c>
      <c r="M11" s="56">
        <f t="shared" si="0"/>
        <v>18</v>
      </c>
      <c r="N11" s="48">
        <v>3600</v>
      </c>
      <c r="O11" s="56">
        <f t="shared" si="0"/>
        <v>1</v>
      </c>
      <c r="P11" s="48">
        <v>200</v>
      </c>
      <c r="Q11" s="56">
        <f t="shared" si="0"/>
        <v>1</v>
      </c>
      <c r="R11" s="24">
        <v>200</v>
      </c>
      <c r="S11" s="351">
        <f t="shared" si="0"/>
        <v>1</v>
      </c>
      <c r="T11" s="23">
        <v>200</v>
      </c>
      <c r="U11" s="351">
        <f t="shared" si="0"/>
        <v>2</v>
      </c>
      <c r="V11" s="24">
        <v>400</v>
      </c>
      <c r="W11" s="24"/>
      <c r="X11" s="55"/>
      <c r="Y11" s="25">
        <f t="shared" si="1"/>
        <v>7400</v>
      </c>
      <c r="Z11" s="26">
        <f t="shared" si="7"/>
        <v>22200</v>
      </c>
      <c r="AA11" s="104" cm="1">
        <f t="array" ref="AA11">Y11/Totalinfracash2024</f>
        <v>1.7137563686892079E-2</v>
      </c>
    </row>
    <row r="12" spans="1:27" ht="17" x14ac:dyDescent="0.45">
      <c r="A12" s="20">
        <v>9</v>
      </c>
      <c r="B12" s="53" t="s">
        <v>25</v>
      </c>
      <c r="C12" s="56">
        <f t="shared" si="0"/>
        <v>5</v>
      </c>
      <c r="D12" s="22">
        <v>1000</v>
      </c>
      <c r="E12" s="56">
        <f t="shared" si="0"/>
        <v>1</v>
      </c>
      <c r="F12" s="56">
        <v>200</v>
      </c>
      <c r="G12" s="56">
        <f t="shared" si="0"/>
        <v>1</v>
      </c>
      <c r="H12" s="56">
        <v>200</v>
      </c>
      <c r="I12" s="56">
        <f t="shared" si="0"/>
        <v>1</v>
      </c>
      <c r="J12" s="51">
        <v>200</v>
      </c>
      <c r="K12" s="56">
        <f t="shared" si="0"/>
        <v>5</v>
      </c>
      <c r="L12" s="63">
        <v>1000</v>
      </c>
      <c r="M12" s="56">
        <f t="shared" si="0"/>
        <v>1</v>
      </c>
      <c r="N12" s="48">
        <v>200</v>
      </c>
      <c r="O12" s="56">
        <f t="shared" si="0"/>
        <v>5</v>
      </c>
      <c r="P12" s="48">
        <v>1000</v>
      </c>
      <c r="Q12" s="56">
        <f t="shared" si="0"/>
        <v>5</v>
      </c>
      <c r="R12" s="24">
        <v>1000</v>
      </c>
      <c r="S12" s="351">
        <f t="shared" si="0"/>
        <v>1</v>
      </c>
      <c r="T12" s="23">
        <v>200</v>
      </c>
      <c r="U12" s="351">
        <f t="shared" si="0"/>
        <v>1</v>
      </c>
      <c r="V12" s="24">
        <v>200</v>
      </c>
      <c r="W12" s="24"/>
      <c r="X12" s="55"/>
      <c r="Y12" s="25">
        <f t="shared" si="1"/>
        <v>5200</v>
      </c>
      <c r="Z12" s="26">
        <f t="shared" si="7"/>
        <v>15600</v>
      </c>
      <c r="AA12" s="104" cm="1">
        <f t="array" ref="AA12">Y12/Totalinfracash2024</f>
        <v>1.2042612320518759E-2</v>
      </c>
    </row>
    <row r="13" spans="1:27" ht="17" x14ac:dyDescent="0.45">
      <c r="A13" s="20">
        <v>10</v>
      </c>
      <c r="B13" s="53" t="s">
        <v>26</v>
      </c>
      <c r="C13" s="56">
        <f t="shared" si="0"/>
        <v>1</v>
      </c>
      <c r="D13" s="22">
        <v>200</v>
      </c>
      <c r="E13" s="56">
        <f t="shared" si="0"/>
        <v>1</v>
      </c>
      <c r="F13" s="56">
        <v>200</v>
      </c>
      <c r="G13" s="56">
        <f t="shared" si="0"/>
        <v>1</v>
      </c>
      <c r="H13" s="56">
        <v>200</v>
      </c>
      <c r="I13" s="56">
        <f t="shared" si="0"/>
        <v>24</v>
      </c>
      <c r="J13" s="51">
        <v>4800</v>
      </c>
      <c r="K13" s="56">
        <f t="shared" si="0"/>
        <v>1</v>
      </c>
      <c r="L13" s="63">
        <v>200</v>
      </c>
      <c r="M13" s="56">
        <f t="shared" si="0"/>
        <v>1</v>
      </c>
      <c r="N13" s="24">
        <v>200</v>
      </c>
      <c r="O13" s="56">
        <f t="shared" si="0"/>
        <v>1</v>
      </c>
      <c r="P13" s="24">
        <v>200</v>
      </c>
      <c r="Q13" s="56">
        <f t="shared" si="0"/>
        <v>1</v>
      </c>
      <c r="R13" s="24">
        <v>200</v>
      </c>
      <c r="S13" s="351">
        <f t="shared" si="0"/>
        <v>1</v>
      </c>
      <c r="T13" s="23">
        <v>200</v>
      </c>
      <c r="U13" s="351">
        <f t="shared" si="0"/>
        <v>1</v>
      </c>
      <c r="V13" s="24">
        <v>200</v>
      </c>
      <c r="W13" s="24"/>
      <c r="X13" s="55"/>
      <c r="Y13" s="25">
        <f t="shared" si="1"/>
        <v>6600</v>
      </c>
      <c r="Z13" s="26">
        <f t="shared" si="7"/>
        <v>19800</v>
      </c>
      <c r="AA13" s="104" cm="1">
        <f t="array" ref="AA13">Y13/Totalinfracash2024</f>
        <v>1.5284854099119963E-2</v>
      </c>
    </row>
    <row r="14" spans="1:27" ht="17" x14ac:dyDescent="0.45">
      <c r="A14" s="20">
        <v>11</v>
      </c>
      <c r="B14" s="53" t="s">
        <v>27</v>
      </c>
      <c r="C14" s="56">
        <f t="shared" si="0"/>
        <v>1</v>
      </c>
      <c r="D14" s="22">
        <v>200</v>
      </c>
      <c r="E14" s="56">
        <f t="shared" si="0"/>
        <v>1</v>
      </c>
      <c r="F14" s="56">
        <v>200</v>
      </c>
      <c r="G14" s="56">
        <f t="shared" si="0"/>
        <v>1</v>
      </c>
      <c r="H14" s="56">
        <v>200</v>
      </c>
      <c r="I14" s="56">
        <f t="shared" si="0"/>
        <v>1</v>
      </c>
      <c r="J14" s="51">
        <v>200</v>
      </c>
      <c r="K14" s="56">
        <f t="shared" si="0"/>
        <v>75</v>
      </c>
      <c r="L14" s="63">
        <v>15000</v>
      </c>
      <c r="M14" s="56">
        <f t="shared" si="0"/>
        <v>1</v>
      </c>
      <c r="N14" s="24">
        <v>200</v>
      </c>
      <c r="O14" s="56">
        <f t="shared" si="0"/>
        <v>75</v>
      </c>
      <c r="P14" s="24">
        <v>15000</v>
      </c>
      <c r="Q14" s="56">
        <f t="shared" si="0"/>
        <v>2</v>
      </c>
      <c r="R14" s="24">
        <v>400</v>
      </c>
      <c r="S14" s="351">
        <f t="shared" si="0"/>
        <v>1</v>
      </c>
      <c r="T14" s="23">
        <v>200</v>
      </c>
      <c r="U14" s="351">
        <f t="shared" si="0"/>
        <v>1</v>
      </c>
      <c r="V14" s="24">
        <v>200</v>
      </c>
      <c r="W14" s="24"/>
      <c r="X14" s="55"/>
      <c r="Y14" s="25">
        <f t="shared" si="1"/>
        <v>31800</v>
      </c>
      <c r="Z14" s="26">
        <f t="shared" si="7"/>
        <v>95400</v>
      </c>
      <c r="AA14" s="104" cm="1">
        <f t="array" ref="AA14">Y14/Totalinfracash2024</f>
        <v>7.3645206113941639E-2</v>
      </c>
    </row>
    <row r="15" spans="1:27" ht="17" x14ac:dyDescent="0.45">
      <c r="A15" s="20">
        <v>12</v>
      </c>
      <c r="B15" s="53" t="s">
        <v>28</v>
      </c>
      <c r="C15" s="56">
        <f t="shared" si="0"/>
        <v>1</v>
      </c>
      <c r="D15" s="22">
        <v>200</v>
      </c>
      <c r="E15" s="56">
        <f t="shared" si="0"/>
        <v>2</v>
      </c>
      <c r="F15" s="56">
        <v>400</v>
      </c>
      <c r="G15" s="56">
        <f t="shared" si="0"/>
        <v>1</v>
      </c>
      <c r="H15" s="56">
        <v>200</v>
      </c>
      <c r="I15" s="56">
        <f t="shared" si="0"/>
        <v>1</v>
      </c>
      <c r="J15" s="51">
        <v>200</v>
      </c>
      <c r="K15" s="56">
        <f t="shared" si="0"/>
        <v>1</v>
      </c>
      <c r="L15" s="63">
        <v>200</v>
      </c>
      <c r="M15" s="56">
        <f t="shared" si="0"/>
        <v>1</v>
      </c>
      <c r="N15" s="48">
        <v>200</v>
      </c>
      <c r="O15" s="56">
        <f t="shared" si="0"/>
        <v>1</v>
      </c>
      <c r="P15" s="48">
        <v>200</v>
      </c>
      <c r="Q15" s="56">
        <f t="shared" si="0"/>
        <v>2</v>
      </c>
      <c r="R15" s="24">
        <v>400</v>
      </c>
      <c r="S15" s="351">
        <f t="shared" si="0"/>
        <v>5</v>
      </c>
      <c r="T15" s="23">
        <v>1000</v>
      </c>
      <c r="U15" s="351">
        <f t="shared" si="0"/>
        <v>1</v>
      </c>
      <c r="V15" s="24">
        <v>200</v>
      </c>
      <c r="W15" s="24"/>
      <c r="X15" s="55"/>
      <c r="Y15" s="25">
        <f t="shared" si="1"/>
        <v>3200</v>
      </c>
      <c r="Z15" s="26">
        <f t="shared" si="7"/>
        <v>9600</v>
      </c>
      <c r="AA15" s="104" cm="1">
        <f t="array" ref="AA15">Y15/Totalinfracash2024</f>
        <v>7.4108383510884668E-3</v>
      </c>
    </row>
    <row r="16" spans="1:27" ht="17" x14ac:dyDescent="0.45">
      <c r="A16" s="20">
        <v>13</v>
      </c>
      <c r="B16" s="53" t="s">
        <v>29</v>
      </c>
      <c r="C16" s="56">
        <f t="shared" si="0"/>
        <v>25</v>
      </c>
      <c r="D16" s="22">
        <v>5000</v>
      </c>
      <c r="E16" s="56">
        <f t="shared" si="0"/>
        <v>1</v>
      </c>
      <c r="F16" s="56">
        <v>200</v>
      </c>
      <c r="G16" s="56">
        <f t="shared" si="0"/>
        <v>1</v>
      </c>
      <c r="H16" s="56">
        <v>200</v>
      </c>
      <c r="I16" s="56">
        <f t="shared" si="0"/>
        <v>1</v>
      </c>
      <c r="J16" s="51">
        <v>200</v>
      </c>
      <c r="K16" s="56">
        <f t="shared" si="0"/>
        <v>1</v>
      </c>
      <c r="L16" s="63">
        <v>200</v>
      </c>
      <c r="M16" s="56">
        <f t="shared" si="0"/>
        <v>1</v>
      </c>
      <c r="N16" s="48">
        <v>200</v>
      </c>
      <c r="O16" s="56">
        <f t="shared" si="0"/>
        <v>5</v>
      </c>
      <c r="P16" s="48">
        <v>1000</v>
      </c>
      <c r="Q16" s="56">
        <f t="shared" si="0"/>
        <v>1</v>
      </c>
      <c r="R16" s="24">
        <v>200</v>
      </c>
      <c r="S16" s="351">
        <f t="shared" si="0"/>
        <v>1</v>
      </c>
      <c r="T16" s="23">
        <v>200</v>
      </c>
      <c r="U16" s="351">
        <f t="shared" si="0"/>
        <v>1</v>
      </c>
      <c r="V16" s="24">
        <v>200</v>
      </c>
      <c r="W16" s="24"/>
      <c r="X16" s="55"/>
      <c r="Y16" s="25">
        <f t="shared" si="1"/>
        <v>7600</v>
      </c>
      <c r="Z16" s="26">
        <f t="shared" si="7"/>
        <v>22800</v>
      </c>
      <c r="AA16" s="104" cm="1">
        <f t="array" ref="AA16">Y16/Totalinfracash2024</f>
        <v>1.7600741083835109E-2</v>
      </c>
    </row>
    <row r="17" spans="1:27" ht="17" x14ac:dyDescent="0.45">
      <c r="A17" s="20">
        <v>14</v>
      </c>
      <c r="B17" s="53" t="s">
        <v>30</v>
      </c>
      <c r="C17" s="56">
        <f t="shared" si="0"/>
        <v>25</v>
      </c>
      <c r="D17" s="22">
        <v>5000</v>
      </c>
      <c r="E17" s="56">
        <f t="shared" si="0"/>
        <v>25</v>
      </c>
      <c r="F17" s="56">
        <v>5000</v>
      </c>
      <c r="G17" s="56">
        <f t="shared" si="0"/>
        <v>25</v>
      </c>
      <c r="H17" s="56">
        <v>5000</v>
      </c>
      <c r="I17" s="56">
        <f t="shared" si="0"/>
        <v>25</v>
      </c>
      <c r="J17" s="51">
        <v>5000</v>
      </c>
      <c r="K17" s="56">
        <f t="shared" si="0"/>
        <v>50</v>
      </c>
      <c r="L17" s="63">
        <v>10000</v>
      </c>
      <c r="M17" s="56">
        <f t="shared" si="0"/>
        <v>25</v>
      </c>
      <c r="N17" s="48">
        <v>5000</v>
      </c>
      <c r="O17" s="56">
        <f t="shared" si="0"/>
        <v>25</v>
      </c>
      <c r="P17" s="48">
        <v>5000</v>
      </c>
      <c r="Q17" s="56">
        <f t="shared" si="0"/>
        <v>25</v>
      </c>
      <c r="R17" s="24">
        <v>5000</v>
      </c>
      <c r="S17" s="351">
        <f t="shared" si="0"/>
        <v>18</v>
      </c>
      <c r="T17" s="23">
        <v>3600</v>
      </c>
      <c r="U17" s="351">
        <f t="shared" si="0"/>
        <v>1</v>
      </c>
      <c r="V17" s="24">
        <v>200</v>
      </c>
      <c r="W17" s="24"/>
      <c r="X17" s="55"/>
      <c r="Y17" s="25">
        <f t="shared" si="1"/>
        <v>48800</v>
      </c>
      <c r="Z17" s="26">
        <f t="shared" si="7"/>
        <v>146400</v>
      </c>
      <c r="AA17" s="104" cm="1">
        <f t="array" ref="AA17">Y17/Totalinfracash2024</f>
        <v>0.11301528485409912</v>
      </c>
    </row>
    <row r="18" spans="1:27" ht="17" x14ac:dyDescent="0.45">
      <c r="A18" s="20">
        <v>15</v>
      </c>
      <c r="B18" s="53" t="s">
        <v>31</v>
      </c>
      <c r="C18" s="56">
        <f t="shared" si="0"/>
        <v>3</v>
      </c>
      <c r="D18" s="22">
        <v>600</v>
      </c>
      <c r="E18" s="56">
        <f t="shared" si="0"/>
        <v>1</v>
      </c>
      <c r="F18" s="56">
        <v>200</v>
      </c>
      <c r="G18" s="56">
        <f t="shared" si="0"/>
        <v>2</v>
      </c>
      <c r="H18" s="56">
        <v>400</v>
      </c>
      <c r="I18" s="56">
        <f t="shared" si="0"/>
        <v>3</v>
      </c>
      <c r="J18" s="51">
        <v>600</v>
      </c>
      <c r="K18" s="56">
        <f t="shared" si="0"/>
        <v>1</v>
      </c>
      <c r="L18" s="63">
        <v>200</v>
      </c>
      <c r="M18" s="56">
        <f t="shared" si="0"/>
        <v>1</v>
      </c>
      <c r="N18" s="48">
        <v>200</v>
      </c>
      <c r="O18" s="56">
        <f t="shared" si="0"/>
        <v>3</v>
      </c>
      <c r="P18" s="48">
        <v>600</v>
      </c>
      <c r="Q18" s="56">
        <f t="shared" si="0"/>
        <v>2</v>
      </c>
      <c r="R18" s="24">
        <v>400</v>
      </c>
      <c r="S18" s="351">
        <f t="shared" si="0"/>
        <v>1</v>
      </c>
      <c r="T18" s="23">
        <v>200</v>
      </c>
      <c r="U18" s="351">
        <f t="shared" si="0"/>
        <v>1</v>
      </c>
      <c r="V18" s="24">
        <v>200</v>
      </c>
      <c r="W18" s="24"/>
      <c r="X18" s="55"/>
      <c r="Y18" s="25">
        <f>D18+F18+H18+J18+L18+N18+P18+R18+T18+V18</f>
        <v>3600</v>
      </c>
      <c r="Z18" s="26">
        <f>Y18*3</f>
        <v>10800</v>
      </c>
      <c r="AA18" s="104" cm="1">
        <f t="array" ref="AA18">Y18/Totalinfracash2024</f>
        <v>8.3371931449745251E-3</v>
      </c>
    </row>
    <row r="19" spans="1:27" ht="17" x14ac:dyDescent="0.45">
      <c r="A19" s="20">
        <v>16</v>
      </c>
      <c r="B19" s="53" t="s">
        <v>32</v>
      </c>
      <c r="C19" s="56">
        <f t="shared" si="0"/>
        <v>15</v>
      </c>
      <c r="D19" s="22">
        <v>3000</v>
      </c>
      <c r="E19" s="56">
        <f t="shared" si="0"/>
        <v>15</v>
      </c>
      <c r="F19" s="56">
        <v>3000</v>
      </c>
      <c r="G19" s="56">
        <f t="shared" si="0"/>
        <v>25</v>
      </c>
      <c r="H19" s="56">
        <v>5000</v>
      </c>
      <c r="I19" s="56">
        <f t="shared" si="0"/>
        <v>5</v>
      </c>
      <c r="J19" s="51">
        <v>1000</v>
      </c>
      <c r="K19" s="56">
        <f t="shared" si="0"/>
        <v>17</v>
      </c>
      <c r="L19" s="63">
        <v>3400</v>
      </c>
      <c r="M19" s="56">
        <f t="shared" si="0"/>
        <v>5</v>
      </c>
      <c r="N19" s="24">
        <v>1000</v>
      </c>
      <c r="O19" s="56">
        <f t="shared" si="0"/>
        <v>5</v>
      </c>
      <c r="P19" s="24">
        <v>1000</v>
      </c>
      <c r="Q19" s="56">
        <f t="shared" si="0"/>
        <v>13</v>
      </c>
      <c r="R19" s="24">
        <v>2600</v>
      </c>
      <c r="S19" s="351">
        <f t="shared" si="0"/>
        <v>13</v>
      </c>
      <c r="T19" s="23">
        <v>2600</v>
      </c>
      <c r="U19" s="351">
        <f t="shared" si="0"/>
        <v>13</v>
      </c>
      <c r="V19" s="24">
        <v>2600</v>
      </c>
      <c r="W19" s="24"/>
      <c r="X19" s="55"/>
      <c r="Y19" s="25">
        <f t="shared" si="1"/>
        <v>25200</v>
      </c>
      <c r="Z19" s="26">
        <f t="shared" si="7"/>
        <v>75600</v>
      </c>
      <c r="AA19" s="104" cm="1">
        <f t="array" ref="AA19">Y19/Totalinfracash2024</f>
        <v>5.8360352014821676E-2</v>
      </c>
    </row>
    <row r="20" spans="1:27" ht="17" x14ac:dyDescent="0.45">
      <c r="A20" s="20">
        <v>17</v>
      </c>
      <c r="B20" s="53" t="s">
        <v>33</v>
      </c>
      <c r="C20" s="56">
        <f t="shared" si="0"/>
        <v>5</v>
      </c>
      <c r="D20" s="22">
        <v>1000</v>
      </c>
      <c r="E20" s="56">
        <f t="shared" si="0"/>
        <v>5</v>
      </c>
      <c r="F20" s="56">
        <v>1000</v>
      </c>
      <c r="G20" s="56">
        <f t="shared" si="0"/>
        <v>30</v>
      </c>
      <c r="H20" s="56">
        <v>6000</v>
      </c>
      <c r="I20" s="56">
        <f t="shared" si="0"/>
        <v>20</v>
      </c>
      <c r="J20" s="51">
        <v>4000</v>
      </c>
      <c r="K20" s="56">
        <f t="shared" si="0"/>
        <v>35</v>
      </c>
      <c r="L20" s="63">
        <v>7000</v>
      </c>
      <c r="M20" s="56">
        <f t="shared" si="0"/>
        <v>1</v>
      </c>
      <c r="N20" s="24">
        <v>200</v>
      </c>
      <c r="O20" s="56">
        <f t="shared" si="0"/>
        <v>5</v>
      </c>
      <c r="P20" s="24">
        <v>1000</v>
      </c>
      <c r="Q20" s="56">
        <f t="shared" si="0"/>
        <v>10</v>
      </c>
      <c r="R20" s="24">
        <v>2000</v>
      </c>
      <c r="S20" s="351">
        <f t="shared" si="0"/>
        <v>10</v>
      </c>
      <c r="T20" s="23">
        <v>2000</v>
      </c>
      <c r="U20" s="351">
        <f t="shared" si="0"/>
        <v>5</v>
      </c>
      <c r="V20" s="24">
        <v>1000</v>
      </c>
      <c r="W20" s="24"/>
      <c r="X20" s="55"/>
      <c r="Y20" s="25">
        <f t="shared" si="1"/>
        <v>25200</v>
      </c>
      <c r="Z20" s="26">
        <f t="shared" si="7"/>
        <v>75600</v>
      </c>
      <c r="AA20" s="104" cm="1">
        <f t="array" ref="AA20">Y20/Totalinfracash2024</f>
        <v>5.8360352014821676E-2</v>
      </c>
    </row>
    <row r="21" spans="1:27" ht="17" x14ac:dyDescent="0.45">
      <c r="A21" s="20">
        <v>18</v>
      </c>
      <c r="B21" s="53" t="s">
        <v>34</v>
      </c>
      <c r="C21" s="56">
        <f t="shared" si="0"/>
        <v>5</v>
      </c>
      <c r="D21" s="22">
        <v>1000</v>
      </c>
      <c r="E21" s="56">
        <f t="shared" si="0"/>
        <v>10</v>
      </c>
      <c r="F21" s="56">
        <v>2000</v>
      </c>
      <c r="G21" s="56">
        <f t="shared" si="0"/>
        <v>20</v>
      </c>
      <c r="H21" s="56">
        <v>4000</v>
      </c>
      <c r="I21" s="56">
        <f t="shared" si="0"/>
        <v>65</v>
      </c>
      <c r="J21" s="51">
        <v>13000</v>
      </c>
      <c r="K21" s="56">
        <f t="shared" si="0"/>
        <v>25</v>
      </c>
      <c r="L21" s="63">
        <v>5000</v>
      </c>
      <c r="M21" s="56">
        <f t="shared" si="0"/>
        <v>1</v>
      </c>
      <c r="N21" s="24">
        <v>200</v>
      </c>
      <c r="O21" s="56">
        <f t="shared" si="0"/>
        <v>5</v>
      </c>
      <c r="P21" s="24">
        <v>1000</v>
      </c>
      <c r="Q21" s="56">
        <f t="shared" si="0"/>
        <v>2</v>
      </c>
      <c r="R21" s="24">
        <v>400</v>
      </c>
      <c r="S21" s="351">
        <f t="shared" si="0"/>
        <v>1</v>
      </c>
      <c r="T21" s="23">
        <v>200</v>
      </c>
      <c r="U21" s="351">
        <f t="shared" si="0"/>
        <v>1</v>
      </c>
      <c r="V21" s="24">
        <v>200</v>
      </c>
      <c r="W21" s="24"/>
      <c r="X21" s="55"/>
      <c r="Y21" s="25">
        <f t="shared" si="1"/>
        <v>27000</v>
      </c>
      <c r="Z21" s="26">
        <f t="shared" si="7"/>
        <v>81000</v>
      </c>
      <c r="AA21" s="104" cm="1">
        <f t="array" ref="AA21">Y21/Totalinfracash2024</f>
        <v>6.2528948587308938E-2</v>
      </c>
    </row>
    <row r="22" spans="1:27" ht="17" x14ac:dyDescent="0.45">
      <c r="A22" s="20">
        <v>19</v>
      </c>
      <c r="B22" s="53" t="s">
        <v>48</v>
      </c>
      <c r="C22" s="56">
        <f t="shared" ref="C22" si="8">D22/200</f>
        <v>0</v>
      </c>
      <c r="D22" s="22">
        <v>0</v>
      </c>
      <c r="E22" s="56">
        <f t="shared" si="0"/>
        <v>5</v>
      </c>
      <c r="F22" s="56">
        <v>1000</v>
      </c>
      <c r="G22" s="56">
        <f t="shared" si="0"/>
        <v>9</v>
      </c>
      <c r="H22" s="56">
        <v>1800</v>
      </c>
      <c r="I22" s="56">
        <f t="shared" si="0"/>
        <v>44</v>
      </c>
      <c r="J22" s="51">
        <v>8800</v>
      </c>
      <c r="K22" s="56">
        <f t="shared" si="0"/>
        <v>100</v>
      </c>
      <c r="L22" s="63">
        <v>20000</v>
      </c>
      <c r="M22" s="56">
        <f t="shared" si="0"/>
        <v>2</v>
      </c>
      <c r="N22" s="24">
        <v>400</v>
      </c>
      <c r="O22" s="56">
        <f t="shared" si="0"/>
        <v>5</v>
      </c>
      <c r="P22" s="24">
        <v>1000</v>
      </c>
      <c r="Q22" s="56">
        <f t="shared" si="0"/>
        <v>1</v>
      </c>
      <c r="R22" s="24">
        <v>200</v>
      </c>
      <c r="S22" s="351">
        <f t="shared" si="0"/>
        <v>2</v>
      </c>
      <c r="T22" s="23">
        <v>400</v>
      </c>
      <c r="U22" s="351">
        <f t="shared" si="0"/>
        <v>1</v>
      </c>
      <c r="V22" s="24">
        <v>200</v>
      </c>
      <c r="W22" s="24"/>
      <c r="X22" s="55"/>
      <c r="Y22" s="25">
        <f t="shared" ref="Y22" si="9">D22+F22+H22+J22+L22+N22+P22+R22+T22+V22</f>
        <v>33800</v>
      </c>
      <c r="Z22" s="26">
        <f t="shared" ref="Z22" si="10">Y22*3</f>
        <v>101400</v>
      </c>
      <c r="AA22" s="104" cm="1">
        <f t="array" ref="AA22">Y22/Totalinfracash2024</f>
        <v>7.827698008337193E-2</v>
      </c>
    </row>
    <row r="23" spans="1:27" ht="17" x14ac:dyDescent="0.45">
      <c r="A23" s="20">
        <v>20</v>
      </c>
      <c r="B23" s="53" t="s">
        <v>35</v>
      </c>
      <c r="C23" s="56">
        <f t="shared" si="0"/>
        <v>30</v>
      </c>
      <c r="D23" s="22">
        <v>6000</v>
      </c>
      <c r="E23" s="56">
        <f t="shared" si="0"/>
        <v>50</v>
      </c>
      <c r="F23" s="56">
        <v>10000</v>
      </c>
      <c r="G23" s="56">
        <f t="shared" si="0"/>
        <v>10</v>
      </c>
      <c r="H23" s="56">
        <v>2000</v>
      </c>
      <c r="I23" s="56">
        <f t="shared" si="0"/>
        <v>1</v>
      </c>
      <c r="J23" s="51">
        <v>200</v>
      </c>
      <c r="K23" s="56">
        <f t="shared" si="0"/>
        <v>25</v>
      </c>
      <c r="L23" s="63">
        <v>5000</v>
      </c>
      <c r="M23" s="56">
        <f t="shared" si="0"/>
        <v>1</v>
      </c>
      <c r="N23" s="48">
        <v>200</v>
      </c>
      <c r="O23" s="56">
        <f t="shared" si="0"/>
        <v>5</v>
      </c>
      <c r="P23" s="48">
        <v>1000</v>
      </c>
      <c r="Q23" s="56">
        <f t="shared" si="0"/>
        <v>1</v>
      </c>
      <c r="R23" s="24">
        <v>200</v>
      </c>
      <c r="S23" s="351">
        <f t="shared" si="0"/>
        <v>1</v>
      </c>
      <c r="T23" s="23">
        <v>200</v>
      </c>
      <c r="U23" s="351">
        <f t="shared" si="0"/>
        <v>1</v>
      </c>
      <c r="V23" s="24">
        <v>200</v>
      </c>
      <c r="W23" s="24"/>
      <c r="X23" s="55"/>
      <c r="Y23" s="25">
        <f t="shared" si="1"/>
        <v>25000</v>
      </c>
      <c r="Z23" s="26">
        <f t="shared" si="7"/>
        <v>75000</v>
      </c>
      <c r="AA23" s="104" cm="1">
        <f t="array" ref="AA23">Y23/Totalinfracash2024</f>
        <v>5.7897174617878647E-2</v>
      </c>
    </row>
    <row r="24" spans="1:27" ht="17" x14ac:dyDescent="0.45">
      <c r="A24" s="20">
        <v>21</v>
      </c>
      <c r="B24" s="53" t="s">
        <v>36</v>
      </c>
      <c r="C24" s="56">
        <f t="shared" si="0"/>
        <v>1</v>
      </c>
      <c r="D24" s="22">
        <v>200</v>
      </c>
      <c r="E24" s="56">
        <f t="shared" si="0"/>
        <v>5</v>
      </c>
      <c r="F24" s="56">
        <v>1000</v>
      </c>
      <c r="G24" s="56">
        <f t="shared" si="0"/>
        <v>5</v>
      </c>
      <c r="H24" s="56">
        <v>1000</v>
      </c>
      <c r="I24" s="56">
        <f t="shared" si="0"/>
        <v>1</v>
      </c>
      <c r="J24" s="51">
        <v>200</v>
      </c>
      <c r="K24" s="56">
        <f t="shared" si="0"/>
        <v>50</v>
      </c>
      <c r="L24" s="63">
        <v>10000</v>
      </c>
      <c r="M24" s="56">
        <f t="shared" si="0"/>
        <v>1</v>
      </c>
      <c r="N24" s="48">
        <v>200</v>
      </c>
      <c r="O24" s="56">
        <f t="shared" si="0"/>
        <v>5</v>
      </c>
      <c r="P24" s="48">
        <v>1000</v>
      </c>
      <c r="Q24" s="56">
        <f t="shared" si="0"/>
        <v>1</v>
      </c>
      <c r="R24" s="24">
        <v>200</v>
      </c>
      <c r="S24" s="351">
        <f t="shared" si="0"/>
        <v>1</v>
      </c>
      <c r="T24" s="23">
        <v>200</v>
      </c>
      <c r="U24" s="351">
        <f t="shared" si="0"/>
        <v>1</v>
      </c>
      <c r="V24" s="24">
        <v>200</v>
      </c>
      <c r="W24" s="24"/>
      <c r="X24" s="55"/>
      <c r="Y24" s="25">
        <f>D24+F24+H24+J24+L24+N24+P24+R24+T24+V24</f>
        <v>14200</v>
      </c>
      <c r="Z24" s="26">
        <f>Y24*3</f>
        <v>42600</v>
      </c>
      <c r="AA24" s="104" cm="1">
        <f t="array" ref="AA24">Y24/Totalinfracash2024</f>
        <v>3.2885595182955071E-2</v>
      </c>
    </row>
    <row r="25" spans="1:27" ht="17" x14ac:dyDescent="0.45">
      <c r="A25" s="20">
        <v>22</v>
      </c>
      <c r="B25" s="53" t="s">
        <v>37</v>
      </c>
      <c r="C25" s="56">
        <f t="shared" si="0"/>
        <v>25</v>
      </c>
      <c r="D25" s="22">
        <v>5000</v>
      </c>
      <c r="E25" s="56">
        <f t="shared" si="0"/>
        <v>50</v>
      </c>
      <c r="F25" s="56">
        <v>10000</v>
      </c>
      <c r="G25" s="56">
        <f t="shared" si="0"/>
        <v>5</v>
      </c>
      <c r="H25" s="56">
        <v>1000</v>
      </c>
      <c r="I25" s="56">
        <f t="shared" si="0"/>
        <v>25</v>
      </c>
      <c r="J25" s="51">
        <v>5000</v>
      </c>
      <c r="K25" s="56">
        <f t="shared" si="0"/>
        <v>25</v>
      </c>
      <c r="L25" s="63">
        <v>5000</v>
      </c>
      <c r="M25" s="56">
        <f t="shared" si="0"/>
        <v>5</v>
      </c>
      <c r="N25" s="24">
        <v>1000</v>
      </c>
      <c r="O25" s="56">
        <f t="shared" si="0"/>
        <v>5</v>
      </c>
      <c r="P25" s="24">
        <v>1000</v>
      </c>
      <c r="Q25" s="56">
        <f t="shared" si="0"/>
        <v>10</v>
      </c>
      <c r="R25" s="24">
        <v>2000</v>
      </c>
      <c r="S25" s="351">
        <f t="shared" si="0"/>
        <v>10</v>
      </c>
      <c r="T25" s="23">
        <v>2000</v>
      </c>
      <c r="U25" s="351">
        <f t="shared" si="0"/>
        <v>1</v>
      </c>
      <c r="V25" s="24">
        <v>200</v>
      </c>
      <c r="W25" s="24"/>
      <c r="X25" s="55"/>
      <c r="Y25" s="25">
        <f t="shared" si="1"/>
        <v>32200</v>
      </c>
      <c r="Z25" s="26">
        <f>Y25*3</f>
        <v>96600</v>
      </c>
      <c r="AA25" s="104" cm="1">
        <f t="array" ref="AA25">Y25/Totalinfracash2024</f>
        <v>7.4571560907827697E-2</v>
      </c>
    </row>
    <row r="26" spans="1:27" ht="17" x14ac:dyDescent="0.45">
      <c r="A26" s="20">
        <v>23</v>
      </c>
      <c r="B26" s="53" t="s">
        <v>38</v>
      </c>
      <c r="C26" s="56">
        <f t="shared" si="0"/>
        <v>25</v>
      </c>
      <c r="D26" s="22">
        <v>5000</v>
      </c>
      <c r="E26" s="56">
        <f t="shared" si="0"/>
        <v>5</v>
      </c>
      <c r="F26" s="56">
        <v>1000</v>
      </c>
      <c r="G26" s="56">
        <f t="shared" si="0"/>
        <v>5</v>
      </c>
      <c r="H26" s="56">
        <v>1000</v>
      </c>
      <c r="I26" s="56">
        <f t="shared" si="0"/>
        <v>10</v>
      </c>
      <c r="J26" s="51">
        <v>2000</v>
      </c>
      <c r="K26" s="56">
        <f t="shared" si="0"/>
        <v>5</v>
      </c>
      <c r="L26" s="63">
        <v>1000</v>
      </c>
      <c r="M26" s="56">
        <f t="shared" si="0"/>
        <v>1</v>
      </c>
      <c r="N26" s="48">
        <v>200</v>
      </c>
      <c r="O26" s="56">
        <f t="shared" si="0"/>
        <v>1</v>
      </c>
      <c r="P26" s="48">
        <v>200</v>
      </c>
      <c r="Q26" s="56">
        <f t="shared" si="0"/>
        <v>0</v>
      </c>
      <c r="R26" s="24"/>
      <c r="S26" s="351">
        <f t="shared" si="0"/>
        <v>1</v>
      </c>
      <c r="T26" s="23">
        <v>200</v>
      </c>
      <c r="U26" s="351">
        <f t="shared" si="0"/>
        <v>2</v>
      </c>
      <c r="V26" s="24">
        <v>400</v>
      </c>
      <c r="W26" s="24"/>
      <c r="X26" s="55"/>
      <c r="Y26" s="25">
        <f t="shared" si="1"/>
        <v>11000</v>
      </c>
      <c r="Z26" s="26">
        <f>Y26*3</f>
        <v>33000</v>
      </c>
      <c r="AA26" s="104" cm="1">
        <f t="array" ref="AA26">Y26/Totalinfracash2024</f>
        <v>2.5474756831866605E-2</v>
      </c>
    </row>
    <row r="27" spans="1:27" ht="17" x14ac:dyDescent="0.45">
      <c r="A27" s="20">
        <v>24</v>
      </c>
      <c r="B27" s="53" t="s">
        <v>39</v>
      </c>
      <c r="C27" s="56">
        <f t="shared" si="0"/>
        <v>10</v>
      </c>
      <c r="D27" s="22">
        <v>2000</v>
      </c>
      <c r="E27" s="56">
        <f t="shared" si="0"/>
        <v>20</v>
      </c>
      <c r="F27" s="56">
        <v>4000</v>
      </c>
      <c r="G27" s="56">
        <f t="shared" si="0"/>
        <v>5</v>
      </c>
      <c r="H27" s="56">
        <v>1000</v>
      </c>
      <c r="I27" s="56">
        <f t="shared" si="0"/>
        <v>1</v>
      </c>
      <c r="J27" s="51">
        <v>200</v>
      </c>
      <c r="K27" s="56">
        <f t="shared" si="0"/>
        <v>1</v>
      </c>
      <c r="L27" s="63">
        <v>200</v>
      </c>
      <c r="M27" s="56">
        <f t="shared" si="0"/>
        <v>2</v>
      </c>
      <c r="N27" s="48">
        <v>400</v>
      </c>
      <c r="O27" s="56">
        <f t="shared" si="0"/>
        <v>3</v>
      </c>
      <c r="P27" s="48">
        <v>600</v>
      </c>
      <c r="Q27" s="56">
        <f t="shared" si="0"/>
        <v>3</v>
      </c>
      <c r="R27" s="24">
        <v>600</v>
      </c>
      <c r="S27" s="351">
        <f t="shared" si="0"/>
        <v>1</v>
      </c>
      <c r="T27" s="23">
        <v>200</v>
      </c>
      <c r="U27" s="351">
        <f t="shared" si="0"/>
        <v>1</v>
      </c>
      <c r="V27" s="24">
        <v>200</v>
      </c>
      <c r="W27" s="24"/>
      <c r="X27" s="55"/>
      <c r="Y27" s="25">
        <f t="shared" si="1"/>
        <v>9400</v>
      </c>
      <c r="Z27" s="26">
        <f t="shared" si="7"/>
        <v>28200</v>
      </c>
      <c r="AA27" s="104" cm="1">
        <f t="array" ref="AA27">Y27/Totalinfracash2024</f>
        <v>2.1769337656322371E-2</v>
      </c>
    </row>
    <row r="28" spans="1:27" ht="17" x14ac:dyDescent="0.45">
      <c r="A28" s="20">
        <v>25</v>
      </c>
      <c r="B28" s="53" t="s">
        <v>40</v>
      </c>
      <c r="C28" s="56">
        <f t="shared" si="0"/>
        <v>1</v>
      </c>
      <c r="D28" s="22">
        <v>200</v>
      </c>
      <c r="E28" s="56">
        <f t="shared" si="0"/>
        <v>0</v>
      </c>
      <c r="F28" s="56"/>
      <c r="G28" s="56"/>
      <c r="H28" s="56"/>
      <c r="I28" s="56">
        <f t="shared" si="0"/>
        <v>0</v>
      </c>
      <c r="J28" s="51"/>
      <c r="K28" s="56">
        <f t="shared" si="0"/>
        <v>0</v>
      </c>
      <c r="L28" s="63"/>
      <c r="M28" s="56">
        <f t="shared" si="0"/>
        <v>0</v>
      </c>
      <c r="N28" s="24"/>
      <c r="O28" s="56">
        <f t="shared" si="0"/>
        <v>0</v>
      </c>
      <c r="P28" s="24"/>
      <c r="Q28" s="56">
        <f t="shared" si="0"/>
        <v>0</v>
      </c>
      <c r="R28" s="24"/>
      <c r="S28" s="351">
        <f t="shared" si="0"/>
        <v>0</v>
      </c>
      <c r="T28" s="23"/>
      <c r="U28" s="351">
        <f t="shared" si="0"/>
        <v>0</v>
      </c>
      <c r="V28" s="24"/>
      <c r="W28" s="24"/>
      <c r="X28" s="55"/>
      <c r="Y28" s="25">
        <f t="shared" si="1"/>
        <v>200</v>
      </c>
      <c r="Z28" s="26">
        <f t="shared" si="7"/>
        <v>600</v>
      </c>
      <c r="AA28" s="104" cm="1">
        <f t="array" ref="AA28">Y28/Totalinfracash2024</f>
        <v>4.6317739694302917E-4</v>
      </c>
    </row>
    <row r="29" spans="1:27" ht="17" x14ac:dyDescent="0.45">
      <c r="A29" s="20">
        <v>26</v>
      </c>
      <c r="B29" s="53" t="s">
        <v>41</v>
      </c>
      <c r="C29" s="56">
        <f t="shared" si="0"/>
        <v>23</v>
      </c>
      <c r="D29" s="22">
        <v>4600</v>
      </c>
      <c r="E29" s="56">
        <f t="shared" si="0"/>
        <v>23</v>
      </c>
      <c r="F29" s="22">
        <v>4600</v>
      </c>
      <c r="G29" s="56"/>
      <c r="H29" s="22">
        <v>4600</v>
      </c>
      <c r="I29" s="56">
        <f t="shared" si="0"/>
        <v>23</v>
      </c>
      <c r="J29" s="21">
        <v>4600</v>
      </c>
      <c r="K29" s="56">
        <f t="shared" si="0"/>
        <v>24</v>
      </c>
      <c r="L29" s="63">
        <v>4800</v>
      </c>
      <c r="M29" s="56">
        <f t="shared" si="0"/>
        <v>23</v>
      </c>
      <c r="N29" s="50">
        <v>4600</v>
      </c>
      <c r="O29" s="56">
        <f t="shared" si="0"/>
        <v>0</v>
      </c>
      <c r="P29" s="24"/>
      <c r="Q29" s="56">
        <f t="shared" si="0"/>
        <v>0</v>
      </c>
      <c r="R29" s="24"/>
      <c r="S29" s="351">
        <f t="shared" si="0"/>
        <v>0</v>
      </c>
      <c r="T29" s="23"/>
      <c r="U29" s="351">
        <f t="shared" si="0"/>
        <v>0</v>
      </c>
      <c r="V29" s="24"/>
      <c r="W29" s="24"/>
      <c r="X29" s="55"/>
      <c r="Y29" s="25">
        <f t="shared" si="1"/>
        <v>27800</v>
      </c>
      <c r="Z29" s="26">
        <f t="shared" si="7"/>
        <v>83400</v>
      </c>
      <c r="AA29" s="104"/>
    </row>
    <row r="30" spans="1:27" ht="17" x14ac:dyDescent="0.45">
      <c r="A30" s="28"/>
      <c r="B30" s="29" t="s">
        <v>14</v>
      </c>
      <c r="C30" s="58">
        <f>SUM(C4:C29)</f>
        <v>238</v>
      </c>
      <c r="D30" s="30">
        <f>SUM(D4:D29)</f>
        <v>47600</v>
      </c>
      <c r="E30" s="58">
        <f>SUM(E4:E28)</f>
        <v>279</v>
      </c>
      <c r="F30" s="30">
        <f>SUM(F4:F29)</f>
        <v>60400</v>
      </c>
      <c r="G30" s="58">
        <f>SUM(G4:G28)</f>
        <v>168</v>
      </c>
      <c r="H30" s="30">
        <f>SUM(H4:H29)</f>
        <v>38200</v>
      </c>
      <c r="I30" s="158">
        <f t="shared" ref="I30" si="11">J30/200</f>
        <v>259</v>
      </c>
      <c r="J30" s="30">
        <f>SUM(J4:J29)</f>
        <v>51800</v>
      </c>
      <c r="K30" s="28">
        <f>SUM(K4:K27)</f>
        <v>729</v>
      </c>
      <c r="L30" s="30">
        <f>SUM(L4:L29)</f>
        <v>150600</v>
      </c>
      <c r="M30" s="28">
        <f>SUM(M4:M28)</f>
        <v>85</v>
      </c>
      <c r="N30" s="32">
        <f>SUM(N4:N29)</f>
        <v>21600</v>
      </c>
      <c r="O30" s="31">
        <f>SUM(O4:O27)</f>
        <v>166</v>
      </c>
      <c r="P30" s="32">
        <f>SUM(P4:P28)</f>
        <v>33200</v>
      </c>
      <c r="Q30" s="31">
        <f>SUM(Q4:Q27)</f>
        <v>151</v>
      </c>
      <c r="R30" s="32">
        <f>SUM(R4:R28)</f>
        <v>30200</v>
      </c>
      <c r="S30" s="31">
        <f>SUM(S4:S28)</f>
        <v>80</v>
      </c>
      <c r="T30" s="32">
        <f>SUM(T4:T28)</f>
        <v>16000</v>
      </c>
      <c r="U30" s="31">
        <f>SUM(U4:U27)</f>
        <v>50</v>
      </c>
      <c r="V30" s="32">
        <f>SUM(V4:V28)</f>
        <v>10000</v>
      </c>
      <c r="W30" s="31"/>
      <c r="X30" s="31">
        <f>SUM(X4:X27)</f>
        <v>0</v>
      </c>
      <c r="Y30" s="27">
        <f>SUM(Y4:Y29)</f>
        <v>459600</v>
      </c>
      <c r="Z30" s="22"/>
      <c r="AA30" s="27">
        <f>SUM(AA4:AA28)</f>
        <v>1.0000000000000002</v>
      </c>
    </row>
    <row r="32" spans="1:27" x14ac:dyDescent="0.35">
      <c r="Y32" s="4"/>
    </row>
    <row r="34" spans="5:5" x14ac:dyDescent="0.35">
      <c r="E34" s="4"/>
    </row>
  </sheetData>
  <sortState xmlns:xlrd2="http://schemas.microsoft.com/office/spreadsheetml/2017/richdata2" ref="B4:Y28">
    <sortCondition ref="B4:B28"/>
  </sortState>
  <mergeCells count="10">
    <mergeCell ref="C2:D2"/>
    <mergeCell ref="G2:H2"/>
    <mergeCell ref="I2:J2"/>
    <mergeCell ref="K2:L2"/>
    <mergeCell ref="M2:N2"/>
    <mergeCell ref="Q2:R2"/>
    <mergeCell ref="S2:T2"/>
    <mergeCell ref="U2:V2"/>
    <mergeCell ref="O2:P2"/>
    <mergeCell ref="E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0D61-8294-4AE7-B058-4A5F822913CF}">
  <dimension ref="A1:P46"/>
  <sheetViews>
    <sheetView zoomScale="70" zoomScaleNormal="70" workbookViewId="0">
      <selection activeCell="L4" sqref="L4"/>
    </sheetView>
  </sheetViews>
  <sheetFormatPr defaultRowHeight="15.5" x14ac:dyDescent="0.35"/>
  <cols>
    <col min="1" max="1" width="8.81640625" bestFit="1" customWidth="1"/>
    <col min="2" max="2" width="39.54296875" customWidth="1"/>
    <col min="3" max="3" width="14.1796875" hidden="1" customWidth="1"/>
    <col min="4" max="4" width="13.54296875" hidden="1" customWidth="1"/>
    <col min="5" max="5" width="14.54296875" hidden="1" customWidth="1"/>
    <col min="6" max="6" width="20.81640625" bestFit="1" customWidth="1"/>
    <col min="7" max="7" width="10.26953125" hidden="1" customWidth="1"/>
    <col min="8" max="8" width="17.1796875" style="46" bestFit="1" customWidth="1"/>
    <col min="9" max="9" width="18.81640625" style="46" bestFit="1" customWidth="1"/>
    <col min="10" max="10" width="18.81640625" style="174" bestFit="1" customWidth="1"/>
    <col min="11" max="11" width="15.453125" bestFit="1" customWidth="1"/>
    <col min="12" max="12" width="17.26953125" bestFit="1" customWidth="1"/>
    <col min="13" max="13" width="24" bestFit="1" customWidth="1"/>
    <col min="14" max="15" width="17.26953125" bestFit="1" customWidth="1"/>
    <col min="16" max="16" width="12.54296875" bestFit="1" customWidth="1"/>
  </cols>
  <sheetData>
    <row r="1" spans="1:16" x14ac:dyDescent="0.35">
      <c r="A1" s="12"/>
      <c r="B1" s="169" t="s">
        <v>0</v>
      </c>
      <c r="C1" s="414"/>
      <c r="D1" s="414"/>
      <c r="H1" s="46">
        <f>34916.9337259358-8200</f>
        <v>26716.9337259358</v>
      </c>
      <c r="J1" s="174">
        <f>111201.71-1700</f>
        <v>109501.71</v>
      </c>
      <c r="K1" s="170">
        <f>22545-1200</f>
        <v>21345</v>
      </c>
      <c r="L1" s="171">
        <f>41125.2272078665-1700</f>
        <v>39425.227207866497</v>
      </c>
      <c r="M1" s="172">
        <f>24813.2726452535-1200</f>
        <v>23613.272645253499</v>
      </c>
      <c r="N1" s="173">
        <f>74495.0870519596-1200</f>
        <v>73295.087051959606</v>
      </c>
      <c r="O1" s="171">
        <f>35832.9524290763-1200</f>
        <v>34632.9524290763</v>
      </c>
    </row>
    <row r="2" spans="1:16" ht="78" x14ac:dyDescent="0.35">
      <c r="A2" s="175" t="s">
        <v>11</v>
      </c>
      <c r="B2" s="175" t="s">
        <v>12</v>
      </c>
      <c r="C2" s="175" t="s">
        <v>42</v>
      </c>
      <c r="D2" s="176" t="s">
        <v>14</v>
      </c>
      <c r="E2" s="175" t="s">
        <v>43</v>
      </c>
      <c r="F2" s="175" t="s">
        <v>44</v>
      </c>
      <c r="G2" s="175" t="s">
        <v>45</v>
      </c>
      <c r="H2" s="177" t="s">
        <v>46</v>
      </c>
      <c r="I2" s="178" t="s">
        <v>47</v>
      </c>
      <c r="J2" s="179" t="s">
        <v>35</v>
      </c>
      <c r="K2" s="180" t="s">
        <v>48</v>
      </c>
      <c r="L2" s="181" t="s">
        <v>21</v>
      </c>
      <c r="M2" s="182" t="s">
        <v>25</v>
      </c>
      <c r="N2" s="183" t="s">
        <v>36</v>
      </c>
      <c r="O2" s="181" t="s">
        <v>29</v>
      </c>
    </row>
    <row r="3" spans="1:16" ht="26" x14ac:dyDescent="0.7">
      <c r="A3" s="184">
        <v>1</v>
      </c>
      <c r="B3" s="185" t="s">
        <v>18</v>
      </c>
      <c r="C3" s="186">
        <f>Shareout!C85</f>
        <v>41458.426226456693</v>
      </c>
      <c r="D3" s="186">
        <f>'New Repayment Schedule'!DC6</f>
        <v>75216.482351629631</v>
      </c>
      <c r="E3" s="187">
        <f>C3-D3</f>
        <v>-33758.056125172938</v>
      </c>
      <c r="F3" s="188"/>
      <c r="G3" s="189"/>
      <c r="H3" s="190">
        <f>Excessinfracash2023*Shares!AA4</f>
        <v>1695.3311349945366</v>
      </c>
      <c r="I3" s="191">
        <f>F3+H3</f>
        <v>1695.3311349945366</v>
      </c>
      <c r="J3" s="192">
        <f>I3</f>
        <v>1695.3311349945366</v>
      </c>
      <c r="K3" s="193"/>
      <c r="L3" s="194"/>
      <c r="M3" s="195"/>
      <c r="N3" s="196"/>
      <c r="O3" s="194"/>
      <c r="P3" s="45">
        <f t="shared" ref="P3:P34" si="0">SUM(J3:O3)-I3</f>
        <v>0</v>
      </c>
    </row>
    <row r="4" spans="1:16" ht="26" x14ac:dyDescent="0.7">
      <c r="A4" s="184">
        <v>2</v>
      </c>
      <c r="B4" s="185" t="s">
        <v>19</v>
      </c>
      <c r="C4" s="186">
        <f>Shareout!K85</f>
        <v>8404.5446078971127</v>
      </c>
      <c r="D4" s="186">
        <f>'New Repayment Schedule'!DC8</f>
        <v>1141.2562191540105</v>
      </c>
      <c r="E4" s="186">
        <f t="shared" ref="E4:E36" si="1">C4-D4</f>
        <v>7263.2883887431017</v>
      </c>
      <c r="F4" s="189">
        <f>E4</f>
        <v>7263.2883887431017</v>
      </c>
      <c r="G4" s="188"/>
      <c r="H4" s="190">
        <f>Excessinfracash2023*Shares!AA6</f>
        <v>358.86571470687272</v>
      </c>
      <c r="I4" s="191">
        <f t="shared" ref="I4:I35" si="2">F4+H4</f>
        <v>7622.1541034499742</v>
      </c>
      <c r="J4" s="192"/>
      <c r="K4" s="193">
        <f>I4</f>
        <v>7622.1541034499742</v>
      </c>
      <c r="L4" s="194"/>
      <c r="M4" s="195"/>
      <c r="N4" s="196"/>
      <c r="O4" s="194"/>
      <c r="P4" s="45">
        <f t="shared" si="0"/>
        <v>0</v>
      </c>
    </row>
    <row r="5" spans="1:16" ht="26" x14ac:dyDescent="0.7">
      <c r="A5" s="184">
        <v>3</v>
      </c>
      <c r="B5" s="185" t="s">
        <v>20</v>
      </c>
      <c r="C5" s="186">
        <f>Shareout!O85</f>
        <v>8039.3017695551189</v>
      </c>
      <c r="D5" s="186">
        <f>'New Repayment Schedule'!DC9</f>
        <v>5351.8096756849309</v>
      </c>
      <c r="E5" s="187">
        <f t="shared" si="1"/>
        <v>2687.492093870188</v>
      </c>
      <c r="F5" s="188"/>
      <c r="G5" s="189"/>
      <c r="H5" s="190">
        <f>Excessinfracash2023*Shares!AA7</f>
        <v>383.61507434182943</v>
      </c>
      <c r="I5" s="191">
        <f t="shared" si="2"/>
        <v>383.61507434182943</v>
      </c>
      <c r="J5" s="192"/>
      <c r="K5" s="193"/>
      <c r="L5" s="194"/>
      <c r="M5" s="195"/>
      <c r="N5" s="196"/>
      <c r="O5" s="194">
        <f>I5</f>
        <v>383.61507434182943</v>
      </c>
      <c r="P5" s="45">
        <f t="shared" si="0"/>
        <v>0</v>
      </c>
    </row>
    <row r="6" spans="1:16" ht="26" x14ac:dyDescent="0.7">
      <c r="A6" s="184">
        <v>4</v>
      </c>
      <c r="B6" s="197" t="s">
        <v>49</v>
      </c>
      <c r="C6" s="186" t="e">
        <f>Shareout!#REF!</f>
        <v>#REF!</v>
      </c>
      <c r="D6" s="186">
        <f>'New Repayment Schedule'!DC10</f>
        <v>10566.476761135542</v>
      </c>
      <c r="E6" s="187" t="e">
        <f t="shared" si="1"/>
        <v>#REF!</v>
      </c>
      <c r="F6" s="188"/>
      <c r="G6" s="189"/>
      <c r="H6" s="190">
        <f>Excessinfracash2023*Shares!AA8</f>
        <v>643.48335050887522</v>
      </c>
      <c r="I6" s="191">
        <f t="shared" si="2"/>
        <v>643.48335050887522</v>
      </c>
      <c r="J6" s="192"/>
      <c r="K6" s="193"/>
      <c r="L6" s="194"/>
      <c r="M6" s="195"/>
      <c r="N6" s="196">
        <f>I6</f>
        <v>643.48335050887522</v>
      </c>
      <c r="O6" s="194"/>
      <c r="P6" s="45">
        <f t="shared" si="0"/>
        <v>0</v>
      </c>
    </row>
    <row r="7" spans="1:16" ht="26" hidden="1" x14ac:dyDescent="0.7">
      <c r="A7" s="184">
        <v>5</v>
      </c>
      <c r="B7" s="197" t="s">
        <v>50</v>
      </c>
      <c r="C7" s="186" t="e">
        <f>Shareout!#REF!</f>
        <v>#REF!</v>
      </c>
      <c r="D7" s="186">
        <f>'New Repayment Schedule'!DC11</f>
        <v>-4.1813013698630126</v>
      </c>
      <c r="E7" s="187" t="e">
        <f t="shared" si="1"/>
        <v>#REF!</v>
      </c>
      <c r="F7" s="188"/>
      <c r="G7" s="189" t="e">
        <f>E7*-1</f>
        <v>#REF!</v>
      </c>
      <c r="H7" s="190">
        <f>Excessinfracash2023*Shares!AA9</f>
        <v>136.12147799226207</v>
      </c>
      <c r="I7" s="191">
        <f t="shared" si="2"/>
        <v>136.12147799226207</v>
      </c>
      <c r="J7" s="192">
        <f>I7</f>
        <v>136.12147799226207</v>
      </c>
      <c r="K7" s="193"/>
      <c r="L7" s="194"/>
      <c r="M7" s="195"/>
      <c r="N7" s="196"/>
      <c r="O7" s="194"/>
      <c r="P7" s="45">
        <f t="shared" si="0"/>
        <v>0</v>
      </c>
    </row>
    <row r="8" spans="1:16" ht="26" x14ac:dyDescent="0.7">
      <c r="A8" s="184">
        <v>7</v>
      </c>
      <c r="B8" s="197" t="s">
        <v>51</v>
      </c>
      <c r="C8" s="186">
        <f>Shareout!S85</f>
        <v>16150.910550046683</v>
      </c>
      <c r="D8" s="186">
        <f>'New Repayment Schedule'!DC12</f>
        <v>12127.5</v>
      </c>
      <c r="E8" s="187">
        <f t="shared" si="1"/>
        <v>4023.4105500466831</v>
      </c>
      <c r="F8" s="188"/>
      <c r="G8" s="189"/>
      <c r="H8" s="190">
        <f>Excessinfracash2023*Shares!AA10</f>
        <v>829.10354777105078</v>
      </c>
      <c r="I8" s="191">
        <f t="shared" si="2"/>
        <v>829.10354777105078</v>
      </c>
      <c r="J8" s="192">
        <v>210.2171931246703</v>
      </c>
      <c r="K8" s="193">
        <v>219.87296375620645</v>
      </c>
      <c r="L8" s="194">
        <f>I8</f>
        <v>829.10354777105078</v>
      </c>
      <c r="M8" s="195">
        <v>215.65521486448051</v>
      </c>
      <c r="N8" s="196">
        <v>21.688566216165782</v>
      </c>
      <c r="O8" s="194">
        <v>117.26162797876896</v>
      </c>
      <c r="P8" s="45">
        <f t="shared" si="0"/>
        <v>784.69556594029189</v>
      </c>
    </row>
    <row r="9" spans="1:16" ht="26" x14ac:dyDescent="0.7">
      <c r="A9" s="184">
        <v>8</v>
      </c>
      <c r="B9" s="185" t="s">
        <v>52</v>
      </c>
      <c r="C9" s="186" t="e">
        <f>Shareout!#REF!</f>
        <v>#REF!</v>
      </c>
      <c r="D9" s="186">
        <f>'New Repayment Schedule'!DC13</f>
        <v>13494.111324081272</v>
      </c>
      <c r="E9" s="187" t="e">
        <f t="shared" si="1"/>
        <v>#REF!</v>
      </c>
      <c r="F9" s="188"/>
      <c r="G9" s="189"/>
      <c r="H9" s="190">
        <f>Excessinfracash2023*Shares!AA11</f>
        <v>457.86315324669965</v>
      </c>
      <c r="I9" s="191">
        <f t="shared" si="2"/>
        <v>457.86315324669965</v>
      </c>
      <c r="J9" s="192"/>
      <c r="K9" s="193"/>
      <c r="L9" s="194">
        <f>I9</f>
        <v>457.86315324669965</v>
      </c>
      <c r="M9" s="195"/>
      <c r="N9" s="196"/>
      <c r="O9" s="194"/>
      <c r="P9" s="45">
        <f t="shared" si="0"/>
        <v>0</v>
      </c>
    </row>
    <row r="10" spans="1:16" ht="26" x14ac:dyDescent="0.7">
      <c r="A10" s="184">
        <v>9</v>
      </c>
      <c r="B10" s="197" t="s">
        <v>53</v>
      </c>
      <c r="C10" s="186">
        <f>Shareout!X85</f>
        <v>3009.6863578207431</v>
      </c>
      <c r="D10" s="186">
        <f>'New Repayment Schedule'!DC14</f>
        <v>4847.7509397896547</v>
      </c>
      <c r="E10" s="186">
        <f t="shared" si="1"/>
        <v>-1838.0645819689116</v>
      </c>
      <c r="F10" s="189">
        <f>E10</f>
        <v>-1838.0645819689116</v>
      </c>
      <c r="G10" s="188"/>
      <c r="H10" s="190">
        <f>Excessinfracash2023*Shares!AA12</f>
        <v>321.74167525443761</v>
      </c>
      <c r="I10" s="191">
        <f t="shared" si="2"/>
        <v>-1516.3229067144739</v>
      </c>
      <c r="J10" s="192">
        <f>I10</f>
        <v>-1516.3229067144739</v>
      </c>
      <c r="K10" s="193"/>
      <c r="L10" s="194"/>
      <c r="M10" s="195"/>
      <c r="N10" s="196"/>
      <c r="O10" s="194"/>
      <c r="P10" s="45">
        <f t="shared" si="0"/>
        <v>0</v>
      </c>
    </row>
    <row r="11" spans="1:16" ht="26" x14ac:dyDescent="0.7">
      <c r="A11" s="184">
        <v>10</v>
      </c>
      <c r="B11" s="197" t="s">
        <v>23</v>
      </c>
      <c r="C11" s="186">
        <f>Shareout!AB85</f>
        <v>16456.086357820743</v>
      </c>
      <c r="D11" s="186">
        <f>'New Repayment Schedule'!DC15</f>
        <v>10586.080610460773</v>
      </c>
      <c r="E11" s="186">
        <f t="shared" si="1"/>
        <v>5870.00574735997</v>
      </c>
      <c r="F11" s="189">
        <f>E11</f>
        <v>5870.00574735997</v>
      </c>
      <c r="G11" s="188"/>
      <c r="H11" s="190">
        <f>Excessinfracash2023*Shares!AA13</f>
        <v>408.36443397678619</v>
      </c>
      <c r="I11" s="191">
        <f t="shared" si="2"/>
        <v>6278.3701813367561</v>
      </c>
      <c r="J11" s="192"/>
      <c r="K11" s="193">
        <f>I11</f>
        <v>6278.3701813367561</v>
      </c>
      <c r="L11" s="194"/>
      <c r="M11" s="195"/>
      <c r="N11" s="196"/>
      <c r="O11" s="194"/>
      <c r="P11" s="45">
        <f t="shared" si="0"/>
        <v>0</v>
      </c>
    </row>
    <row r="12" spans="1:16" ht="26" x14ac:dyDescent="0.7">
      <c r="A12" s="184">
        <v>11</v>
      </c>
      <c r="B12" s="197" t="s">
        <v>24</v>
      </c>
      <c r="C12" s="186">
        <f>Shareout!AF85</f>
        <v>10322.875587578987</v>
      </c>
      <c r="D12" s="186">
        <f>'New Repayment Schedule'!DC16</f>
        <v>83718.175243260222</v>
      </c>
      <c r="E12" s="187">
        <f t="shared" si="1"/>
        <v>-73395.299655681243</v>
      </c>
      <c r="F12" s="188"/>
      <c r="G12" s="189"/>
      <c r="H12" s="190">
        <f>Excessinfracash2023*Shares!AA14</f>
        <v>1967.5740909790607</v>
      </c>
      <c r="I12" s="191">
        <f t="shared" si="2"/>
        <v>1967.5740909790607</v>
      </c>
      <c r="J12" s="192">
        <f>I12</f>
        <v>1967.5740909790607</v>
      </c>
      <c r="K12" s="193"/>
      <c r="L12" s="194"/>
      <c r="M12" s="195"/>
      <c r="N12" s="196"/>
      <c r="O12" s="194"/>
      <c r="P12" s="45">
        <f t="shared" si="0"/>
        <v>0</v>
      </c>
    </row>
    <row r="13" spans="1:16" ht="26" x14ac:dyDescent="0.7">
      <c r="A13" s="184">
        <v>12</v>
      </c>
      <c r="B13" s="185" t="s">
        <v>25</v>
      </c>
      <c r="C13" s="186">
        <f>Shareout!AJ85</f>
        <v>7244.3429628818367</v>
      </c>
      <c r="D13" s="186">
        <f>'New Repayment Schedule'!DC17</f>
        <v>-416.72232592893801</v>
      </c>
      <c r="E13" s="198">
        <f t="shared" si="1"/>
        <v>7661.0652888107743</v>
      </c>
      <c r="F13" s="189">
        <f>E13</f>
        <v>7661.0652888107743</v>
      </c>
      <c r="G13" s="189"/>
      <c r="H13" s="190">
        <f>Excessinfracash2023*Shares!AA15</f>
        <v>197.99487707965392</v>
      </c>
      <c r="I13" s="191">
        <f t="shared" si="2"/>
        <v>7859.0601658904279</v>
      </c>
      <c r="J13" s="192"/>
      <c r="K13" s="193"/>
      <c r="L13" s="194"/>
      <c r="M13" s="195">
        <f>I13</f>
        <v>7859.0601658904279</v>
      </c>
      <c r="N13" s="196"/>
      <c r="O13" s="194"/>
      <c r="P13" s="45">
        <f t="shared" si="0"/>
        <v>0</v>
      </c>
    </row>
    <row r="14" spans="1:16" ht="26" hidden="1" x14ac:dyDescent="0.7">
      <c r="A14" s="184">
        <v>13</v>
      </c>
      <c r="B14" s="185" t="s">
        <v>54</v>
      </c>
      <c r="C14" s="186" t="e">
        <f>Shareout!#REF!</f>
        <v>#REF!</v>
      </c>
      <c r="D14" s="186">
        <f>'New Repayment Schedule'!DC18</f>
        <v>11425.695597496884</v>
      </c>
      <c r="E14" s="187" t="e">
        <f t="shared" si="1"/>
        <v>#REF!</v>
      </c>
      <c r="F14" s="188"/>
      <c r="G14" s="189" t="e">
        <f>E14*-1</f>
        <v>#REF!</v>
      </c>
      <c r="H14" s="190">
        <f>Excessinfracash2023*Shares!AA16</f>
        <v>470.23783306417806</v>
      </c>
      <c r="I14" s="191">
        <f t="shared" si="2"/>
        <v>470.23783306417806</v>
      </c>
      <c r="J14" s="192"/>
      <c r="K14" s="193"/>
      <c r="L14" s="194"/>
      <c r="M14" s="195"/>
      <c r="N14" s="196">
        <f>I14</f>
        <v>470.23783306417806</v>
      </c>
      <c r="O14" s="194"/>
      <c r="P14" s="45">
        <f t="shared" si="0"/>
        <v>0</v>
      </c>
    </row>
    <row r="15" spans="1:16" ht="26" x14ac:dyDescent="0.7">
      <c r="A15" s="184">
        <v>14</v>
      </c>
      <c r="B15" s="197" t="s">
        <v>55</v>
      </c>
      <c r="C15" s="186" t="e">
        <f>Shareout!#REF!</f>
        <v>#REF!</v>
      </c>
      <c r="D15" s="186">
        <f>'New Repayment Schedule'!DC19</f>
        <v>-121.5541849315068</v>
      </c>
      <c r="E15" s="186" t="e">
        <f t="shared" si="1"/>
        <v>#REF!</v>
      </c>
      <c r="F15" s="189" t="e">
        <f>E15</f>
        <v>#REF!</v>
      </c>
      <c r="G15" s="188"/>
      <c r="H15" s="190">
        <f>Excessinfracash2023*Shares!AA17</f>
        <v>3019.4218754647222</v>
      </c>
      <c r="I15" s="191" t="e">
        <f t="shared" si="2"/>
        <v>#REF!</v>
      </c>
      <c r="J15" s="192"/>
      <c r="K15" s="193"/>
      <c r="L15" s="194"/>
      <c r="M15" s="195"/>
      <c r="N15" s="196" t="e">
        <f>I15</f>
        <v>#REF!</v>
      </c>
      <c r="O15" s="194"/>
      <c r="P15" s="45" t="e">
        <f t="shared" si="0"/>
        <v>#REF!</v>
      </c>
    </row>
    <row r="16" spans="1:16" ht="26" x14ac:dyDescent="0.7">
      <c r="A16" s="184">
        <v>15</v>
      </c>
      <c r="B16" s="197" t="s">
        <v>26</v>
      </c>
      <c r="C16" s="186">
        <f>Shareout!AN85</f>
        <v>9548.0202993832409</v>
      </c>
      <c r="D16" s="186">
        <f>'New Repayment Schedule'!DC21</f>
        <v>1003.2705635702055</v>
      </c>
      <c r="E16" s="186">
        <f t="shared" si="1"/>
        <v>8544.7497358130349</v>
      </c>
      <c r="F16" s="189">
        <f>E16</f>
        <v>8544.7497358130349</v>
      </c>
      <c r="G16" s="188"/>
      <c r="H16" s="190">
        <f>Excessinfracash2023*Shares!AA19</f>
        <v>1559.2096570022745</v>
      </c>
      <c r="I16" s="191">
        <f t="shared" si="2"/>
        <v>10103.95939281531</v>
      </c>
      <c r="J16" s="192"/>
      <c r="K16" s="193"/>
      <c r="L16" s="194"/>
      <c r="M16" s="195"/>
      <c r="N16" s="196"/>
      <c r="O16" s="194">
        <f>I16</f>
        <v>10103.95939281531</v>
      </c>
      <c r="P16" s="45">
        <f t="shared" si="0"/>
        <v>0</v>
      </c>
    </row>
    <row r="17" spans="1:16" ht="26" x14ac:dyDescent="0.7">
      <c r="A17" s="184">
        <v>16</v>
      </c>
      <c r="B17" s="197" t="s">
        <v>28</v>
      </c>
      <c r="C17" s="186">
        <f>Shareout!AR85</f>
        <v>4258.7265554543374</v>
      </c>
      <c r="D17" s="186">
        <f>'New Repayment Schedule'!DC22</f>
        <v>-3.0205479455375439E-4</v>
      </c>
      <c r="E17" s="186">
        <f t="shared" si="1"/>
        <v>4258.7268575091321</v>
      </c>
      <c r="F17" s="189">
        <f>E17</f>
        <v>4258.7268575091321</v>
      </c>
      <c r="G17" s="188"/>
      <c r="H17" s="190">
        <f>Excessinfracash2023*Shares!AA20</f>
        <v>1559.2096570022745</v>
      </c>
      <c r="I17" s="191">
        <f t="shared" si="2"/>
        <v>5817.9365145114061</v>
      </c>
      <c r="J17" s="192"/>
      <c r="K17" s="193"/>
      <c r="L17" s="194"/>
      <c r="M17" s="195"/>
      <c r="N17" s="196">
        <f>I17</f>
        <v>5817.9365145114061</v>
      </c>
      <c r="O17" s="194"/>
      <c r="P17" s="45">
        <f t="shared" si="0"/>
        <v>0</v>
      </c>
    </row>
    <row r="18" spans="1:16" ht="26" x14ac:dyDescent="0.7">
      <c r="A18" s="184">
        <v>17</v>
      </c>
      <c r="B18" s="197" t="s">
        <v>27</v>
      </c>
      <c r="C18" s="186">
        <f>Shareout!AV85</f>
        <v>42633.685195320744</v>
      </c>
      <c r="D18" s="186">
        <f>'New Repayment Schedule'!DC23</f>
        <v>6491.2086094137176</v>
      </c>
      <c r="E18" s="187">
        <f t="shared" si="1"/>
        <v>36142.476585907025</v>
      </c>
      <c r="F18" s="188"/>
      <c r="G18" s="189"/>
      <c r="H18" s="190">
        <f>Excessinfracash2023*Shares!AA21</f>
        <v>1670.58177535958</v>
      </c>
      <c r="I18" s="191">
        <f t="shared" si="2"/>
        <v>1670.58177535958</v>
      </c>
      <c r="J18" s="192"/>
      <c r="K18" s="193"/>
      <c r="L18" s="194"/>
      <c r="M18" s="195"/>
      <c r="N18" s="196">
        <f>I18</f>
        <v>1670.58177535958</v>
      </c>
      <c r="O18" s="194"/>
      <c r="P18" s="45">
        <f t="shared" si="0"/>
        <v>0</v>
      </c>
    </row>
    <row r="19" spans="1:16" ht="26" x14ac:dyDescent="0.7">
      <c r="A19" s="184">
        <v>18</v>
      </c>
      <c r="B19" s="185" t="s">
        <v>29</v>
      </c>
      <c r="C19" s="186">
        <f>Shareout!AZ85</f>
        <v>11976.859338187309</v>
      </c>
      <c r="D19" s="186">
        <f>'New Repayment Schedule'!DC25</f>
        <v>2044.6104369139427</v>
      </c>
      <c r="E19" s="187">
        <f t="shared" si="1"/>
        <v>9932.2489012733658</v>
      </c>
      <c r="F19" s="188"/>
      <c r="G19" s="189"/>
      <c r="H19" s="190">
        <f>Excessinfracash2023*Shares!AA23</f>
        <v>1546.8349771847961</v>
      </c>
      <c r="I19" s="191">
        <f t="shared" si="2"/>
        <v>1546.8349771847961</v>
      </c>
      <c r="J19" s="192"/>
      <c r="K19" s="193"/>
      <c r="L19" s="194"/>
      <c r="M19" s="195"/>
      <c r="N19" s="196"/>
      <c r="O19" s="194">
        <f>I19</f>
        <v>1546.8349771847961</v>
      </c>
      <c r="P19" s="45">
        <f t="shared" si="0"/>
        <v>0</v>
      </c>
    </row>
    <row r="20" spans="1:16" ht="26" x14ac:dyDescent="0.7">
      <c r="A20" s="184">
        <v>19</v>
      </c>
      <c r="B20" s="185" t="s">
        <v>30</v>
      </c>
      <c r="C20" s="186">
        <f>Shareout!BD85</f>
        <v>69300.957539268566</v>
      </c>
      <c r="D20" s="186">
        <f>'New Repayment Schedule'!DC26</f>
        <v>19210.884011449532</v>
      </c>
      <c r="E20" s="186">
        <f t="shared" si="1"/>
        <v>50090.073527819033</v>
      </c>
      <c r="F20" s="189">
        <f>E20</f>
        <v>50090.073527819033</v>
      </c>
      <c r="G20" s="188"/>
      <c r="H20" s="190">
        <f>Excessinfracash2023*Shares!AA24</f>
        <v>878.60226704096419</v>
      </c>
      <c r="I20" s="191">
        <f t="shared" si="2"/>
        <v>50968.675794859999</v>
      </c>
      <c r="J20" s="192"/>
      <c r="K20" s="193"/>
      <c r="L20" s="194"/>
      <c r="M20" s="195"/>
      <c r="N20" s="196"/>
      <c r="O20" s="194">
        <f>I20</f>
        <v>50968.675794859999</v>
      </c>
      <c r="P20" s="45">
        <f t="shared" si="0"/>
        <v>0</v>
      </c>
    </row>
    <row r="21" spans="1:16" ht="26" x14ac:dyDescent="0.7">
      <c r="A21" s="184">
        <v>20</v>
      </c>
      <c r="B21" s="197" t="s">
        <v>56</v>
      </c>
      <c r="C21" s="186" t="e">
        <f>Shareout!#REF!</f>
        <v>#REF!</v>
      </c>
      <c r="D21" s="186">
        <f>'New Repayment Schedule'!DC27</f>
        <v>29574.557214041095</v>
      </c>
      <c r="E21" s="187" t="e">
        <f t="shared" si="1"/>
        <v>#REF!</v>
      </c>
      <c r="F21" s="188"/>
      <c r="G21" s="189"/>
      <c r="H21" s="190">
        <f>Excessinfracash2023*Shares!AA25</f>
        <v>1992.3234506140175</v>
      </c>
      <c r="I21" s="191">
        <f t="shared" si="2"/>
        <v>1992.3234506140175</v>
      </c>
      <c r="J21" s="192"/>
      <c r="K21" s="193"/>
      <c r="L21" s="194"/>
      <c r="M21" s="195"/>
      <c r="N21" s="196"/>
      <c r="O21" s="194">
        <f>I21</f>
        <v>1992.3234506140175</v>
      </c>
      <c r="P21" s="45">
        <f t="shared" si="0"/>
        <v>0</v>
      </c>
    </row>
    <row r="22" spans="1:16" ht="26" x14ac:dyDescent="0.7">
      <c r="A22" s="184">
        <v>21</v>
      </c>
      <c r="B22" s="185" t="s">
        <v>31</v>
      </c>
      <c r="C22" s="186">
        <f>Shareout!BH85</f>
        <v>5100.8299477106657</v>
      </c>
      <c r="D22" s="186">
        <f>'New Repayment Schedule'!DC28</f>
        <v>16577.724892995608</v>
      </c>
      <c r="E22" s="186">
        <f t="shared" si="1"/>
        <v>-11476.894945284941</v>
      </c>
      <c r="F22" s="189">
        <f>E22</f>
        <v>-11476.894945284941</v>
      </c>
      <c r="G22" s="188"/>
      <c r="H22" s="190">
        <f>Excessinfracash2023*Shares!AA26</f>
        <v>680.60738996131033</v>
      </c>
      <c r="I22" s="191">
        <f t="shared" si="2"/>
        <v>-10796.28755532363</v>
      </c>
      <c r="J22" s="192"/>
      <c r="K22" s="193"/>
      <c r="L22" s="194"/>
      <c r="M22" s="195"/>
      <c r="N22" s="196">
        <f>I22</f>
        <v>-10796.28755532363</v>
      </c>
      <c r="O22" s="194"/>
      <c r="P22" s="45">
        <f t="shared" si="0"/>
        <v>0</v>
      </c>
    </row>
    <row r="23" spans="1:16" ht="26" x14ac:dyDescent="0.7">
      <c r="A23" s="184">
        <v>22</v>
      </c>
      <c r="B23" s="185" t="s">
        <v>57</v>
      </c>
      <c r="C23" s="186" t="e">
        <f>Shareout!#REF!</f>
        <v>#REF!</v>
      </c>
      <c r="D23" s="186">
        <f>'New Repayment Schedule'!DC29</f>
        <v>0</v>
      </c>
      <c r="E23" s="186" t="e">
        <f t="shared" si="1"/>
        <v>#REF!</v>
      </c>
      <c r="F23" s="189" t="e">
        <f>E23</f>
        <v>#REF!</v>
      </c>
      <c r="G23" s="188"/>
      <c r="H23" s="190">
        <f>Excessinfracash2023*Shares!AA27</f>
        <v>581.6099514214834</v>
      </c>
      <c r="I23" s="191" t="e">
        <f t="shared" si="2"/>
        <v>#REF!</v>
      </c>
      <c r="J23" s="192" t="e">
        <f>I23</f>
        <v>#REF!</v>
      </c>
      <c r="K23" s="193"/>
      <c r="L23" s="194"/>
      <c r="M23" s="195"/>
      <c r="N23" s="196"/>
      <c r="O23" s="194"/>
      <c r="P23" s="45" t="e">
        <f t="shared" si="0"/>
        <v>#REF!</v>
      </c>
    </row>
    <row r="24" spans="1:16" ht="26" x14ac:dyDescent="0.7">
      <c r="A24" s="184">
        <v>23</v>
      </c>
      <c r="B24" s="185" t="s">
        <v>32</v>
      </c>
      <c r="C24" s="186">
        <f>Shareout!BL85</f>
        <v>35608.031025279888</v>
      </c>
      <c r="D24" s="186" t="e">
        <f>'New Repayment Schedule'!#REF!</f>
        <v>#REF!</v>
      </c>
      <c r="E24" s="186" t="e">
        <f t="shared" si="1"/>
        <v>#REF!</v>
      </c>
      <c r="F24" s="189" t="e">
        <f>E24</f>
        <v>#REF!</v>
      </c>
      <c r="G24" s="188"/>
      <c r="H24" s="190" t="e">
        <f>Excessinfracash2023*Shares!#REF!</f>
        <v>#REF!</v>
      </c>
      <c r="I24" s="191" t="e">
        <f t="shared" si="2"/>
        <v>#REF!</v>
      </c>
      <c r="J24" s="192"/>
      <c r="K24" s="193"/>
      <c r="L24" s="194"/>
      <c r="M24" s="195"/>
      <c r="N24" s="196" t="e">
        <f>I24</f>
        <v>#REF!</v>
      </c>
      <c r="O24" s="194"/>
      <c r="P24" s="45" t="e">
        <f t="shared" si="0"/>
        <v>#REF!</v>
      </c>
    </row>
    <row r="25" spans="1:16" ht="26" x14ac:dyDescent="0.7">
      <c r="A25" s="184">
        <v>24</v>
      </c>
      <c r="B25" s="197" t="s">
        <v>33</v>
      </c>
      <c r="C25" s="186">
        <f>Shareout!BP85</f>
        <v>35718.612540275593</v>
      </c>
      <c r="D25" s="186">
        <f>'New Repayment Schedule'!DC30</f>
        <v>0</v>
      </c>
      <c r="E25" s="186">
        <f t="shared" si="1"/>
        <v>35718.612540275593</v>
      </c>
      <c r="F25" s="189">
        <f>E25</f>
        <v>35718.612540275593</v>
      </c>
      <c r="G25" s="188"/>
      <c r="H25" s="190">
        <f>Excessinfracash2023*Shares!AA28</f>
        <v>12.37467981747837</v>
      </c>
      <c r="I25" s="191">
        <f t="shared" si="2"/>
        <v>35730.987220093069</v>
      </c>
      <c r="J25" s="192"/>
      <c r="K25" s="193"/>
      <c r="L25" s="194"/>
      <c r="M25" s="195"/>
      <c r="N25" s="196"/>
      <c r="O25" s="194">
        <f>I25</f>
        <v>35730.987220093069</v>
      </c>
      <c r="P25" s="45">
        <f t="shared" si="0"/>
        <v>0</v>
      </c>
    </row>
    <row r="26" spans="1:16" ht="26" x14ac:dyDescent="0.7">
      <c r="A26" s="184">
        <v>25</v>
      </c>
      <c r="B26" s="197" t="s">
        <v>48</v>
      </c>
      <c r="C26" s="186" t="e">
        <f>Shareout!#REF!</f>
        <v>#REF!</v>
      </c>
      <c r="D26" s="186" t="e">
        <f>'New Repayment Schedule'!#REF!</f>
        <v>#REF!</v>
      </c>
      <c r="E26" s="186" t="e">
        <f t="shared" si="1"/>
        <v>#REF!</v>
      </c>
      <c r="F26" s="189" t="e">
        <f>E26</f>
        <v>#REF!</v>
      </c>
      <c r="G26" s="188"/>
      <c r="H26" s="190" t="e">
        <f>Excessinfracash2023*Shares!#REF!</f>
        <v>#REF!</v>
      </c>
      <c r="I26" s="191" t="e">
        <f t="shared" si="2"/>
        <v>#REF!</v>
      </c>
      <c r="J26" s="192"/>
      <c r="K26" s="193" t="e">
        <f>I26</f>
        <v>#REF!</v>
      </c>
      <c r="L26" s="194"/>
      <c r="M26" s="195"/>
      <c r="N26" s="196"/>
      <c r="O26" s="194"/>
      <c r="P26" s="45" t="e">
        <f t="shared" si="0"/>
        <v>#REF!</v>
      </c>
    </row>
    <row r="27" spans="1:16" ht="26" hidden="1" x14ac:dyDescent="0.7">
      <c r="A27" s="184">
        <v>26</v>
      </c>
      <c r="B27" s="197" t="s">
        <v>58</v>
      </c>
      <c r="C27" s="186" t="e">
        <f>Shareout!#REF!</f>
        <v>#REF!</v>
      </c>
      <c r="D27" s="186" t="e">
        <f>'New Repayment Schedule'!#REF!</f>
        <v>#REF!</v>
      </c>
      <c r="E27" s="187" t="e">
        <f t="shared" si="1"/>
        <v>#REF!</v>
      </c>
      <c r="F27" s="188"/>
      <c r="G27" s="189" t="e">
        <f>E27*-1</f>
        <v>#REF!</v>
      </c>
      <c r="H27" s="190" t="e">
        <f>Excessinfracash2023*Shares!#REF!</f>
        <v>#REF!</v>
      </c>
      <c r="I27" s="191" t="e">
        <f t="shared" si="2"/>
        <v>#REF!</v>
      </c>
      <c r="J27" s="192" t="e">
        <f>I27</f>
        <v>#REF!</v>
      </c>
      <c r="K27" s="193"/>
      <c r="L27" s="194"/>
      <c r="M27" s="195"/>
      <c r="N27" s="196"/>
      <c r="O27" s="194"/>
      <c r="P27" s="45" t="e">
        <f t="shared" si="0"/>
        <v>#REF!</v>
      </c>
    </row>
    <row r="28" spans="1:16" ht="26" hidden="1" x14ac:dyDescent="0.7">
      <c r="A28" s="184">
        <v>27</v>
      </c>
      <c r="B28" s="197" t="s">
        <v>35</v>
      </c>
      <c r="C28" s="186">
        <f>Shareout!CB85</f>
        <v>39135.115546669149</v>
      </c>
      <c r="D28" s="186" t="e">
        <f>'New Repayment Schedule'!#REF!</f>
        <v>#REF!</v>
      </c>
      <c r="E28" s="186" t="e">
        <f t="shared" si="1"/>
        <v>#REF!</v>
      </c>
      <c r="F28" s="189" t="e">
        <f>E28</f>
        <v>#REF!</v>
      </c>
      <c r="G28" s="188"/>
      <c r="H28" s="190" t="e">
        <f>Excessinfracash2023*Shares!#REF!</f>
        <v>#REF!</v>
      </c>
      <c r="I28" s="191" t="e">
        <f t="shared" si="2"/>
        <v>#REF!</v>
      </c>
      <c r="J28" s="192" t="e">
        <f>I28</f>
        <v>#REF!</v>
      </c>
      <c r="K28" s="193"/>
      <c r="L28" s="194"/>
      <c r="M28" s="195"/>
      <c r="N28" s="196"/>
      <c r="O28" s="194"/>
      <c r="P28" s="45" t="e">
        <f t="shared" si="0"/>
        <v>#REF!</v>
      </c>
    </row>
    <row r="29" spans="1:16" ht="26" x14ac:dyDescent="0.7">
      <c r="A29" s="184">
        <v>28</v>
      </c>
      <c r="B29" s="197" t="s">
        <v>36</v>
      </c>
      <c r="C29" s="186">
        <f>Shareout!CF85</f>
        <v>20082.570764042619</v>
      </c>
      <c r="D29" s="186" t="e">
        <f>'New Repayment Schedule'!#REF!</f>
        <v>#REF!</v>
      </c>
      <c r="E29" s="198" t="e">
        <f t="shared" si="1"/>
        <v>#REF!</v>
      </c>
      <c r="F29" s="189" t="e">
        <f>E29</f>
        <v>#REF!</v>
      </c>
      <c r="G29" s="189"/>
      <c r="H29" s="190" t="e">
        <f>Excessinfracash2023*Shares!#REF!</f>
        <v>#REF!</v>
      </c>
      <c r="I29" s="191" t="e">
        <f t="shared" si="2"/>
        <v>#REF!</v>
      </c>
      <c r="J29" s="192"/>
      <c r="K29" s="193"/>
      <c r="L29" s="194"/>
      <c r="M29" s="195"/>
      <c r="N29" s="196" t="e">
        <f>I29</f>
        <v>#REF!</v>
      </c>
      <c r="O29" s="194"/>
      <c r="P29" s="45" t="e">
        <f t="shared" si="0"/>
        <v>#REF!</v>
      </c>
    </row>
    <row r="30" spans="1:16" ht="26" x14ac:dyDescent="0.7">
      <c r="A30" s="184">
        <v>29</v>
      </c>
      <c r="B30" s="197" t="s">
        <v>59</v>
      </c>
      <c r="C30" s="186" t="e">
        <f>Shareout!#REF!</f>
        <v>#REF!</v>
      </c>
      <c r="D30" s="186" t="e">
        <f>'New Repayment Schedule'!#REF!</f>
        <v>#REF!</v>
      </c>
      <c r="E30" s="187" t="e">
        <f t="shared" si="1"/>
        <v>#REF!</v>
      </c>
      <c r="F30" s="189"/>
      <c r="G30" s="189"/>
      <c r="H30" s="190" t="e">
        <f>Excessinfracash2023*Shares!#REF!</f>
        <v>#REF!</v>
      </c>
      <c r="I30" s="191" t="e">
        <f t="shared" si="2"/>
        <v>#REF!</v>
      </c>
      <c r="J30" s="192"/>
      <c r="K30" s="193"/>
      <c r="L30" s="194" t="e">
        <f>I30</f>
        <v>#REF!</v>
      </c>
      <c r="M30" s="195"/>
      <c r="N30" s="196"/>
      <c r="O30" s="194"/>
      <c r="P30" s="45" t="e">
        <f t="shared" si="0"/>
        <v>#REF!</v>
      </c>
    </row>
    <row r="31" spans="1:16" ht="26" x14ac:dyDescent="0.7">
      <c r="A31" s="184">
        <v>30</v>
      </c>
      <c r="B31" s="197" t="s">
        <v>37</v>
      </c>
      <c r="C31" s="186">
        <f>Shareout!CJ85</f>
        <v>48288.144526670905</v>
      </c>
      <c r="D31" s="186" t="e">
        <f>'New Repayment Schedule'!#REF!</f>
        <v>#REF!</v>
      </c>
      <c r="E31" s="186" t="e">
        <f t="shared" si="1"/>
        <v>#REF!</v>
      </c>
      <c r="F31" s="189" t="e">
        <f t="shared" ref="F31:F36" si="3">E31</f>
        <v>#REF!</v>
      </c>
      <c r="G31" s="188"/>
      <c r="H31" s="190" t="e">
        <f>Excessinfracash2023*Shares!#REF!</f>
        <v>#REF!</v>
      </c>
      <c r="I31" s="191" t="e">
        <f t="shared" si="2"/>
        <v>#REF!</v>
      </c>
      <c r="J31" s="192"/>
      <c r="K31" s="193"/>
      <c r="L31" s="194"/>
      <c r="M31" s="195"/>
      <c r="N31" s="196" t="e">
        <f>I31</f>
        <v>#REF!</v>
      </c>
      <c r="O31" s="194"/>
      <c r="P31" s="45" t="e">
        <f t="shared" si="0"/>
        <v>#REF!</v>
      </c>
    </row>
    <row r="32" spans="1:16" ht="26" x14ac:dyDescent="0.7">
      <c r="A32" s="184">
        <v>31</v>
      </c>
      <c r="B32" s="197" t="s">
        <v>38</v>
      </c>
      <c r="C32" s="186">
        <f>Shareout!CN85</f>
        <v>17250.525644096684</v>
      </c>
      <c r="D32" s="186" t="e">
        <f>'New Repayment Schedule'!#REF!</f>
        <v>#REF!</v>
      </c>
      <c r="E32" s="186" t="e">
        <f t="shared" si="1"/>
        <v>#REF!</v>
      </c>
      <c r="F32" s="189" t="e">
        <f t="shared" si="3"/>
        <v>#REF!</v>
      </c>
      <c r="G32" s="188"/>
      <c r="H32" s="190" t="e">
        <f>Excessinfracash2023*Shares!#REF!</f>
        <v>#REF!</v>
      </c>
      <c r="I32" s="191" t="e">
        <f t="shared" si="2"/>
        <v>#REF!</v>
      </c>
      <c r="J32" s="192"/>
      <c r="K32" s="193"/>
      <c r="L32" s="194"/>
      <c r="M32" s="195"/>
      <c r="N32" s="196" t="e">
        <f>I32</f>
        <v>#REF!</v>
      </c>
      <c r="O32" s="194"/>
      <c r="P32" s="45" t="e">
        <f t="shared" si="0"/>
        <v>#REF!</v>
      </c>
    </row>
    <row r="33" spans="1:16" ht="26" x14ac:dyDescent="0.7">
      <c r="A33" s="184">
        <v>32</v>
      </c>
      <c r="B33" s="197" t="s">
        <v>39</v>
      </c>
      <c r="C33" s="186">
        <f>Shareout!CR85</f>
        <v>14514.644727433986</v>
      </c>
      <c r="D33" s="186" t="e">
        <f>'New Repayment Schedule'!#REF!</f>
        <v>#REF!</v>
      </c>
      <c r="E33" s="186" t="e">
        <f t="shared" si="1"/>
        <v>#REF!</v>
      </c>
      <c r="F33" s="189" t="e">
        <f t="shared" si="3"/>
        <v>#REF!</v>
      </c>
      <c r="G33" s="188"/>
      <c r="H33" s="190" t="e">
        <f>Excessinfracash2023*Shares!#REF!</f>
        <v>#REF!</v>
      </c>
      <c r="I33" s="191" t="e">
        <f t="shared" si="2"/>
        <v>#REF!</v>
      </c>
      <c r="J33" s="192"/>
      <c r="K33" s="193"/>
      <c r="L33" s="194"/>
      <c r="M33" s="195" t="e">
        <f>I33</f>
        <v>#REF!</v>
      </c>
      <c r="N33" s="196"/>
      <c r="O33" s="194"/>
      <c r="P33" s="45" t="e">
        <f t="shared" si="0"/>
        <v>#REF!</v>
      </c>
    </row>
    <row r="34" spans="1:16" ht="26" x14ac:dyDescent="0.7">
      <c r="A34" s="184">
        <v>33</v>
      </c>
      <c r="B34" s="197" t="s">
        <v>40</v>
      </c>
      <c r="C34" s="186">
        <f>Shareout!CV85</f>
        <v>341.29220751527367</v>
      </c>
      <c r="D34" s="186" t="e">
        <f>'New Repayment Schedule'!#REF!</f>
        <v>#REF!</v>
      </c>
      <c r="E34" s="186" t="e">
        <f t="shared" si="1"/>
        <v>#REF!</v>
      </c>
      <c r="F34" s="189" t="e">
        <f t="shared" si="3"/>
        <v>#REF!</v>
      </c>
      <c r="G34" s="188"/>
      <c r="H34" s="190" t="e">
        <f>Excessinfracash2023*Shares!#REF!</f>
        <v>#REF!</v>
      </c>
      <c r="I34" s="191" t="e">
        <f t="shared" si="2"/>
        <v>#REF!</v>
      </c>
      <c r="J34" s="192"/>
      <c r="K34" s="193"/>
      <c r="L34" s="194"/>
      <c r="M34" s="195" t="e">
        <f>I34</f>
        <v>#REF!</v>
      </c>
      <c r="N34" s="196"/>
      <c r="O34" s="194"/>
      <c r="P34" s="45" t="e">
        <f t="shared" si="0"/>
        <v>#REF!</v>
      </c>
    </row>
    <row r="35" spans="1:16" ht="26.5" thickBot="1" x14ac:dyDescent="0.75">
      <c r="A35" s="184">
        <v>34</v>
      </c>
      <c r="B35" s="197" t="s">
        <v>60</v>
      </c>
      <c r="C35" s="186" t="e">
        <f>Shareout!#REF!</f>
        <v>#REF!</v>
      </c>
      <c r="D35" s="186" t="e">
        <f>'New Repayment Schedule'!#REF!</f>
        <v>#REF!</v>
      </c>
      <c r="E35" s="186" t="e">
        <f t="shared" si="1"/>
        <v>#REF!</v>
      </c>
      <c r="F35" s="189" t="e">
        <f t="shared" si="3"/>
        <v>#REF!</v>
      </c>
      <c r="G35" s="188"/>
      <c r="H35" s="190" t="e">
        <f>Excessinfracash2023*Shares!#REF!</f>
        <v>#REF!</v>
      </c>
      <c r="I35" s="191" t="e">
        <f t="shared" si="2"/>
        <v>#REF!</v>
      </c>
      <c r="J35" s="192">
        <v>6646.36</v>
      </c>
      <c r="K35" s="193"/>
      <c r="L35" s="194">
        <v>38000</v>
      </c>
      <c r="M35" s="195"/>
      <c r="N35" s="196"/>
      <c r="O35" s="194"/>
      <c r="P35" s="45" t="e">
        <f>SUM(J35:O35)-I35</f>
        <v>#REF!</v>
      </c>
    </row>
    <row r="36" spans="1:16" ht="30" hidden="1" customHeight="1" x14ac:dyDescent="0.7">
      <c r="A36" s="184">
        <v>35</v>
      </c>
      <c r="B36" s="197" t="s">
        <v>41</v>
      </c>
      <c r="C36" s="186">
        <f>Shareout!CZ85</f>
        <v>42115.685673627086</v>
      </c>
      <c r="D36" s="186"/>
      <c r="E36" s="186">
        <f t="shared" si="1"/>
        <v>42115.685673627086</v>
      </c>
      <c r="F36" s="214">
        <f t="shared" si="3"/>
        <v>42115.685673627086</v>
      </c>
      <c r="G36" s="215"/>
      <c r="H36" s="216"/>
      <c r="I36" s="217"/>
      <c r="J36" s="203"/>
      <c r="K36" s="204"/>
      <c r="L36" s="205"/>
      <c r="M36" s="206"/>
      <c r="N36" s="207"/>
      <c r="O36" s="205"/>
      <c r="P36" s="45">
        <f>SUM(J36:O36)-I36</f>
        <v>0</v>
      </c>
    </row>
    <row r="37" spans="1:16" ht="26.5" thickBot="1" x14ac:dyDescent="0.6">
      <c r="A37" s="199"/>
      <c r="B37" s="200" t="s">
        <v>14</v>
      </c>
      <c r="C37" s="201" t="e">
        <f>SUM(C3:C36)</f>
        <v>#REF!</v>
      </c>
      <c r="D37" s="202" t="e">
        <f>SUM(D3:D36)</f>
        <v>#REF!</v>
      </c>
      <c r="E37" s="212" t="e">
        <f>SUM(E3:E36)</f>
        <v>#REF!</v>
      </c>
      <c r="F37" s="218" t="e">
        <f>SUM(F3:F35)</f>
        <v>#REF!</v>
      </c>
      <c r="G37" s="219" t="e">
        <f>SUM(G3:G36)</f>
        <v>#REF!</v>
      </c>
      <c r="H37" s="220" t="e">
        <f>SUM(H3:H36)</f>
        <v>#REF!</v>
      </c>
      <c r="I37" s="221" t="e">
        <f>SUM(I3:I36)</f>
        <v>#REF!</v>
      </c>
      <c r="J37" s="208" t="e">
        <f t="shared" ref="J37:O37" si="4">SUM(J3:J35)</f>
        <v>#REF!</v>
      </c>
      <c r="K37" s="209" t="e">
        <f t="shared" si="4"/>
        <v>#REF!</v>
      </c>
      <c r="L37" s="211" t="e">
        <f t="shared" si="4"/>
        <v>#REF!</v>
      </c>
      <c r="M37" s="213" t="e">
        <f t="shared" si="4"/>
        <v>#REF!</v>
      </c>
      <c r="N37" s="210" t="e">
        <f t="shared" si="4"/>
        <v>#REF!</v>
      </c>
      <c r="O37" s="211">
        <f t="shared" si="4"/>
        <v>100843.65753788779</v>
      </c>
      <c r="P37" s="45" t="e">
        <f>SUM(J37:O37)</f>
        <v>#REF!</v>
      </c>
    </row>
    <row r="38" spans="1:16" x14ac:dyDescent="0.35">
      <c r="F38" s="45" t="e">
        <f>F37-F36</f>
        <v>#REF!</v>
      </c>
      <c r="J38" s="174" t="e">
        <f>J1-J37</f>
        <v>#REF!</v>
      </c>
      <c r="K38" s="45" t="e">
        <f t="shared" ref="K38:P38" si="5">K1-K37</f>
        <v>#REF!</v>
      </c>
      <c r="L38" s="45" t="e">
        <f t="shared" si="5"/>
        <v>#REF!</v>
      </c>
      <c r="M38" s="45" t="e">
        <f t="shared" si="5"/>
        <v>#REF!</v>
      </c>
      <c r="N38" s="45" t="e">
        <f t="shared" si="5"/>
        <v>#REF!</v>
      </c>
      <c r="O38" s="45">
        <f t="shared" si="5"/>
        <v>-66210.705108811497</v>
      </c>
      <c r="P38" s="45" t="e">
        <f t="shared" si="5"/>
        <v>#REF!</v>
      </c>
    </row>
    <row r="40" spans="1:16" x14ac:dyDescent="0.35">
      <c r="H40" s="46" t="e">
        <f>C46-8200</f>
        <v>#REF!</v>
      </c>
    </row>
    <row r="42" spans="1:16" ht="17" x14ac:dyDescent="0.35">
      <c r="B42" s="164" t="s">
        <v>61</v>
      </c>
      <c r="C42" s="165" t="e">
        <f>F37-F36</f>
        <v>#REF!</v>
      </c>
    </row>
    <row r="43" spans="1:16" x14ac:dyDescent="0.35">
      <c r="B43" s="166" t="s">
        <v>45</v>
      </c>
      <c r="C43" s="165" t="e">
        <f>G37</f>
        <v>#REF!</v>
      </c>
      <c r="E43" s="168" t="e">
        <f>C44-C42</f>
        <v>#REF!</v>
      </c>
    </row>
    <row r="44" spans="1:16" x14ac:dyDescent="0.35">
      <c r="B44" s="166" t="s">
        <v>62</v>
      </c>
      <c r="C44" s="165" t="e">
        <f>Admins!#REF!</f>
        <v>#REF!</v>
      </c>
      <c r="D44" s="45" t="e">
        <f>C44-C42</f>
        <v>#REF!</v>
      </c>
      <c r="E44" s="45" t="e">
        <f>D44+C43</f>
        <v>#REF!</v>
      </c>
    </row>
    <row r="45" spans="1:16" x14ac:dyDescent="0.35">
      <c r="B45" s="166" t="s">
        <v>63</v>
      </c>
      <c r="C45" s="167" t="e">
        <f>C43+C44</f>
        <v>#REF!</v>
      </c>
    </row>
    <row r="46" spans="1:16" x14ac:dyDescent="0.35">
      <c r="B46" s="166" t="s">
        <v>46</v>
      </c>
      <c r="C46" s="165" t="e">
        <f>C45-C42-F36</f>
        <v>#REF!</v>
      </c>
      <c r="D46" s="168" t="e">
        <f>C46+3605</f>
        <v>#REF!</v>
      </c>
      <c r="E46">
        <v>34917.72</v>
      </c>
      <c r="F46" s="168" t="e">
        <f>D46-E46</f>
        <v>#REF!</v>
      </c>
    </row>
  </sheetData>
  <autoFilter ref="A2:G38" xr:uid="{64050D61-8294-4AE7-B058-4A5F822913CF}"/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81CE-94D4-4EE8-82C7-181FA008BADF}">
  <dimension ref="A4:BT61"/>
  <sheetViews>
    <sheetView topLeftCell="I18" zoomScale="30" zoomScaleNormal="30" workbookViewId="0">
      <selection activeCell="P33" sqref="P33"/>
    </sheetView>
  </sheetViews>
  <sheetFormatPr defaultRowHeight="14.5" x14ac:dyDescent="0.35"/>
  <cols>
    <col min="1" max="1" width="9" bestFit="1" customWidth="1"/>
    <col min="2" max="2" width="51.26953125" bestFit="1" customWidth="1"/>
    <col min="3" max="3" width="34.90625" bestFit="1" customWidth="1"/>
    <col min="4" max="4" width="33.08984375" bestFit="1" customWidth="1"/>
    <col min="5" max="5" width="38.54296875" bestFit="1" customWidth="1"/>
    <col min="6" max="6" width="27.6328125" bestFit="1" customWidth="1"/>
    <col min="7" max="7" width="23.26953125" bestFit="1" customWidth="1"/>
    <col min="8" max="8" width="24.36328125" bestFit="1" customWidth="1"/>
    <col min="9" max="9" width="20.453125" bestFit="1" customWidth="1"/>
    <col min="10" max="10" width="33.453125" bestFit="1" customWidth="1"/>
    <col min="11" max="11" width="33" customWidth="1"/>
    <col min="12" max="12" width="52.7265625" bestFit="1" customWidth="1"/>
    <col min="13" max="14" width="52.7265625" customWidth="1"/>
    <col min="15" max="15" width="48.54296875" bestFit="1" customWidth="1"/>
    <col min="16" max="16" width="48.54296875" customWidth="1"/>
    <col min="17" max="18" width="48.54296875" bestFit="1" customWidth="1"/>
    <col min="19" max="19" width="51.90625" bestFit="1" customWidth="1"/>
    <col min="20" max="20" width="34.54296875" bestFit="1" customWidth="1"/>
    <col min="21" max="21" width="33.81640625" bestFit="1" customWidth="1"/>
    <col min="22" max="22" width="23" bestFit="1" customWidth="1"/>
    <col min="23" max="23" width="8" bestFit="1" customWidth="1"/>
    <col min="24" max="24" width="35.1796875" bestFit="1" customWidth="1"/>
    <col min="25" max="27" width="48.54296875" bestFit="1" customWidth="1"/>
    <col min="28" max="28" width="43.54296875" bestFit="1" customWidth="1"/>
    <col min="29" max="29" width="48.54296875" bestFit="1" customWidth="1"/>
    <col min="30" max="30" width="43.54296875" bestFit="1" customWidth="1"/>
    <col min="31" max="31" width="37.453125" customWidth="1"/>
    <col min="32" max="32" width="34.81640625" bestFit="1" customWidth="1"/>
  </cols>
  <sheetData>
    <row r="4" spans="1:72" s="95" customFormat="1" ht="26" x14ac:dyDescent="0.6">
      <c r="B4" s="279" t="s">
        <v>64</v>
      </c>
      <c r="C4" s="279"/>
      <c r="D4" s="279"/>
      <c r="E4" s="279"/>
      <c r="F4" s="279"/>
      <c r="G4" s="279"/>
      <c r="H4" s="279"/>
      <c r="I4" s="279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283"/>
      <c r="AF4" s="283"/>
      <c r="AG4" s="283"/>
      <c r="AH4" s="283"/>
      <c r="AI4" s="283"/>
      <c r="AJ4" s="283"/>
      <c r="AK4" s="283"/>
      <c r="AL4" s="283"/>
      <c r="AM4" s="283"/>
      <c r="AN4" s="283"/>
      <c r="AO4" s="283"/>
      <c r="AP4" s="283"/>
      <c r="AQ4" s="283"/>
      <c r="AR4" s="283"/>
      <c r="AS4" s="283"/>
      <c r="AT4" s="283"/>
      <c r="AU4" s="283"/>
      <c r="AV4" s="283"/>
      <c r="AW4" s="283"/>
      <c r="AX4" s="283"/>
      <c r="AY4" s="283"/>
      <c r="AZ4" s="283"/>
      <c r="BA4" s="283"/>
      <c r="BB4" s="283"/>
      <c r="BC4" s="283"/>
      <c r="BD4" s="283"/>
      <c r="BE4" s="283"/>
      <c r="BF4" s="283"/>
      <c r="BG4" s="283"/>
      <c r="BH4" s="283"/>
      <c r="BI4" s="283"/>
      <c r="BJ4" s="283"/>
      <c r="BK4" s="283"/>
      <c r="BL4" s="283"/>
      <c r="BM4" s="283"/>
      <c r="BN4" s="283"/>
      <c r="BO4" s="283"/>
      <c r="BP4" s="283"/>
      <c r="BQ4" s="283"/>
      <c r="BR4" s="283"/>
      <c r="BS4" s="283"/>
      <c r="BT4" s="283"/>
    </row>
    <row r="5" spans="1:72" s="95" customFormat="1" ht="51" x14ac:dyDescent="1.3">
      <c r="B5" s="335" t="s">
        <v>65</v>
      </c>
      <c r="C5" s="336" t="s">
        <v>66</v>
      </c>
      <c r="D5" s="336" t="s">
        <v>67</v>
      </c>
      <c r="E5" s="336" t="s">
        <v>210</v>
      </c>
      <c r="F5" s="336" t="s">
        <v>69</v>
      </c>
      <c r="G5" s="336" t="s">
        <v>70</v>
      </c>
      <c r="H5" s="337" t="s">
        <v>71</v>
      </c>
      <c r="I5" s="284"/>
      <c r="J5" s="285"/>
      <c r="K5" s="285"/>
      <c r="L5" s="302" t="s">
        <v>72</v>
      </c>
      <c r="M5" s="303" t="s">
        <v>35</v>
      </c>
      <c r="N5" s="303" t="s">
        <v>25</v>
      </c>
      <c r="O5" s="303" t="s">
        <v>29</v>
      </c>
      <c r="P5" s="303" t="s">
        <v>36</v>
      </c>
      <c r="Q5" s="302" t="s">
        <v>21</v>
      </c>
      <c r="R5" s="288" t="s">
        <v>71</v>
      </c>
      <c r="S5" s="289"/>
      <c r="T5" s="289"/>
      <c r="U5" s="289"/>
    </row>
    <row r="6" spans="1:72" s="95" customFormat="1" ht="51" x14ac:dyDescent="1.3">
      <c r="A6" s="95">
        <v>1</v>
      </c>
      <c r="B6" s="338" t="s">
        <v>18</v>
      </c>
      <c r="C6" s="339"/>
      <c r="D6" s="339">
        <v>24000</v>
      </c>
      <c r="E6" s="340"/>
      <c r="F6" s="340"/>
      <c r="G6" s="340">
        <f>D6+E6</f>
        <v>24000</v>
      </c>
      <c r="H6" s="341">
        <f t="shared" ref="H6:H29" si="0">SUM(C6:F6)</f>
        <v>24000</v>
      </c>
      <c r="I6" s="290"/>
      <c r="J6" s="81">
        <f>'New Repayment Schedule'!BV6</f>
        <v>105207.13795593752</v>
      </c>
      <c r="K6" s="81">
        <f>Shares!Z156-J6</f>
        <v>-105207.13795593752</v>
      </c>
      <c r="L6" s="304"/>
      <c r="M6" s="305">
        <f>M33</f>
        <v>52377.189999999995</v>
      </c>
      <c r="N6" s="305">
        <f t="shared" ref="N6:Q6" si="1">N33</f>
        <v>0</v>
      </c>
      <c r="O6" s="305">
        <f t="shared" si="1"/>
        <v>3345</v>
      </c>
      <c r="P6" s="305">
        <f t="shared" si="1"/>
        <v>146573.59100090814</v>
      </c>
      <c r="Q6" s="305">
        <f t="shared" si="1"/>
        <v>61138.560867425724</v>
      </c>
      <c r="R6" s="292">
        <f t="shared" ref="R6:R32" si="2">SUM(M6:Q6)</f>
        <v>263434.34186833387</v>
      </c>
      <c r="T6" s="81">
        <f>H30-R6</f>
        <v>-9372.5091869569733</v>
      </c>
    </row>
    <row r="7" spans="1:72" s="95" customFormat="1" ht="51" x14ac:dyDescent="1.3">
      <c r="A7" s="95">
        <v>2</v>
      </c>
      <c r="B7" s="338" t="s">
        <v>209</v>
      </c>
      <c r="C7" s="342"/>
      <c r="D7" s="339">
        <v>15000</v>
      </c>
      <c r="E7" s="340">
        <v>806.44</v>
      </c>
      <c r="F7" s="340"/>
      <c r="G7" s="340">
        <f t="shared" ref="G7:G29" si="3">D7+E7</f>
        <v>15806.44</v>
      </c>
      <c r="H7" s="341">
        <f t="shared" si="0"/>
        <v>15806.44</v>
      </c>
      <c r="I7" s="290"/>
      <c r="J7" s="81">
        <f>'New Repayment Schedule'!BV7</f>
        <v>15427.5</v>
      </c>
      <c r="K7" s="81">
        <f>Shares!Z157-J7</f>
        <v>-15427.5</v>
      </c>
      <c r="L7" s="306"/>
      <c r="M7" s="307"/>
      <c r="N7" s="307"/>
      <c r="O7" s="307"/>
      <c r="P7" s="307"/>
      <c r="Q7" s="307"/>
      <c r="R7" s="292">
        <f t="shared" si="2"/>
        <v>0</v>
      </c>
      <c r="S7" s="96"/>
      <c r="T7" s="96"/>
      <c r="U7" s="96"/>
    </row>
    <row r="8" spans="1:72" s="95" customFormat="1" ht="51" x14ac:dyDescent="1.3">
      <c r="A8" s="95">
        <v>3</v>
      </c>
      <c r="B8" s="338" t="s">
        <v>19</v>
      </c>
      <c r="C8" s="342"/>
      <c r="D8" s="339">
        <v>9560</v>
      </c>
      <c r="E8" s="340"/>
      <c r="F8" s="340"/>
      <c r="G8" s="340">
        <f t="shared" si="3"/>
        <v>9560</v>
      </c>
      <c r="H8" s="341">
        <f t="shared" si="0"/>
        <v>9560</v>
      </c>
      <c r="I8" s="290"/>
      <c r="J8" s="81">
        <f>'New Repayment Schedule'!BV8</f>
        <v>22827.820466718749</v>
      </c>
      <c r="K8" s="81">
        <f>Shares!Z158-J8</f>
        <v>-22827.820466718749</v>
      </c>
      <c r="L8" s="308" t="s">
        <v>73</v>
      </c>
      <c r="M8" s="309"/>
      <c r="N8" s="309"/>
      <c r="O8" s="309"/>
      <c r="P8" s="309"/>
      <c r="Q8" s="309"/>
      <c r="R8" s="292">
        <f t="shared" si="2"/>
        <v>0</v>
      </c>
      <c r="S8" s="97">
        <f>H6-R8</f>
        <v>24000</v>
      </c>
      <c r="T8" s="96"/>
      <c r="U8" s="96"/>
    </row>
    <row r="9" spans="1:72" s="95" customFormat="1" ht="51" x14ac:dyDescent="1.3">
      <c r="A9" s="95">
        <v>4</v>
      </c>
      <c r="B9" s="343" t="s">
        <v>20</v>
      </c>
      <c r="C9" s="342"/>
      <c r="D9" s="339">
        <v>5000</v>
      </c>
      <c r="E9" s="340">
        <v>102.04</v>
      </c>
      <c r="F9" s="340"/>
      <c r="G9" s="340">
        <f t="shared" si="3"/>
        <v>5102.04</v>
      </c>
      <c r="H9" s="341">
        <f t="shared" si="0"/>
        <v>5102.04</v>
      </c>
      <c r="I9" s="290"/>
      <c r="J9" s="81">
        <f>'New Repayment Schedule'!BV9</f>
        <v>18700</v>
      </c>
      <c r="K9" s="81">
        <f>Shares!Z161-J9</f>
        <v>-18700</v>
      </c>
      <c r="L9" s="308" t="s">
        <v>18</v>
      </c>
      <c r="M9" s="309"/>
      <c r="N9" s="309"/>
      <c r="O9" s="309"/>
      <c r="P9" s="309">
        <v>24000</v>
      </c>
      <c r="Q9" s="309"/>
      <c r="R9" s="333">
        <f t="shared" si="2"/>
        <v>24000</v>
      </c>
      <c r="S9" s="97">
        <f t="shared" ref="S9:S33" si="4">H6-R9</f>
        <v>0</v>
      </c>
      <c r="T9" s="96"/>
      <c r="U9" s="96"/>
    </row>
    <row r="10" spans="1:72" s="95" customFormat="1" ht="51" x14ac:dyDescent="1.3">
      <c r="A10" s="95">
        <v>5</v>
      </c>
      <c r="B10" s="344" t="s">
        <v>21</v>
      </c>
      <c r="C10" s="339"/>
      <c r="D10" s="339">
        <v>46500</v>
      </c>
      <c r="E10" s="340"/>
      <c r="F10" s="340"/>
      <c r="G10" s="340">
        <f t="shared" si="3"/>
        <v>46500</v>
      </c>
      <c r="H10" s="341">
        <f t="shared" si="0"/>
        <v>46500</v>
      </c>
      <c r="I10" s="290"/>
      <c r="J10" s="81">
        <f>'New Repayment Schedule'!BV10</f>
        <v>49431.042491249995</v>
      </c>
      <c r="K10" s="81">
        <f>Shares!Z163-J10</f>
        <v>-49431.042491249995</v>
      </c>
      <c r="L10" s="310" t="s">
        <v>209</v>
      </c>
      <c r="M10" s="311"/>
      <c r="N10" s="311"/>
      <c r="O10" s="311"/>
      <c r="P10" s="311">
        <v>15806.44</v>
      </c>
      <c r="Q10" s="312"/>
      <c r="R10" s="333">
        <f t="shared" si="2"/>
        <v>15806.44</v>
      </c>
      <c r="S10" s="97">
        <f t="shared" si="4"/>
        <v>0</v>
      </c>
      <c r="V10" s="286" t="s">
        <v>35</v>
      </c>
      <c r="W10" s="291">
        <f>O6</f>
        <v>3345</v>
      </c>
      <c r="X10" s="294">
        <v>18600</v>
      </c>
      <c r="Y10" s="296">
        <v>7400</v>
      </c>
      <c r="Z10" s="297">
        <v>6000</v>
      </c>
      <c r="AA10" s="293"/>
      <c r="AB10" s="295">
        <v>1200</v>
      </c>
      <c r="AC10" s="298">
        <v>200</v>
      </c>
      <c r="AD10" s="293">
        <f t="shared" ref="AD10:AD14" si="5">W10-SUM(X10:AA10)</f>
        <v>-28655</v>
      </c>
    </row>
    <row r="11" spans="1:72" s="95" customFormat="1" ht="51" x14ac:dyDescent="1.3">
      <c r="A11" s="95">
        <v>6</v>
      </c>
      <c r="B11" s="345" t="s">
        <v>22</v>
      </c>
      <c r="C11" s="339"/>
      <c r="D11" s="339"/>
      <c r="E11" s="340"/>
      <c r="F11" s="340"/>
      <c r="G11" s="340">
        <f t="shared" si="3"/>
        <v>0</v>
      </c>
      <c r="H11" s="341">
        <f t="shared" si="0"/>
        <v>0</v>
      </c>
      <c r="I11" s="290"/>
      <c r="J11" s="81">
        <f>'New Repayment Schedule'!BV11</f>
        <v>0</v>
      </c>
      <c r="K11" s="81">
        <f>Shares!Z164-J11</f>
        <v>0</v>
      </c>
      <c r="L11" s="306" t="s">
        <v>19</v>
      </c>
      <c r="M11" s="307">
        <v>9560</v>
      </c>
      <c r="N11" s="307"/>
      <c r="O11" s="307"/>
      <c r="P11" s="307"/>
      <c r="Q11" s="307"/>
      <c r="R11" s="333">
        <f t="shared" si="2"/>
        <v>9560</v>
      </c>
      <c r="S11" s="97">
        <f t="shared" si="4"/>
        <v>0</v>
      </c>
      <c r="V11" s="286" t="s">
        <v>29</v>
      </c>
      <c r="W11" s="291">
        <v>22600</v>
      </c>
      <c r="X11" s="294"/>
      <c r="Y11" s="296">
        <v>22600</v>
      </c>
      <c r="Z11" s="297"/>
      <c r="AA11" s="293"/>
      <c r="AB11" s="295"/>
      <c r="AC11" s="298"/>
      <c r="AD11" s="293">
        <f t="shared" si="5"/>
        <v>0</v>
      </c>
    </row>
    <row r="12" spans="1:72" s="95" customFormat="1" ht="51" x14ac:dyDescent="1.3">
      <c r="A12" s="95">
        <v>7</v>
      </c>
      <c r="B12" s="344" t="s">
        <v>23</v>
      </c>
      <c r="C12" s="342"/>
      <c r="D12" s="340">
        <v>1100</v>
      </c>
      <c r="E12" s="340"/>
      <c r="F12" s="340"/>
      <c r="G12" s="340">
        <f t="shared" si="3"/>
        <v>1100</v>
      </c>
      <c r="H12" s="341">
        <f t="shared" si="0"/>
        <v>1100</v>
      </c>
      <c r="I12" s="290"/>
      <c r="J12" s="81">
        <f>'New Repayment Schedule'!BV12</f>
        <v>0</v>
      </c>
      <c r="K12" s="81">
        <f>Shares!Z165-J12</f>
        <v>0</v>
      </c>
      <c r="L12" s="313" t="s">
        <v>20</v>
      </c>
      <c r="M12" s="314"/>
      <c r="N12" s="314"/>
      <c r="O12" s="314"/>
      <c r="P12" s="314">
        <v>5103</v>
      </c>
      <c r="Q12" s="314"/>
      <c r="R12" s="333">
        <f t="shared" si="2"/>
        <v>5103</v>
      </c>
      <c r="S12" s="97">
        <f t="shared" si="4"/>
        <v>-0.96000000000003638</v>
      </c>
      <c r="V12" s="287" t="s">
        <v>21</v>
      </c>
      <c r="W12" s="291">
        <f>Q6</f>
        <v>61138.560867425724</v>
      </c>
      <c r="X12" s="294"/>
      <c r="Y12" s="296"/>
      <c r="Z12" s="297"/>
      <c r="AA12" s="293">
        <v>2600</v>
      </c>
      <c r="AB12" s="295"/>
      <c r="AC12" s="298"/>
      <c r="AD12" s="293">
        <f t="shared" si="5"/>
        <v>58538.560867425724</v>
      </c>
    </row>
    <row r="13" spans="1:72" s="95" customFormat="1" ht="51" x14ac:dyDescent="1.3">
      <c r="A13" s="95">
        <v>8</v>
      </c>
      <c r="B13" s="346" t="s">
        <v>24</v>
      </c>
      <c r="C13" s="342"/>
      <c r="D13" s="339">
        <v>2500</v>
      </c>
      <c r="E13" s="340">
        <v>121.79</v>
      </c>
      <c r="F13" s="340"/>
      <c r="G13" s="340">
        <f t="shared" si="3"/>
        <v>2621.79</v>
      </c>
      <c r="H13" s="341">
        <f t="shared" si="0"/>
        <v>2621.79</v>
      </c>
      <c r="I13" s="290"/>
      <c r="J13" s="81">
        <f>'New Repayment Schedule'!BV13</f>
        <v>17845.404178530473</v>
      </c>
      <c r="K13" s="81">
        <f>Shares!Z166-J13</f>
        <v>-17845.404178530473</v>
      </c>
      <c r="L13" s="302" t="s">
        <v>21</v>
      </c>
      <c r="M13" s="315"/>
      <c r="N13" s="315"/>
      <c r="O13" s="315"/>
      <c r="P13" s="315"/>
      <c r="Q13" s="315">
        <v>54482.280867425725</v>
      </c>
      <c r="R13" s="333">
        <f t="shared" si="2"/>
        <v>54482.280867425725</v>
      </c>
      <c r="S13" s="97">
        <f t="shared" si="4"/>
        <v>-7982.2808674257249</v>
      </c>
      <c r="T13" s="96"/>
      <c r="U13" s="96"/>
      <c r="V13" s="287" t="s">
        <v>48</v>
      </c>
      <c r="W13" s="291" t="e">
        <f>#REF!</f>
        <v>#REF!</v>
      </c>
      <c r="X13" s="294"/>
      <c r="Y13" s="296"/>
      <c r="Z13" s="297"/>
      <c r="AA13" s="293">
        <v>7400</v>
      </c>
      <c r="AB13" s="295"/>
      <c r="AC13" s="298">
        <v>2300</v>
      </c>
      <c r="AD13" s="293" t="e">
        <f t="shared" si="5"/>
        <v>#REF!</v>
      </c>
    </row>
    <row r="14" spans="1:72" s="95" customFormat="1" ht="51" x14ac:dyDescent="1.3">
      <c r="A14" s="95">
        <v>9</v>
      </c>
      <c r="B14" s="347" t="s">
        <v>25</v>
      </c>
      <c r="C14" s="339"/>
      <c r="D14" s="339">
        <v>44750</v>
      </c>
      <c r="E14" s="340"/>
      <c r="F14" s="340"/>
      <c r="G14" s="340">
        <f t="shared" si="3"/>
        <v>44750</v>
      </c>
      <c r="H14" s="341">
        <f t="shared" si="0"/>
        <v>44750</v>
      </c>
      <c r="I14" s="290"/>
      <c r="J14" s="81">
        <f>'New Repayment Schedule'!BV14</f>
        <v>58024.010696875004</v>
      </c>
      <c r="K14" s="81">
        <f>Shares!Z169-J14</f>
        <v>-58024.010696875004</v>
      </c>
      <c r="L14" s="316" t="s">
        <v>22</v>
      </c>
      <c r="M14" s="312"/>
      <c r="N14" s="312"/>
      <c r="O14" s="312"/>
      <c r="P14" s="312">
        <v>40</v>
      </c>
      <c r="Q14" s="312"/>
      <c r="R14" s="333">
        <f t="shared" si="2"/>
        <v>40</v>
      </c>
      <c r="S14" s="97">
        <f t="shared" si="4"/>
        <v>-40</v>
      </c>
      <c r="W14" s="291" t="e">
        <f t="shared" ref="W14:AC14" si="6">SUM(W10:W13)</f>
        <v>#REF!</v>
      </c>
      <c r="X14" s="294">
        <f t="shared" si="6"/>
        <v>18600</v>
      </c>
      <c r="Y14" s="296">
        <f t="shared" si="6"/>
        <v>30000</v>
      </c>
      <c r="Z14" s="297">
        <f t="shared" si="6"/>
        <v>6000</v>
      </c>
      <c r="AA14" s="293">
        <f t="shared" si="6"/>
        <v>10000</v>
      </c>
      <c r="AB14" s="293">
        <f t="shared" si="6"/>
        <v>1200</v>
      </c>
      <c r="AC14" s="293">
        <f t="shared" si="6"/>
        <v>2500</v>
      </c>
      <c r="AD14" s="293" t="e">
        <f t="shared" si="5"/>
        <v>#REF!</v>
      </c>
    </row>
    <row r="15" spans="1:72" s="95" customFormat="1" ht="51" x14ac:dyDescent="1.3">
      <c r="A15" s="95">
        <v>10</v>
      </c>
      <c r="B15" s="343" t="s">
        <v>26</v>
      </c>
      <c r="C15" s="339"/>
      <c r="D15" s="339">
        <v>688.12</v>
      </c>
      <c r="E15" s="340">
        <v>108.62</v>
      </c>
      <c r="F15" s="340"/>
      <c r="G15" s="340">
        <f t="shared" si="3"/>
        <v>796.74</v>
      </c>
      <c r="H15" s="341">
        <f t="shared" si="0"/>
        <v>796.74</v>
      </c>
      <c r="I15" s="290"/>
      <c r="J15" s="81">
        <f>'New Repayment Schedule'!BV15</f>
        <v>16800.004413445313</v>
      </c>
      <c r="K15" s="81"/>
      <c r="L15" s="317" t="s">
        <v>23</v>
      </c>
      <c r="M15" s="318"/>
      <c r="N15" s="318"/>
      <c r="O15" s="318"/>
      <c r="P15" s="318"/>
      <c r="Q15" s="318">
        <v>1100</v>
      </c>
      <c r="R15" s="333">
        <f t="shared" si="2"/>
        <v>1100</v>
      </c>
      <c r="S15" s="97">
        <f t="shared" si="4"/>
        <v>0</v>
      </c>
      <c r="X15" s="293">
        <f>X14-48000</f>
        <v>-29400</v>
      </c>
      <c r="Y15" s="293">
        <f>Y14-30000</f>
        <v>0</v>
      </c>
      <c r="Z15" s="293">
        <f>Z14-6000</f>
        <v>0</v>
      </c>
      <c r="AA15" s="293">
        <f>AA14-10000</f>
        <v>0</v>
      </c>
      <c r="AB15" s="293">
        <f>AB14-1200</f>
        <v>0</v>
      </c>
      <c r="AC15" s="293">
        <f>AC14-2500</f>
        <v>0</v>
      </c>
    </row>
    <row r="16" spans="1:72" s="95" customFormat="1" ht="51" x14ac:dyDescent="1.3">
      <c r="A16" s="95">
        <v>11</v>
      </c>
      <c r="B16" s="343" t="s">
        <v>27</v>
      </c>
      <c r="C16" s="342"/>
      <c r="D16" s="339">
        <v>40000</v>
      </c>
      <c r="E16" s="340"/>
      <c r="F16" s="340"/>
      <c r="G16" s="340">
        <f t="shared" si="3"/>
        <v>40000</v>
      </c>
      <c r="H16" s="341">
        <f t="shared" si="0"/>
        <v>40000</v>
      </c>
      <c r="I16" s="290"/>
      <c r="J16" s="81">
        <f>'New Repayment Schedule'!BV16</f>
        <v>115443.52906406249</v>
      </c>
      <c r="K16" s="81"/>
      <c r="L16" s="304" t="s">
        <v>24</v>
      </c>
      <c r="M16" s="305"/>
      <c r="N16" s="305"/>
      <c r="O16" s="305"/>
      <c r="P16" s="305">
        <v>2622</v>
      </c>
      <c r="Q16" s="305"/>
      <c r="R16" s="333">
        <f t="shared" si="2"/>
        <v>2622</v>
      </c>
      <c r="S16" s="97">
        <f t="shared" si="4"/>
        <v>-0.21000000000003638</v>
      </c>
    </row>
    <row r="17" spans="1:21" s="95" customFormat="1" ht="51" x14ac:dyDescent="1.3">
      <c r="A17" s="95">
        <v>12</v>
      </c>
      <c r="B17" s="343" t="s">
        <v>28</v>
      </c>
      <c r="C17" s="342"/>
      <c r="D17" s="339"/>
      <c r="E17" s="340"/>
      <c r="F17" s="340"/>
      <c r="G17" s="340">
        <f t="shared" si="3"/>
        <v>0</v>
      </c>
      <c r="H17" s="341">
        <f t="shared" si="0"/>
        <v>0</v>
      </c>
      <c r="I17" s="290"/>
      <c r="J17" s="81">
        <f>'New Repayment Schedule'!BV17</f>
        <v>-9.6551437500001178</v>
      </c>
      <c r="K17" s="81">
        <f>Shares!Z173-J17</f>
        <v>9.6551437500001178</v>
      </c>
      <c r="L17" s="319" t="s">
        <v>25</v>
      </c>
      <c r="M17" s="320"/>
      <c r="N17" s="320"/>
      <c r="O17" s="320"/>
      <c r="P17" s="320">
        <v>44750</v>
      </c>
      <c r="Q17" s="320"/>
      <c r="R17" s="333">
        <f t="shared" si="2"/>
        <v>44750</v>
      </c>
      <c r="S17" s="97">
        <f t="shared" si="4"/>
        <v>0</v>
      </c>
      <c r="T17" s="96"/>
      <c r="U17" s="96"/>
    </row>
    <row r="18" spans="1:21" s="95" customFormat="1" ht="51" x14ac:dyDescent="1.3">
      <c r="A18" s="95">
        <v>13</v>
      </c>
      <c r="B18" s="344" t="s">
        <v>29</v>
      </c>
      <c r="C18" s="342"/>
      <c r="D18" s="339">
        <v>1500</v>
      </c>
      <c r="E18" s="340">
        <v>125</v>
      </c>
      <c r="F18" s="340"/>
      <c r="G18" s="340">
        <f t="shared" si="3"/>
        <v>1625</v>
      </c>
      <c r="H18" s="341">
        <f t="shared" si="0"/>
        <v>1625</v>
      </c>
      <c r="I18" s="290"/>
      <c r="J18" s="81">
        <f>'New Repayment Schedule'!BV18</f>
        <v>16117.56234375</v>
      </c>
      <c r="K18" s="81">
        <f>Shares!Z174-J18</f>
        <v>-16117.56234375</v>
      </c>
      <c r="L18" s="321" t="s">
        <v>26</v>
      </c>
      <c r="M18" s="322">
        <v>796.74</v>
      </c>
      <c r="N18" s="322"/>
      <c r="O18" s="322"/>
      <c r="P18" s="322"/>
      <c r="Q18" s="322"/>
      <c r="R18" s="333">
        <f t="shared" si="2"/>
        <v>796.74</v>
      </c>
      <c r="S18" s="97">
        <f t="shared" si="4"/>
        <v>0</v>
      </c>
      <c r="T18" s="96"/>
      <c r="U18" s="96"/>
    </row>
    <row r="19" spans="1:21" s="95" customFormat="1" ht="51" x14ac:dyDescent="1.3">
      <c r="A19" s="95">
        <v>14</v>
      </c>
      <c r="B19" s="344" t="s">
        <v>30</v>
      </c>
      <c r="C19" s="342"/>
      <c r="D19" s="339"/>
      <c r="E19" s="340">
        <v>803.15</v>
      </c>
      <c r="F19" s="340"/>
      <c r="G19" s="340">
        <f t="shared" si="3"/>
        <v>803.15</v>
      </c>
      <c r="H19" s="341">
        <f t="shared" si="0"/>
        <v>803.15</v>
      </c>
      <c r="I19" s="290"/>
      <c r="J19" s="81">
        <f>'New Repayment Schedule'!BV19</f>
        <v>6300</v>
      </c>
      <c r="K19" s="81">
        <f>Shares!Z176-J19</f>
        <v>-6300</v>
      </c>
      <c r="L19" s="321" t="s">
        <v>27</v>
      </c>
      <c r="M19" s="322"/>
      <c r="N19" s="322"/>
      <c r="O19" s="322"/>
      <c r="P19" s="322">
        <v>40000</v>
      </c>
      <c r="Q19" s="322"/>
      <c r="R19" s="333">
        <f t="shared" si="2"/>
        <v>40000</v>
      </c>
      <c r="S19" s="97">
        <f t="shared" si="4"/>
        <v>0</v>
      </c>
      <c r="T19" s="96"/>
      <c r="U19" s="96"/>
    </row>
    <row r="20" spans="1:21" s="95" customFormat="1" ht="51" x14ac:dyDescent="1.3">
      <c r="A20" s="95">
        <v>15</v>
      </c>
      <c r="B20" s="343" t="s">
        <v>31</v>
      </c>
      <c r="C20" s="342"/>
      <c r="D20" s="339">
        <v>2048</v>
      </c>
      <c r="E20" s="340">
        <v>60</v>
      </c>
      <c r="F20" s="340"/>
      <c r="G20" s="340">
        <f t="shared" si="3"/>
        <v>2108</v>
      </c>
      <c r="H20" s="341">
        <f t="shared" si="0"/>
        <v>2108</v>
      </c>
      <c r="I20" s="290"/>
      <c r="J20" s="81">
        <f>'New Repayment Schedule'!BV20</f>
        <v>10999.44875</v>
      </c>
      <c r="K20" s="81">
        <f>Shares!Z177-J20</f>
        <v>-10999.44875</v>
      </c>
      <c r="L20" s="316" t="s">
        <v>28</v>
      </c>
      <c r="M20" s="312"/>
      <c r="N20" s="312"/>
      <c r="O20" s="312"/>
      <c r="P20" s="312"/>
      <c r="Q20" s="312"/>
      <c r="R20" s="333">
        <f t="shared" si="2"/>
        <v>0</v>
      </c>
      <c r="S20" s="97">
        <f t="shared" si="4"/>
        <v>0</v>
      </c>
    </row>
    <row r="21" spans="1:21" s="95" customFormat="1" ht="51" x14ac:dyDescent="1.3">
      <c r="A21" s="95">
        <v>16</v>
      </c>
      <c r="B21" s="344" t="s">
        <v>32</v>
      </c>
      <c r="C21" s="342"/>
      <c r="D21" s="339">
        <v>2500</v>
      </c>
      <c r="E21" s="340"/>
      <c r="F21" s="340"/>
      <c r="G21" s="340">
        <f t="shared" si="3"/>
        <v>2500</v>
      </c>
      <c r="H21" s="341">
        <f t="shared" si="0"/>
        <v>2500</v>
      </c>
      <c r="I21" s="290"/>
      <c r="J21" s="81">
        <f>'New Repayment Schedule'!BV21</f>
        <v>7402.5</v>
      </c>
      <c r="K21" s="81"/>
      <c r="L21" s="323" t="s">
        <v>29</v>
      </c>
      <c r="M21" s="324"/>
      <c r="N21" s="324"/>
      <c r="O21" s="324">
        <v>1625</v>
      </c>
      <c r="P21" s="324"/>
      <c r="Q21" s="324"/>
      <c r="R21" s="333">
        <f t="shared" si="2"/>
        <v>1625</v>
      </c>
      <c r="S21" s="97">
        <f t="shared" si="4"/>
        <v>0</v>
      </c>
    </row>
    <row r="22" spans="1:21" s="95" customFormat="1" ht="51" x14ac:dyDescent="1.3">
      <c r="A22" s="95">
        <v>17</v>
      </c>
      <c r="B22" s="347" t="s">
        <v>33</v>
      </c>
      <c r="C22" s="339"/>
      <c r="D22" s="339"/>
      <c r="E22" s="340">
        <v>414.74</v>
      </c>
      <c r="F22" s="340"/>
      <c r="G22" s="340">
        <f t="shared" si="3"/>
        <v>414.74</v>
      </c>
      <c r="H22" s="341">
        <f t="shared" si="0"/>
        <v>414.74</v>
      </c>
      <c r="I22" s="290"/>
      <c r="J22" s="81">
        <f>'New Repayment Schedule'!BV22</f>
        <v>0</v>
      </c>
      <c r="K22" s="81">
        <f>Shares!Z180-J22</f>
        <v>0</v>
      </c>
      <c r="L22" s="304" t="s">
        <v>30</v>
      </c>
      <c r="M22" s="305"/>
      <c r="N22" s="305"/>
      <c r="O22" s="305"/>
      <c r="P22" s="305">
        <v>803.15</v>
      </c>
      <c r="Q22" s="305"/>
      <c r="R22" s="333">
        <f t="shared" si="2"/>
        <v>803.15</v>
      </c>
      <c r="S22" s="97">
        <f t="shared" si="4"/>
        <v>0</v>
      </c>
    </row>
    <row r="23" spans="1:21" s="95" customFormat="1" ht="51" x14ac:dyDescent="1.3">
      <c r="A23" s="95">
        <v>18</v>
      </c>
      <c r="B23" s="347" t="s">
        <v>34</v>
      </c>
      <c r="C23" s="348"/>
      <c r="D23" s="339">
        <v>3000</v>
      </c>
      <c r="E23" s="340"/>
      <c r="F23" s="340"/>
      <c r="G23" s="340">
        <f t="shared" si="3"/>
        <v>3000</v>
      </c>
      <c r="H23" s="341">
        <f t="shared" si="0"/>
        <v>3000</v>
      </c>
      <c r="I23" s="290"/>
      <c r="J23" s="81">
        <f>'New Repayment Schedule'!BV23</f>
        <v>11767.894392187498</v>
      </c>
      <c r="K23" s="81">
        <f>Shares!Z181-J23</f>
        <v>-11767.894392187498</v>
      </c>
      <c r="L23" s="304" t="s">
        <v>31</v>
      </c>
      <c r="M23" s="305">
        <v>2108</v>
      </c>
      <c r="N23" s="305"/>
      <c r="O23" s="305"/>
      <c r="P23" s="305"/>
      <c r="Q23" s="305"/>
      <c r="R23" s="333">
        <f t="shared" si="2"/>
        <v>2108</v>
      </c>
      <c r="S23" s="97">
        <f t="shared" si="4"/>
        <v>0</v>
      </c>
    </row>
    <row r="24" spans="1:21" s="95" customFormat="1" ht="51" x14ac:dyDescent="1.3">
      <c r="A24" s="95">
        <v>19</v>
      </c>
      <c r="B24" s="347" t="s">
        <v>48</v>
      </c>
      <c r="C24" s="339"/>
      <c r="D24" s="339">
        <v>5000</v>
      </c>
      <c r="E24" s="340">
        <v>556.28</v>
      </c>
      <c r="F24" s="340"/>
      <c r="G24" s="340">
        <f t="shared" si="3"/>
        <v>5556.28</v>
      </c>
      <c r="H24" s="341">
        <f t="shared" si="0"/>
        <v>5556.28</v>
      </c>
      <c r="I24" s="290"/>
      <c r="J24" s="81">
        <f>'New Repayment Schedule'!BV24</f>
        <v>0</v>
      </c>
      <c r="K24" s="81">
        <f>Shares!Z182-J24</f>
        <v>0</v>
      </c>
      <c r="L24" s="304" t="s">
        <v>32</v>
      </c>
      <c r="M24" s="305">
        <v>2500</v>
      </c>
      <c r="N24" s="305"/>
      <c r="O24" s="305"/>
      <c r="P24" s="305"/>
      <c r="Q24" s="305"/>
      <c r="R24" s="333">
        <f t="shared" si="2"/>
        <v>2500</v>
      </c>
      <c r="S24" s="97">
        <f t="shared" si="4"/>
        <v>0</v>
      </c>
    </row>
    <row r="25" spans="1:21" s="95" customFormat="1" ht="51" x14ac:dyDescent="1.3">
      <c r="A25" s="95">
        <v>20</v>
      </c>
      <c r="B25" s="346" t="s">
        <v>35</v>
      </c>
      <c r="C25" s="339"/>
      <c r="D25" s="339">
        <v>37000</v>
      </c>
      <c r="E25" s="340">
        <v>412.45</v>
      </c>
      <c r="F25" s="340"/>
      <c r="G25" s="340">
        <f t="shared" si="3"/>
        <v>37412.449999999997</v>
      </c>
      <c r="H25" s="341">
        <f t="shared" si="0"/>
        <v>37412.449999999997</v>
      </c>
      <c r="I25" s="290"/>
      <c r="J25" s="81">
        <f>'New Repayment Schedule'!BV25</f>
        <v>38195.486437499996</v>
      </c>
      <c r="K25" s="81">
        <f>Shares!Z184-J25</f>
        <v>-38195.486437499996</v>
      </c>
      <c r="L25" s="316" t="s">
        <v>33</v>
      </c>
      <c r="M25" s="312"/>
      <c r="N25" s="312"/>
      <c r="O25" s="312"/>
      <c r="P25" s="312">
        <v>414.74</v>
      </c>
      <c r="Q25" s="312"/>
      <c r="R25" s="333">
        <f t="shared" si="2"/>
        <v>414.74</v>
      </c>
      <c r="S25" s="97">
        <f t="shared" si="4"/>
        <v>0</v>
      </c>
    </row>
    <row r="26" spans="1:21" s="95" customFormat="1" ht="51" x14ac:dyDescent="1.3">
      <c r="A26" s="95">
        <v>21</v>
      </c>
      <c r="B26" s="346" t="s">
        <v>36</v>
      </c>
      <c r="C26" s="339"/>
      <c r="D26" s="406">
        <v>7155.25268137691</v>
      </c>
      <c r="E26" s="340"/>
      <c r="F26" s="340"/>
      <c r="G26" s="340">
        <f t="shared" si="3"/>
        <v>7155.25268137691</v>
      </c>
      <c r="H26" s="341">
        <f t="shared" si="0"/>
        <v>7155.25268137691</v>
      </c>
      <c r="I26" s="290"/>
      <c r="J26" s="81">
        <f>'New Repayment Schedule'!BV26</f>
        <v>28163.625</v>
      </c>
      <c r="K26" s="81" t="e">
        <f>Shares!#REF!-J26</f>
        <v>#REF!</v>
      </c>
      <c r="L26" s="316" t="s">
        <v>34</v>
      </c>
      <c r="M26" s="312"/>
      <c r="N26" s="312"/>
      <c r="O26" s="312"/>
      <c r="P26" s="312">
        <v>3000</v>
      </c>
      <c r="Q26" s="312"/>
      <c r="R26" s="333">
        <f t="shared" si="2"/>
        <v>3000</v>
      </c>
      <c r="S26" s="97">
        <f t="shared" si="4"/>
        <v>0</v>
      </c>
    </row>
    <row r="27" spans="1:21" s="95" customFormat="1" ht="51" x14ac:dyDescent="1.3">
      <c r="A27" s="95">
        <v>22</v>
      </c>
      <c r="B27" s="346" t="s">
        <v>37</v>
      </c>
      <c r="C27" s="339"/>
      <c r="D27" s="339">
        <v>1000</v>
      </c>
      <c r="E27" s="340">
        <v>529.95000000000005</v>
      </c>
      <c r="F27" s="340"/>
      <c r="G27" s="340">
        <f t="shared" si="3"/>
        <v>1529.95</v>
      </c>
      <c r="H27" s="341">
        <f t="shared" si="0"/>
        <v>1529.95</v>
      </c>
      <c r="I27" s="290"/>
      <c r="J27" s="81">
        <f>'New Repayment Schedule'!BV27</f>
        <v>0</v>
      </c>
      <c r="K27" s="81" t="e">
        <f>Shares!#REF!-J27</f>
        <v>#REF!</v>
      </c>
      <c r="L27" s="325" t="s">
        <v>48</v>
      </c>
      <c r="M27" s="326"/>
      <c r="N27" s="326"/>
      <c r="O27" s="326"/>
      <c r="P27" s="326"/>
      <c r="Q27" s="326">
        <v>5556.28</v>
      </c>
      <c r="R27" s="333">
        <f t="shared" si="2"/>
        <v>5556.28</v>
      </c>
      <c r="S27" s="97">
        <f t="shared" si="4"/>
        <v>0</v>
      </c>
    </row>
    <row r="28" spans="1:21" s="95" customFormat="1" ht="51" x14ac:dyDescent="1.3">
      <c r="A28" s="95">
        <v>23</v>
      </c>
      <c r="B28" s="346" t="s">
        <v>38</v>
      </c>
      <c r="C28" s="339"/>
      <c r="D28" s="339"/>
      <c r="E28" s="340"/>
      <c r="F28" s="340"/>
      <c r="G28" s="340">
        <f t="shared" si="3"/>
        <v>0</v>
      </c>
      <c r="H28" s="341">
        <f t="shared" si="0"/>
        <v>0</v>
      </c>
      <c r="I28" s="290"/>
      <c r="J28" s="81">
        <f>'New Repayment Schedule'!BV28</f>
        <v>15226.710187500001</v>
      </c>
      <c r="K28" s="81" t="e">
        <f>Shares!#REF!-J28</f>
        <v>#REF!</v>
      </c>
      <c r="L28" s="325" t="s">
        <v>35</v>
      </c>
      <c r="M28" s="326">
        <v>37412.449999999997</v>
      </c>
      <c r="N28" s="326"/>
      <c r="O28" s="326"/>
      <c r="P28" s="326"/>
      <c r="Q28" s="326"/>
      <c r="R28" s="333">
        <f t="shared" si="2"/>
        <v>37412.449999999997</v>
      </c>
      <c r="S28" s="97">
        <f t="shared" si="4"/>
        <v>0</v>
      </c>
    </row>
    <row r="29" spans="1:21" s="95" customFormat="1" ht="51" x14ac:dyDescent="1.3">
      <c r="A29" s="95">
        <v>24</v>
      </c>
      <c r="B29" s="347" t="s">
        <v>39</v>
      </c>
      <c r="C29" s="339"/>
      <c r="D29" s="339">
        <v>1720</v>
      </c>
      <c r="E29" s="340"/>
      <c r="F29" s="340"/>
      <c r="G29" s="340">
        <f t="shared" si="3"/>
        <v>1720</v>
      </c>
      <c r="H29" s="341">
        <f t="shared" si="0"/>
        <v>1720</v>
      </c>
      <c r="I29" s="290"/>
      <c r="J29" s="81">
        <f>'New Repayment Schedule'!BV29</f>
        <v>0</v>
      </c>
      <c r="K29" s="81"/>
      <c r="L29" s="325" t="s">
        <v>36</v>
      </c>
      <c r="M29" s="326"/>
      <c r="N29" s="326"/>
      <c r="O29" s="326"/>
      <c r="P29" s="326">
        <v>8504.2610009081545</v>
      </c>
      <c r="Q29" s="326"/>
      <c r="R29" s="333">
        <f t="shared" si="2"/>
        <v>8504.2610009081545</v>
      </c>
      <c r="S29" s="97">
        <f t="shared" si="4"/>
        <v>-1349.0083195312445</v>
      </c>
    </row>
    <row r="30" spans="1:21" s="95" customFormat="1" ht="51" x14ac:dyDescent="1.3">
      <c r="B30" s="349" t="s">
        <v>74</v>
      </c>
      <c r="C30" s="350">
        <f>SUM(C6:C29)</f>
        <v>0</v>
      </c>
      <c r="D30" s="350">
        <f>SUM(D6:D29)</f>
        <v>250021.3726813769</v>
      </c>
      <c r="E30" s="350">
        <f>SUM(E6:E29)</f>
        <v>4040.4599999999991</v>
      </c>
      <c r="F30" s="350">
        <f>SUM(F6:F29)</f>
        <v>0</v>
      </c>
      <c r="G30" s="350">
        <f>SUM(G6:G29)</f>
        <v>254061.83268137692</v>
      </c>
      <c r="H30" s="341">
        <f>SUM(C30:F30)</f>
        <v>254061.83268137689</v>
      </c>
      <c r="I30" s="281"/>
      <c r="J30" s="96"/>
      <c r="K30" s="96"/>
      <c r="L30" s="325" t="s">
        <v>37</v>
      </c>
      <c r="M30" s="326"/>
      <c r="N30" s="326"/>
      <c r="O30" s="326"/>
      <c r="P30" s="326">
        <v>1530</v>
      </c>
      <c r="Q30" s="326"/>
      <c r="R30" s="333">
        <f t="shared" si="2"/>
        <v>1530</v>
      </c>
      <c r="S30" s="97">
        <f t="shared" si="4"/>
        <v>-4.9999999999954525E-2</v>
      </c>
      <c r="T30" s="96"/>
      <c r="U30" s="96"/>
    </row>
    <row r="31" spans="1:21" s="95" customFormat="1" ht="51" x14ac:dyDescent="1.3">
      <c r="C31" s="97"/>
      <c r="D31" s="96"/>
      <c r="F31" s="299"/>
      <c r="G31" s="299"/>
      <c r="H31" s="281">
        <f>H30-G30</f>
        <v>0</v>
      </c>
      <c r="I31" s="281"/>
      <c r="J31" s="300">
        <v>57</v>
      </c>
      <c r="K31" s="300"/>
      <c r="L31" s="327" t="s">
        <v>38</v>
      </c>
      <c r="M31" s="328"/>
      <c r="N31" s="328"/>
      <c r="O31" s="328"/>
      <c r="P31" s="328"/>
      <c r="Q31" s="328"/>
      <c r="R31" s="333">
        <f t="shared" si="2"/>
        <v>0</v>
      </c>
      <c r="S31" s="97">
        <f t="shared" si="4"/>
        <v>0</v>
      </c>
    </row>
    <row r="32" spans="1:21" s="95" customFormat="1" ht="51" x14ac:dyDescent="1.3">
      <c r="B32" s="281"/>
      <c r="C32" s="161"/>
      <c r="D32" s="281">
        <f>H31</f>
        <v>0</v>
      </c>
      <c r="E32" s="282"/>
      <c r="F32" s="282"/>
      <c r="G32" s="282"/>
      <c r="H32" s="281"/>
      <c r="I32" s="300"/>
      <c r="L32" s="329" t="s">
        <v>39</v>
      </c>
      <c r="M32" s="330"/>
      <c r="N32" s="330"/>
      <c r="O32" s="330">
        <v>1720</v>
      </c>
      <c r="P32" s="330"/>
      <c r="Q32" s="330"/>
      <c r="R32" s="333">
        <f t="shared" si="2"/>
        <v>1720</v>
      </c>
      <c r="S32" s="97">
        <f t="shared" si="4"/>
        <v>0</v>
      </c>
    </row>
    <row r="33" spans="2:19" s="95" customFormat="1" ht="40" x14ac:dyDescent="1.05">
      <c r="D33" s="81"/>
      <c r="L33" s="300" t="s">
        <v>74</v>
      </c>
      <c r="M33" s="331">
        <f>SUM(M9:M32)</f>
        <v>52377.189999999995</v>
      </c>
      <c r="N33" s="331">
        <f t="shared" ref="N33:Q33" si="7">SUM(N9:N32)</f>
        <v>0</v>
      </c>
      <c r="O33" s="331">
        <f t="shared" si="7"/>
        <v>3345</v>
      </c>
      <c r="P33" s="331">
        <f>SUM(P9:P32)</f>
        <v>146573.59100090814</v>
      </c>
      <c r="Q33" s="331">
        <f t="shared" si="7"/>
        <v>61138.560867425724</v>
      </c>
      <c r="R33" s="332">
        <f>SUM(R9:R32)</f>
        <v>263434.34186833387</v>
      </c>
      <c r="S33" s="97">
        <f t="shared" si="4"/>
        <v>-9372.5091869569733</v>
      </c>
    </row>
    <row r="34" spans="2:19" s="95" customFormat="1" ht="51" x14ac:dyDescent="1">
      <c r="B34" s="354" t="s">
        <v>65</v>
      </c>
      <c r="C34" s="355" t="s">
        <v>75</v>
      </c>
      <c r="D34" s="355" t="s">
        <v>76</v>
      </c>
      <c r="E34" s="355" t="s">
        <v>71</v>
      </c>
      <c r="L34" s="300"/>
      <c r="M34" s="334">
        <f>M6-M33</f>
        <v>0</v>
      </c>
      <c r="N34" s="334">
        <f t="shared" ref="N34:Q34" si="8">N6-N33</f>
        <v>0</v>
      </c>
      <c r="O34" s="334">
        <f t="shared" si="8"/>
        <v>0</v>
      </c>
      <c r="P34" s="334">
        <f t="shared" si="8"/>
        <v>0</v>
      </c>
      <c r="Q34" s="334">
        <f t="shared" si="8"/>
        <v>0</v>
      </c>
      <c r="R34" s="300"/>
    </row>
    <row r="35" spans="2:19" s="95" customFormat="1" ht="46" x14ac:dyDescent="1">
      <c r="B35" s="356" t="s">
        <v>18</v>
      </c>
      <c r="C35" s="357">
        <f t="shared" ref="C35:C40" si="9">FLAUGUST2024*G35</f>
        <v>0</v>
      </c>
      <c r="D35" s="357">
        <f>C35*0.1</f>
        <v>0</v>
      </c>
      <c r="E35" s="357">
        <f>C35+D35</f>
        <v>0</v>
      </c>
      <c r="F35" s="81">
        <f>Shares!Y4</f>
        <v>27400</v>
      </c>
      <c r="G35" s="353">
        <f>F35/F59</f>
        <v>6.7025440313111542E-2</v>
      </c>
    </row>
    <row r="36" spans="2:19" s="95" customFormat="1" ht="46" x14ac:dyDescent="1">
      <c r="B36" s="356" t="s">
        <v>209</v>
      </c>
      <c r="C36" s="357">
        <f t="shared" si="9"/>
        <v>0</v>
      </c>
      <c r="D36" s="357">
        <f t="shared" ref="D36:D58" si="10">C36*0.1</f>
        <v>0</v>
      </c>
      <c r="E36" s="357">
        <f t="shared" ref="E36:E58" si="11">C36+D36</f>
        <v>0</v>
      </c>
      <c r="F36" s="81">
        <f>Shares!Y5</f>
        <v>49000</v>
      </c>
      <c r="G36" s="353">
        <f>F36/F59</f>
        <v>0.11986301369863013</v>
      </c>
    </row>
    <row r="37" spans="2:19" s="95" customFormat="1" ht="46" x14ac:dyDescent="1">
      <c r="B37" s="358" t="s">
        <v>19</v>
      </c>
      <c r="C37" s="357">
        <f t="shared" si="9"/>
        <v>0</v>
      </c>
      <c r="D37" s="357">
        <f t="shared" si="10"/>
        <v>0</v>
      </c>
      <c r="E37" s="357">
        <f t="shared" si="11"/>
        <v>0</v>
      </c>
      <c r="F37" s="81">
        <f>Shares!Y6</f>
        <v>5800</v>
      </c>
      <c r="G37" s="353">
        <f>F37/F59</f>
        <v>1.4187866927592954E-2</v>
      </c>
    </row>
    <row r="38" spans="2:19" s="95" customFormat="1" ht="46" x14ac:dyDescent="1">
      <c r="B38" s="359" t="s">
        <v>20</v>
      </c>
      <c r="C38" s="357">
        <f t="shared" si="9"/>
        <v>0</v>
      </c>
      <c r="D38" s="357">
        <f t="shared" si="10"/>
        <v>0</v>
      </c>
      <c r="E38" s="357">
        <f t="shared" si="11"/>
        <v>0</v>
      </c>
      <c r="F38" s="81">
        <f>Shares!Y7</f>
        <v>6200</v>
      </c>
      <c r="G38" s="353">
        <f>F38/F59</f>
        <v>1.5166340508806261E-2</v>
      </c>
    </row>
    <row r="39" spans="2:19" s="95" customFormat="1" ht="46" x14ac:dyDescent="1">
      <c r="B39" s="360" t="s">
        <v>21</v>
      </c>
      <c r="C39" s="357">
        <f t="shared" si="9"/>
        <v>0</v>
      </c>
      <c r="D39" s="357">
        <f t="shared" si="10"/>
        <v>0</v>
      </c>
      <c r="E39" s="357">
        <f t="shared" si="11"/>
        <v>0</v>
      </c>
      <c r="F39" s="81">
        <f>Shares!Y8</f>
        <v>10400</v>
      </c>
      <c r="G39" s="353">
        <f>F39/F59</f>
        <v>2.5440313111545987E-2</v>
      </c>
    </row>
    <row r="40" spans="2:19" s="95" customFormat="1" ht="46" x14ac:dyDescent="1">
      <c r="B40" s="359" t="s">
        <v>22</v>
      </c>
      <c r="C40" s="357">
        <f t="shared" si="9"/>
        <v>0</v>
      </c>
      <c r="D40" s="357">
        <f t="shared" si="10"/>
        <v>0</v>
      </c>
      <c r="E40" s="357">
        <f t="shared" si="11"/>
        <v>0</v>
      </c>
      <c r="F40" s="81">
        <f>Shares!Y9</f>
        <v>2200</v>
      </c>
      <c r="G40" s="353">
        <f>F40/F59</f>
        <v>5.3816046966731895E-3</v>
      </c>
    </row>
    <row r="41" spans="2:19" s="95" customFormat="1" ht="46" x14ac:dyDescent="1">
      <c r="B41" s="361" t="s">
        <v>23</v>
      </c>
      <c r="C41" s="357">
        <v>11000</v>
      </c>
      <c r="D41" s="357">
        <f t="shared" si="10"/>
        <v>1100</v>
      </c>
      <c r="E41" s="357">
        <f t="shared" si="11"/>
        <v>12100</v>
      </c>
      <c r="F41" s="81"/>
      <c r="G41" s="353"/>
    </row>
    <row r="42" spans="2:19" s="95" customFormat="1" ht="46" x14ac:dyDescent="1">
      <c r="B42" s="359" t="s">
        <v>24</v>
      </c>
      <c r="C42" s="357">
        <f t="shared" ref="C42:C57" si="12">FLAUGUST2024*G42</f>
        <v>0</v>
      </c>
      <c r="D42" s="357">
        <f t="shared" si="10"/>
        <v>0</v>
      </c>
      <c r="E42" s="357">
        <f t="shared" si="11"/>
        <v>0</v>
      </c>
      <c r="F42" s="81">
        <f>Shares!Y11</f>
        <v>7400</v>
      </c>
      <c r="G42" s="353">
        <f>F42/F59</f>
        <v>1.8101761252446183E-2</v>
      </c>
    </row>
    <row r="43" spans="2:19" s="95" customFormat="1" ht="46" x14ac:dyDescent="1">
      <c r="B43" s="362" t="s">
        <v>25</v>
      </c>
      <c r="C43" s="357">
        <f t="shared" si="12"/>
        <v>0</v>
      </c>
      <c r="D43" s="357">
        <f t="shared" si="10"/>
        <v>0</v>
      </c>
      <c r="E43" s="357">
        <f t="shared" si="11"/>
        <v>0</v>
      </c>
      <c r="F43" s="81">
        <f>Shares!Y12</f>
        <v>5200</v>
      </c>
      <c r="G43" s="353">
        <f>F43/F59</f>
        <v>1.2720156555772993E-2</v>
      </c>
    </row>
    <row r="44" spans="2:19" s="95" customFormat="1" ht="46" x14ac:dyDescent="1">
      <c r="B44" s="363" t="s">
        <v>26</v>
      </c>
      <c r="C44" s="357">
        <f t="shared" si="12"/>
        <v>0</v>
      </c>
      <c r="D44" s="357">
        <f t="shared" si="10"/>
        <v>0</v>
      </c>
      <c r="E44" s="357">
        <f t="shared" si="11"/>
        <v>0</v>
      </c>
      <c r="F44" s="81">
        <f>Shares!Y13</f>
        <v>6600</v>
      </c>
      <c r="G44" s="353">
        <f>F44/F59</f>
        <v>1.6144814090019569E-2</v>
      </c>
    </row>
    <row r="45" spans="2:19" s="95" customFormat="1" ht="46" x14ac:dyDescent="1">
      <c r="B45" s="363" t="s">
        <v>27</v>
      </c>
      <c r="C45" s="357">
        <f t="shared" si="12"/>
        <v>0</v>
      </c>
      <c r="D45" s="357">
        <f t="shared" si="10"/>
        <v>0</v>
      </c>
      <c r="E45" s="357">
        <f t="shared" si="11"/>
        <v>0</v>
      </c>
      <c r="F45" s="81">
        <f>Shares!Y14</f>
        <v>31800</v>
      </c>
      <c r="G45" s="353">
        <f>F45/F59</f>
        <v>7.7788649706457921E-2</v>
      </c>
    </row>
    <row r="46" spans="2:19" s="95" customFormat="1" ht="46" x14ac:dyDescent="1">
      <c r="B46" s="358" t="s">
        <v>28</v>
      </c>
      <c r="C46" s="357">
        <f t="shared" si="12"/>
        <v>0</v>
      </c>
      <c r="D46" s="357">
        <f t="shared" si="10"/>
        <v>0</v>
      </c>
      <c r="E46" s="357">
        <f t="shared" si="11"/>
        <v>0</v>
      </c>
      <c r="F46" s="81">
        <f>Shares!Y15</f>
        <v>3200</v>
      </c>
      <c r="G46" s="353">
        <f>F46/F59</f>
        <v>7.8277886497064575E-3</v>
      </c>
    </row>
    <row r="47" spans="2:19" s="95" customFormat="1" ht="46" x14ac:dyDescent="1">
      <c r="B47" s="358" t="s">
        <v>29</v>
      </c>
      <c r="C47" s="357">
        <f t="shared" si="12"/>
        <v>0</v>
      </c>
      <c r="D47" s="357">
        <f t="shared" si="10"/>
        <v>0</v>
      </c>
      <c r="E47" s="357">
        <f t="shared" si="11"/>
        <v>0</v>
      </c>
      <c r="F47" s="81">
        <f>Shares!Y16</f>
        <v>7600</v>
      </c>
      <c r="G47" s="353">
        <f>F47/F59</f>
        <v>1.8590998043052837E-2</v>
      </c>
    </row>
    <row r="48" spans="2:19" s="95" customFormat="1" ht="46" x14ac:dyDescent="1">
      <c r="B48" s="358" t="s">
        <v>30</v>
      </c>
      <c r="C48" s="357">
        <f t="shared" si="12"/>
        <v>0</v>
      </c>
      <c r="D48" s="357">
        <f t="shared" si="10"/>
        <v>0</v>
      </c>
      <c r="E48" s="357">
        <f t="shared" si="11"/>
        <v>0</v>
      </c>
      <c r="F48" s="81">
        <f>Shares!Y17</f>
        <v>48800</v>
      </c>
      <c r="G48" s="353">
        <f>F48/F59</f>
        <v>0.11937377690802348</v>
      </c>
    </row>
    <row r="49" spans="2:20" s="95" customFormat="1" ht="46" x14ac:dyDescent="1">
      <c r="B49" s="359" t="s">
        <v>31</v>
      </c>
      <c r="C49" s="357">
        <f t="shared" si="12"/>
        <v>0</v>
      </c>
      <c r="D49" s="357">
        <f t="shared" si="10"/>
        <v>0</v>
      </c>
      <c r="E49" s="357">
        <f t="shared" si="11"/>
        <v>0</v>
      </c>
      <c r="F49" s="81">
        <f>Shares!Y18</f>
        <v>3600</v>
      </c>
      <c r="G49" s="353">
        <f>F49/F59</f>
        <v>8.8062622309197647E-3</v>
      </c>
    </row>
    <row r="50" spans="2:20" s="95" customFormat="1" ht="46" x14ac:dyDescent="1">
      <c r="B50" s="359" t="s">
        <v>32</v>
      </c>
      <c r="C50" s="357">
        <f t="shared" si="12"/>
        <v>0</v>
      </c>
      <c r="D50" s="357">
        <f t="shared" si="10"/>
        <v>0</v>
      </c>
      <c r="E50" s="357">
        <f t="shared" si="11"/>
        <v>0</v>
      </c>
      <c r="F50" s="81">
        <f>Shares!Y19</f>
        <v>25200</v>
      </c>
      <c r="G50" s="353">
        <f>F50/F59</f>
        <v>6.1643835616438353E-2</v>
      </c>
    </row>
    <row r="51" spans="2:20" s="95" customFormat="1" ht="46" x14ac:dyDescent="1">
      <c r="B51" s="364" t="s">
        <v>33</v>
      </c>
      <c r="C51" s="357">
        <f t="shared" si="12"/>
        <v>0</v>
      </c>
      <c r="D51" s="357">
        <f t="shared" si="10"/>
        <v>0</v>
      </c>
      <c r="E51" s="357">
        <f t="shared" si="11"/>
        <v>0</v>
      </c>
      <c r="F51" s="81">
        <f>Shares!Y20</f>
        <v>25200</v>
      </c>
      <c r="G51" s="353">
        <f>F51/F59</f>
        <v>6.1643835616438353E-2</v>
      </c>
    </row>
    <row r="52" spans="2:20" s="95" customFormat="1" ht="46" x14ac:dyDescent="1">
      <c r="B52" s="358" t="s">
        <v>34</v>
      </c>
      <c r="C52" s="357">
        <f t="shared" si="12"/>
        <v>0</v>
      </c>
      <c r="D52" s="357">
        <f t="shared" si="10"/>
        <v>0</v>
      </c>
      <c r="E52" s="357">
        <f t="shared" si="11"/>
        <v>0</v>
      </c>
      <c r="F52" s="81">
        <f>Shares!Y21</f>
        <v>27000</v>
      </c>
      <c r="G52" s="353">
        <f>F52/F59</f>
        <v>6.6046966731898235E-2</v>
      </c>
    </row>
    <row r="53" spans="2:20" s="95" customFormat="1" ht="46" x14ac:dyDescent="1">
      <c r="B53" s="358" t="s">
        <v>48</v>
      </c>
      <c r="C53" s="357">
        <f t="shared" si="12"/>
        <v>0</v>
      </c>
      <c r="D53" s="357">
        <f t="shared" si="10"/>
        <v>0</v>
      </c>
      <c r="E53" s="357">
        <f t="shared" si="11"/>
        <v>0</v>
      </c>
      <c r="F53" s="81">
        <f>Shares!Y22</f>
        <v>33800</v>
      </c>
      <c r="G53" s="353">
        <f>F53/F59</f>
        <v>8.2681017612524457E-2</v>
      </c>
    </row>
    <row r="54" spans="2:20" s="95" customFormat="1" ht="46" x14ac:dyDescent="1">
      <c r="B54" s="359" t="s">
        <v>35</v>
      </c>
      <c r="C54" s="357">
        <f t="shared" si="12"/>
        <v>0</v>
      </c>
      <c r="D54" s="357">
        <f t="shared" si="10"/>
        <v>0</v>
      </c>
      <c r="E54" s="357">
        <f t="shared" si="11"/>
        <v>0</v>
      </c>
      <c r="F54" s="81">
        <f>Shares!Y23</f>
        <v>25000</v>
      </c>
      <c r="G54" s="353">
        <f>F54/F59</f>
        <v>6.1154598825831699E-2</v>
      </c>
    </row>
    <row r="55" spans="2:20" s="95" customFormat="1" ht="46" x14ac:dyDescent="1">
      <c r="B55" s="363" t="s">
        <v>36</v>
      </c>
      <c r="C55" s="357">
        <f t="shared" si="12"/>
        <v>0</v>
      </c>
      <c r="D55" s="357">
        <f t="shared" si="10"/>
        <v>0</v>
      </c>
      <c r="E55" s="357">
        <f t="shared" si="11"/>
        <v>0</v>
      </c>
      <c r="F55" s="81">
        <f>Shares!Y24</f>
        <v>14200</v>
      </c>
      <c r="G55" s="353">
        <f>F55/F59</f>
        <v>3.4735812133072405E-2</v>
      </c>
    </row>
    <row r="56" spans="2:20" s="95" customFormat="1" ht="46" x14ac:dyDescent="1">
      <c r="B56" s="363" t="s">
        <v>37</v>
      </c>
      <c r="C56" s="357">
        <f t="shared" si="12"/>
        <v>0</v>
      </c>
      <c r="D56" s="357">
        <f t="shared" si="10"/>
        <v>0</v>
      </c>
      <c r="E56" s="357">
        <f t="shared" si="11"/>
        <v>0</v>
      </c>
      <c r="F56" s="81">
        <f>Shares!Y25</f>
        <v>32200</v>
      </c>
      <c r="G56" s="353">
        <f>F56/F59</f>
        <v>7.8767123287671229E-2</v>
      </c>
    </row>
    <row r="57" spans="2:20" s="95" customFormat="1" ht="46" x14ac:dyDescent="1">
      <c r="B57" s="362" t="s">
        <v>38</v>
      </c>
      <c r="C57" s="357">
        <f t="shared" si="12"/>
        <v>0</v>
      </c>
      <c r="D57" s="357">
        <f t="shared" si="10"/>
        <v>0</v>
      </c>
      <c r="E57" s="357">
        <f t="shared" si="11"/>
        <v>0</v>
      </c>
      <c r="F57" s="81">
        <f>Shares!Y26</f>
        <v>11000</v>
      </c>
      <c r="G57" s="353">
        <f>F57/F59</f>
        <v>2.6908023483365948E-2</v>
      </c>
    </row>
    <row r="58" spans="2:20" s="95" customFormat="1" ht="46" x14ac:dyDescent="1">
      <c r="B58" s="362" t="s">
        <v>39</v>
      </c>
      <c r="C58" s="357">
        <v>15000</v>
      </c>
      <c r="D58" s="357">
        <f t="shared" si="10"/>
        <v>1500</v>
      </c>
      <c r="E58" s="357">
        <f t="shared" si="11"/>
        <v>16500</v>
      </c>
      <c r="F58" s="81"/>
      <c r="G58" s="353">
        <f>F58/F59</f>
        <v>0</v>
      </c>
    </row>
    <row r="59" spans="2:20" s="95" customFormat="1" ht="51" x14ac:dyDescent="1">
      <c r="B59" s="365" t="s">
        <v>74</v>
      </c>
      <c r="C59" s="366">
        <f>SUM(C35:C58)</f>
        <v>26000</v>
      </c>
      <c r="D59" s="366">
        <f>SUM(D35:D58)</f>
        <v>2600</v>
      </c>
      <c r="E59" s="366">
        <f>SUM(E35:E58)</f>
        <v>28600</v>
      </c>
      <c r="F59" s="280">
        <f>SUM(F35:F58)</f>
        <v>408800</v>
      </c>
      <c r="G59" s="280">
        <f>SUM(G35:G58)</f>
        <v>1</v>
      </c>
    </row>
    <row r="60" spans="2:20" ht="26" x14ac:dyDescent="0.6">
      <c r="B60" s="95"/>
      <c r="C60" s="95"/>
      <c r="D60" s="95"/>
      <c r="E60" s="95"/>
      <c r="F60" s="95"/>
      <c r="G60" s="95"/>
      <c r="H60" s="95"/>
      <c r="I60" s="95"/>
      <c r="L60" s="95"/>
      <c r="M60" s="95"/>
      <c r="N60" s="95"/>
      <c r="O60" s="95"/>
      <c r="P60" s="95"/>
      <c r="Q60" s="95"/>
      <c r="R60" s="95"/>
      <c r="S60" s="95"/>
      <c r="T60" s="95"/>
    </row>
    <row r="61" spans="2:20" ht="26" x14ac:dyDescent="0.6">
      <c r="L61" s="95"/>
      <c r="M61" s="95"/>
      <c r="N61" s="95"/>
      <c r="O61" s="95"/>
      <c r="P61" s="95"/>
      <c r="Q61" s="95"/>
      <c r="R61" s="95"/>
      <c r="S61" s="95"/>
    </row>
  </sheetData>
  <autoFilter ref="B5:H32" xr:uid="{616C81CE-94D4-4EE8-82C7-181FA008BADF}"/>
  <conditionalFormatting sqref="K6:K28">
    <cfRule type="cellIs" dxfId="1" priority="1" operator="lessThan">
      <formula>0</formula>
    </cfRule>
  </conditionalFormatting>
  <pageMargins left="0.7" right="0.7" top="0.75" bottom="0.75" header="0.3" footer="0.3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81C6-05F5-4AE6-BA8C-5662B740CA25}">
  <dimension ref="A1:M45"/>
  <sheetViews>
    <sheetView workbookViewId="0">
      <selection activeCell="H2" sqref="H2:L8"/>
    </sheetView>
  </sheetViews>
  <sheetFormatPr defaultRowHeight="14.5" x14ac:dyDescent="0.35"/>
  <cols>
    <col min="1" max="1" width="16.54296875" bestFit="1" customWidth="1"/>
    <col min="2" max="2" width="11" style="46" bestFit="1" customWidth="1"/>
    <col min="3" max="3" width="15.7265625" bestFit="1" customWidth="1"/>
    <col min="4" max="5" width="11" bestFit="1" customWidth="1"/>
    <col min="6" max="6" width="10.08984375" bestFit="1" customWidth="1"/>
    <col min="9" max="10" width="11.1796875" bestFit="1" customWidth="1"/>
    <col min="11" max="11" width="11.1796875" customWidth="1"/>
    <col min="12" max="12" width="11.1796875" bestFit="1" customWidth="1"/>
    <col min="13" max="13" width="10.1796875" bestFit="1" customWidth="1"/>
  </cols>
  <sheetData>
    <row r="1" spans="1:13" ht="17" x14ac:dyDescent="0.45">
      <c r="A1" s="374" t="s">
        <v>72</v>
      </c>
      <c r="B1" s="375" t="s">
        <v>35</v>
      </c>
      <c r="C1" s="375" t="s">
        <v>25</v>
      </c>
      <c r="D1" s="375" t="s">
        <v>29</v>
      </c>
      <c r="E1" s="374" t="s">
        <v>21</v>
      </c>
    </row>
    <row r="2" spans="1:13" ht="17" x14ac:dyDescent="0.45">
      <c r="A2" s="376"/>
      <c r="B2" s="377">
        <v>25280</v>
      </c>
      <c r="C2" s="377">
        <v>20400</v>
      </c>
      <c r="D2" s="377">
        <v>9800</v>
      </c>
      <c r="E2" s="377">
        <f>E29</f>
        <v>23100</v>
      </c>
      <c r="F2" s="45">
        <f>SUM(B2:E2)</f>
        <v>78580</v>
      </c>
      <c r="H2" s="226"/>
      <c r="I2" s="226" t="s">
        <v>81</v>
      </c>
      <c r="J2" s="226" t="s">
        <v>82</v>
      </c>
      <c r="K2" s="226" t="s">
        <v>83</v>
      </c>
      <c r="L2" s="226" t="s">
        <v>71</v>
      </c>
    </row>
    <row r="3" spans="1:13" ht="17" x14ac:dyDescent="0.45">
      <c r="A3" s="378"/>
      <c r="B3" s="379"/>
      <c r="C3" s="379"/>
      <c r="D3" s="379"/>
      <c r="E3" s="379"/>
      <c r="H3" s="11" t="s">
        <v>35</v>
      </c>
      <c r="I3" s="91">
        <f>36280-11000</f>
        <v>25280</v>
      </c>
      <c r="J3" s="91">
        <v>52156.28</v>
      </c>
      <c r="K3" s="91"/>
      <c r="L3" s="225">
        <f>SUM(I3:K3)</f>
        <v>77436.28</v>
      </c>
      <c r="M3" s="45"/>
    </row>
    <row r="4" spans="1:13" ht="17" x14ac:dyDescent="0.45">
      <c r="A4" s="380" t="s">
        <v>73</v>
      </c>
      <c r="B4" s="381"/>
      <c r="C4" s="381"/>
      <c r="D4" s="381"/>
      <c r="E4" s="381"/>
      <c r="H4" s="11" t="s">
        <v>21</v>
      </c>
      <c r="I4" s="91">
        <v>23100</v>
      </c>
      <c r="J4" s="91">
        <v>61138.560867425724</v>
      </c>
      <c r="K4" s="91"/>
      <c r="L4" s="225">
        <f t="shared" ref="L4:L7" si="0">SUM(I4:K4)</f>
        <v>84238.560867425724</v>
      </c>
    </row>
    <row r="5" spans="1:13" ht="17" x14ac:dyDescent="0.45">
      <c r="A5" s="380" t="s">
        <v>18</v>
      </c>
      <c r="B5" s="381"/>
      <c r="C5" s="381"/>
      <c r="D5" s="381"/>
      <c r="E5" s="381">
        <v>17500</v>
      </c>
      <c r="H5" s="11" t="s">
        <v>79</v>
      </c>
      <c r="I5" s="91"/>
      <c r="J5" s="91"/>
      <c r="K5" s="91"/>
      <c r="L5" s="225">
        <f t="shared" si="0"/>
        <v>0</v>
      </c>
    </row>
    <row r="6" spans="1:13" ht="17" x14ac:dyDescent="0.45">
      <c r="A6" s="382" t="s">
        <v>209</v>
      </c>
      <c r="B6" s="383">
        <v>3700</v>
      </c>
      <c r="C6" s="383"/>
      <c r="D6" s="383"/>
      <c r="E6" s="384"/>
      <c r="H6" s="11" t="s">
        <v>36</v>
      </c>
      <c r="I6" s="91"/>
      <c r="J6" s="91">
        <f>146573.591000908+20400</f>
        <v>166973.591000908</v>
      </c>
      <c r="K6" s="91"/>
      <c r="L6" s="225">
        <f t="shared" si="0"/>
        <v>166973.591000908</v>
      </c>
    </row>
    <row r="7" spans="1:13" ht="17" x14ac:dyDescent="0.45">
      <c r="A7" s="378" t="s">
        <v>19</v>
      </c>
      <c r="B7" s="379">
        <v>1580</v>
      </c>
      <c r="C7" s="379"/>
      <c r="D7" s="379"/>
      <c r="E7" s="379"/>
      <c r="H7" s="11" t="s">
        <v>29</v>
      </c>
      <c r="I7" s="91">
        <v>9800</v>
      </c>
      <c r="J7" s="91">
        <v>3345</v>
      </c>
      <c r="K7" s="91"/>
      <c r="L7" s="225">
        <f t="shared" si="0"/>
        <v>13145</v>
      </c>
    </row>
    <row r="8" spans="1:13" ht="17" x14ac:dyDescent="0.45">
      <c r="A8" s="385" t="s">
        <v>20</v>
      </c>
      <c r="B8" s="386">
        <v>5200</v>
      </c>
      <c r="C8" s="386"/>
      <c r="D8" s="386"/>
      <c r="E8" s="386"/>
      <c r="H8" s="225" t="s">
        <v>71</v>
      </c>
      <c r="I8" s="225">
        <f>SUM(I3:I7)</f>
        <v>58180</v>
      </c>
      <c r="J8" s="225">
        <f>SUM(J3:J7)</f>
        <v>283613.43186833372</v>
      </c>
      <c r="K8" s="225"/>
      <c r="L8" s="225">
        <f>SUM(L3:L7)</f>
        <v>341793.43186833372</v>
      </c>
    </row>
    <row r="9" spans="1:13" ht="17" x14ac:dyDescent="0.45">
      <c r="A9" s="374" t="s">
        <v>21</v>
      </c>
      <c r="B9" s="387"/>
      <c r="C9" s="387"/>
      <c r="D9" s="387"/>
      <c r="E9" s="387">
        <v>1300</v>
      </c>
    </row>
    <row r="10" spans="1:13" ht="17" x14ac:dyDescent="0.45">
      <c r="A10" s="388" t="s">
        <v>22</v>
      </c>
      <c r="B10" s="384"/>
      <c r="C10" s="384"/>
      <c r="D10" s="384">
        <v>200</v>
      </c>
      <c r="E10" s="384"/>
    </row>
    <row r="11" spans="1:13" ht="17" x14ac:dyDescent="0.45">
      <c r="A11" s="389" t="s">
        <v>23</v>
      </c>
      <c r="B11" s="390"/>
      <c r="C11" s="390"/>
      <c r="D11" s="390"/>
      <c r="E11" s="390"/>
    </row>
    <row r="12" spans="1:13" ht="17" x14ac:dyDescent="0.45">
      <c r="A12" s="376" t="s">
        <v>24</v>
      </c>
      <c r="B12" s="377"/>
      <c r="C12" s="377"/>
      <c r="D12" s="377"/>
      <c r="E12" s="377">
        <v>3100</v>
      </c>
    </row>
    <row r="13" spans="1:13" ht="17" x14ac:dyDescent="0.45">
      <c r="A13" s="391" t="s">
        <v>25</v>
      </c>
      <c r="B13" s="392"/>
      <c r="C13" s="392">
        <v>10200</v>
      </c>
      <c r="D13" s="392"/>
      <c r="E13" s="392"/>
    </row>
    <row r="14" spans="1:13" ht="17" x14ac:dyDescent="0.45">
      <c r="A14" s="393" t="s">
        <v>26</v>
      </c>
      <c r="B14" s="394">
        <v>5200</v>
      </c>
      <c r="C14" s="394"/>
      <c r="D14" s="394"/>
      <c r="E14" s="394"/>
    </row>
    <row r="15" spans="1:13" ht="17" x14ac:dyDescent="0.45">
      <c r="A15" s="393" t="s">
        <v>27</v>
      </c>
      <c r="B15" s="394"/>
      <c r="C15" s="394"/>
      <c r="D15" s="394">
        <v>5200</v>
      </c>
      <c r="E15" s="394"/>
    </row>
    <row r="16" spans="1:13" ht="17" x14ac:dyDescent="0.45">
      <c r="A16" s="388" t="s">
        <v>28</v>
      </c>
      <c r="B16" s="384">
        <v>700</v>
      </c>
      <c r="C16" s="384"/>
      <c r="D16" s="384"/>
      <c r="E16" s="384"/>
    </row>
    <row r="17" spans="1:5" ht="17" x14ac:dyDescent="0.45">
      <c r="A17" s="395" t="s">
        <v>29</v>
      </c>
      <c r="B17" s="396"/>
      <c r="C17" s="396"/>
      <c r="D17" s="396">
        <v>3200</v>
      </c>
      <c r="E17" s="396"/>
    </row>
    <row r="18" spans="1:5" ht="17" x14ac:dyDescent="0.45">
      <c r="A18" s="376" t="s">
        <v>30</v>
      </c>
      <c r="B18" s="377"/>
      <c r="C18" s="377"/>
      <c r="D18" s="377">
        <v>200</v>
      </c>
      <c r="E18" s="377"/>
    </row>
    <row r="19" spans="1:5" ht="17" x14ac:dyDescent="0.45">
      <c r="A19" s="376" t="s">
        <v>31</v>
      </c>
      <c r="B19" s="377">
        <v>2700</v>
      </c>
      <c r="C19" s="377"/>
      <c r="D19" s="377"/>
      <c r="E19" s="377"/>
    </row>
    <row r="20" spans="1:5" ht="17" x14ac:dyDescent="0.45">
      <c r="A20" s="376" t="s">
        <v>32</v>
      </c>
      <c r="B20" s="377">
        <v>5000</v>
      </c>
      <c r="C20" s="377"/>
      <c r="D20" s="377"/>
      <c r="E20" s="377"/>
    </row>
    <row r="21" spans="1:5" ht="17" x14ac:dyDescent="0.45">
      <c r="A21" s="388" t="s">
        <v>33</v>
      </c>
      <c r="B21" s="384"/>
      <c r="C21" s="384"/>
      <c r="D21" s="384">
        <v>1000</v>
      </c>
      <c r="E21" s="384"/>
    </row>
    <row r="22" spans="1:5" ht="17" x14ac:dyDescent="0.45">
      <c r="A22" s="388" t="s">
        <v>34</v>
      </c>
      <c r="B22" s="384"/>
      <c r="C22" s="384">
        <v>4300</v>
      </c>
      <c r="D22" s="384"/>
      <c r="E22" s="384"/>
    </row>
    <row r="23" spans="1:5" ht="17" x14ac:dyDescent="0.45">
      <c r="A23" s="397" t="s">
        <v>48</v>
      </c>
      <c r="B23" s="398"/>
      <c r="C23" s="398"/>
      <c r="D23" s="398"/>
      <c r="E23" s="398">
        <v>1200</v>
      </c>
    </row>
    <row r="24" spans="1:5" ht="17" x14ac:dyDescent="0.45">
      <c r="A24" s="397" t="s">
        <v>35</v>
      </c>
      <c r="B24" s="398"/>
      <c r="C24" s="398">
        <v>1200</v>
      </c>
      <c r="D24" s="398"/>
      <c r="E24" s="398"/>
    </row>
    <row r="25" spans="1:5" ht="17" x14ac:dyDescent="0.45">
      <c r="A25" s="397" t="s">
        <v>36</v>
      </c>
      <c r="B25" s="398"/>
      <c r="C25" s="398">
        <v>3200</v>
      </c>
      <c r="D25" s="398"/>
      <c r="E25" s="398"/>
    </row>
    <row r="26" spans="1:5" ht="17" x14ac:dyDescent="0.45">
      <c r="A26" s="397" t="s">
        <v>37</v>
      </c>
      <c r="B26" s="398">
        <v>1200</v>
      </c>
      <c r="C26" s="398"/>
      <c r="D26" s="398"/>
      <c r="E26" s="398"/>
    </row>
    <row r="27" spans="1:5" ht="17" x14ac:dyDescent="0.45">
      <c r="A27" s="399" t="s">
        <v>38</v>
      </c>
      <c r="B27" s="400"/>
      <c r="C27" s="400">
        <v>1500</v>
      </c>
      <c r="D27" s="400"/>
      <c r="E27" s="400"/>
    </row>
    <row r="28" spans="1:5" ht="17" x14ac:dyDescent="0.45">
      <c r="A28" s="401" t="s">
        <v>39</v>
      </c>
      <c r="B28" s="402"/>
      <c r="C28" s="402"/>
      <c r="D28" s="402"/>
      <c r="E28" s="402"/>
    </row>
    <row r="29" spans="1:5" ht="17" x14ac:dyDescent="0.45">
      <c r="A29" s="403" t="s">
        <v>74</v>
      </c>
      <c r="B29" s="404">
        <f>SUM(B5:B28)</f>
        <v>25280</v>
      </c>
      <c r="C29" s="404">
        <f t="shared" ref="C29:E29" si="1">SUM(C5:C28)</f>
        <v>20400</v>
      </c>
      <c r="D29" s="404">
        <f t="shared" si="1"/>
        <v>9800</v>
      </c>
      <c r="E29" s="404">
        <f t="shared" si="1"/>
        <v>23100</v>
      </c>
    </row>
    <row r="30" spans="1:5" x14ac:dyDescent="0.35">
      <c r="A30" t="s">
        <v>31</v>
      </c>
      <c r="B30" s="46">
        <v>1200</v>
      </c>
    </row>
    <row r="31" spans="1:5" x14ac:dyDescent="0.35">
      <c r="A31" t="s">
        <v>78</v>
      </c>
      <c r="B31" s="46">
        <v>7500</v>
      </c>
      <c r="D31" s="415" t="s">
        <v>82</v>
      </c>
      <c r="E31" s="415"/>
    </row>
    <row r="32" spans="1:5" x14ac:dyDescent="0.35">
      <c r="A32" t="s">
        <v>25</v>
      </c>
      <c r="B32" s="46" t="e">
        <f>#REF!</f>
        <v>#REF!</v>
      </c>
      <c r="D32" t="s">
        <v>77</v>
      </c>
      <c r="E32" s="46">
        <v>4000</v>
      </c>
    </row>
    <row r="33" spans="1:5" x14ac:dyDescent="0.35">
      <c r="D33" t="s">
        <v>21</v>
      </c>
      <c r="E33" s="46">
        <v>14000</v>
      </c>
    </row>
    <row r="34" spans="1:5" x14ac:dyDescent="0.35">
      <c r="A34" s="47" t="s">
        <v>71</v>
      </c>
      <c r="B34" s="162" t="e">
        <f>SUM(B29:B33)</f>
        <v>#REF!</v>
      </c>
      <c r="D34" t="s">
        <v>26</v>
      </c>
      <c r="E34" s="46">
        <v>164</v>
      </c>
    </row>
    <row r="35" spans="1:5" x14ac:dyDescent="0.35">
      <c r="D35" t="s">
        <v>56</v>
      </c>
      <c r="E35" s="46">
        <v>388</v>
      </c>
    </row>
    <row r="36" spans="1:5" x14ac:dyDescent="0.35">
      <c r="D36" t="s">
        <v>32</v>
      </c>
      <c r="E36" s="46">
        <v>754</v>
      </c>
    </row>
    <row r="37" spans="1:5" x14ac:dyDescent="0.35">
      <c r="A37" s="223" t="s">
        <v>86</v>
      </c>
      <c r="B37" s="224" t="e">
        <f>SUM(B6,B15,B25,B34)</f>
        <v>#REF!</v>
      </c>
      <c r="D37" t="s">
        <v>33</v>
      </c>
      <c r="E37" s="46">
        <v>395</v>
      </c>
    </row>
    <row r="38" spans="1:5" x14ac:dyDescent="0.35">
      <c r="D38" t="s">
        <v>34</v>
      </c>
      <c r="E38" s="46">
        <v>1000</v>
      </c>
    </row>
    <row r="39" spans="1:5" x14ac:dyDescent="0.35">
      <c r="D39" t="s">
        <v>39</v>
      </c>
      <c r="E39" s="46">
        <v>223</v>
      </c>
    </row>
    <row r="40" spans="1:5" x14ac:dyDescent="0.35">
      <c r="E40" s="46">
        <v>10000</v>
      </c>
    </row>
    <row r="41" spans="1:5" x14ac:dyDescent="0.35">
      <c r="D41" t="s">
        <v>40</v>
      </c>
      <c r="E41" s="46">
        <v>62</v>
      </c>
    </row>
    <row r="42" spans="1:5" x14ac:dyDescent="0.35">
      <c r="D42" s="47" t="s">
        <v>71</v>
      </c>
      <c r="E42" s="10">
        <f>SUM(E32:E41)</f>
        <v>30986</v>
      </c>
    </row>
    <row r="45" spans="1:5" x14ac:dyDescent="0.35">
      <c r="D45" s="223" t="s">
        <v>86</v>
      </c>
      <c r="E45" s="224">
        <f>SUM(E9,E28,E42)</f>
        <v>32286</v>
      </c>
    </row>
  </sheetData>
  <mergeCells count="1">
    <mergeCell ref="D31:E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2E8A-7E39-4ED6-9898-457A2D48745D}">
  <sheetPr>
    <tabColor rgb="FF00B0F0"/>
    <pageSetUpPr fitToPage="1"/>
  </sheetPr>
  <dimension ref="B1:DD33"/>
  <sheetViews>
    <sheetView topLeftCell="G1" zoomScale="65" zoomScaleNormal="65" workbookViewId="0">
      <pane xSplit="2" ySplit="5" topLeftCell="CD22" activePane="bottomRight" state="frozen"/>
      <selection pane="topRight" activeCell="I1" sqref="I1"/>
      <selection pane="bottomLeft" activeCell="G6" sqref="G6"/>
      <selection pane="bottomRight" activeCell="CH26" sqref="CH26"/>
    </sheetView>
  </sheetViews>
  <sheetFormatPr defaultColWidth="12.54296875" defaultRowHeight="15.5" x14ac:dyDescent="0.35"/>
  <cols>
    <col min="1" max="1" width="0" style="114" hidden="1" customWidth="1"/>
    <col min="2" max="2" width="6.7265625" style="114" bestFit="1" customWidth="1"/>
    <col min="3" max="4" width="11.1796875" style="114" bestFit="1" customWidth="1"/>
    <col min="5" max="5" width="15" style="114" bestFit="1" customWidth="1"/>
    <col min="6" max="7" width="6.81640625" style="114" customWidth="1"/>
    <col min="8" max="8" width="30.26953125" style="114" customWidth="1"/>
    <col min="9" max="9" width="12.54296875" style="114" customWidth="1"/>
    <col min="10" max="10" width="12.54296875" style="116" customWidth="1"/>
    <col min="11" max="11" width="13.7265625" style="114" bestFit="1" customWidth="1"/>
    <col min="12" max="13" width="12.54296875" style="114" customWidth="1"/>
    <col min="14" max="15" width="13.7265625" style="114" bestFit="1" customWidth="1"/>
    <col min="16" max="16" width="12.54296875" style="114" customWidth="1"/>
    <col min="17" max="17" width="13.7265625" style="114" bestFit="1" customWidth="1"/>
    <col min="18" max="21" width="12.54296875" style="114" customWidth="1"/>
    <col min="22" max="23" width="13.7265625" style="114" bestFit="1" customWidth="1"/>
    <col min="24" max="24" width="12.54296875" style="114" customWidth="1"/>
    <col min="25" max="25" width="13.7265625" style="114" bestFit="1" customWidth="1"/>
    <col min="26" max="26" width="13.54296875" style="114" bestFit="1" customWidth="1"/>
    <col min="27" max="27" width="13.7265625" style="114" bestFit="1" customWidth="1"/>
    <col min="28" max="29" width="12.54296875" style="114" customWidth="1"/>
    <col min="30" max="31" width="13.7265625" style="114" bestFit="1" customWidth="1"/>
    <col min="32" max="32" width="12.54296875" style="114"/>
    <col min="33" max="33" width="13.7265625" style="114" bestFit="1" customWidth="1"/>
    <col min="34" max="34" width="13.54296875" style="114" bestFit="1" customWidth="1"/>
    <col min="35" max="35" width="13.7265625" style="114" bestFit="1" customWidth="1"/>
    <col min="36" max="37" width="12.54296875" style="114"/>
    <col min="38" max="39" width="13.7265625" style="114" bestFit="1" customWidth="1"/>
    <col min="40" max="40" width="12.54296875" style="114"/>
    <col min="41" max="41" width="13.7265625" style="114" bestFit="1" customWidth="1"/>
    <col min="42" max="42" width="13.54296875" style="114" bestFit="1" customWidth="1"/>
    <col min="43" max="43" width="13.7265625" style="114" bestFit="1" customWidth="1"/>
    <col min="44" max="45" width="12.54296875" style="114"/>
    <col min="46" max="47" width="13.7265625" style="114" bestFit="1" customWidth="1"/>
    <col min="48" max="48" width="12.54296875" style="114"/>
    <col min="49" max="49" width="13.7265625" style="114" bestFit="1" customWidth="1"/>
    <col min="50" max="50" width="12.54296875" style="114"/>
    <col min="51" max="51" width="13.7265625" style="114" bestFit="1" customWidth="1"/>
    <col min="52" max="53" width="12.54296875" style="114"/>
    <col min="54" max="55" width="13.7265625" style="114" bestFit="1" customWidth="1"/>
    <col min="56" max="56" width="12.54296875" style="114"/>
    <col min="57" max="57" width="13.7265625" style="114" bestFit="1" customWidth="1"/>
    <col min="58" max="58" width="12.54296875" style="114"/>
    <col min="59" max="59" width="13.7265625" style="114" bestFit="1" customWidth="1"/>
    <col min="60" max="61" width="12.54296875" style="114"/>
    <col min="62" max="63" width="13.7265625" style="114" bestFit="1" customWidth="1"/>
    <col min="64" max="64" width="12.54296875" style="114"/>
    <col min="65" max="67" width="13.7265625" style="114" bestFit="1" customWidth="1"/>
    <col min="68" max="70" width="12.54296875" style="114"/>
    <col min="71" max="72" width="13.7265625" style="114" bestFit="1" customWidth="1"/>
    <col min="73" max="73" width="12.54296875" style="114"/>
    <col min="74" max="74" width="13.7265625" style="114" bestFit="1" customWidth="1"/>
    <col min="75" max="75" width="12.54296875" style="114"/>
    <col min="76" max="76" width="13.7265625" style="114" bestFit="1" customWidth="1"/>
    <col min="77" max="79" width="12.54296875" style="114"/>
    <col min="80" max="81" width="13.7265625" style="114" bestFit="1" customWidth="1"/>
    <col min="82" max="82" width="12.54296875" style="114"/>
    <col min="83" max="84" width="13.7265625" style="114" bestFit="1" customWidth="1"/>
    <col min="85" max="89" width="12.54296875" style="114"/>
    <col min="90" max="91" width="13.7265625" style="114" bestFit="1" customWidth="1"/>
    <col min="92" max="92" width="12.54296875" style="114"/>
    <col min="93" max="93" width="13.7265625" style="114" bestFit="1" customWidth="1"/>
    <col min="94" max="98" width="12.54296875" style="114"/>
    <col min="99" max="100" width="13.7265625" style="114" bestFit="1" customWidth="1"/>
    <col min="101" max="101" width="12.54296875" style="114"/>
    <col min="102" max="102" width="13.7265625" style="114" bestFit="1" customWidth="1"/>
    <col min="103" max="106" width="12.54296875" style="114"/>
    <col min="107" max="108" width="13.7265625" style="114" bestFit="1" customWidth="1"/>
    <col min="109" max="16384" width="12.54296875" style="114"/>
  </cols>
  <sheetData>
    <row r="1" spans="2:108" ht="21" x14ac:dyDescent="0.5">
      <c r="H1" s="115" t="s">
        <v>98</v>
      </c>
    </row>
    <row r="2" spans="2:108" x14ac:dyDescent="0.35">
      <c r="H2" s="117" t="s">
        <v>99</v>
      </c>
    </row>
    <row r="3" spans="2:108" ht="16" thickBot="1" x14ac:dyDescent="0.4">
      <c r="H3" s="114">
        <v>1</v>
      </c>
      <c r="I3" s="114">
        <v>2</v>
      </c>
      <c r="J3" s="114">
        <v>3</v>
      </c>
      <c r="K3" s="114">
        <v>4</v>
      </c>
      <c r="L3" s="114">
        <v>5</v>
      </c>
      <c r="M3" s="114">
        <v>6</v>
      </c>
      <c r="N3" s="114">
        <v>7</v>
      </c>
      <c r="O3" s="114">
        <v>8</v>
      </c>
      <c r="P3" s="114">
        <v>9</v>
      </c>
      <c r="Q3" s="114">
        <v>10</v>
      </c>
      <c r="R3" s="114">
        <v>11</v>
      </c>
      <c r="S3" s="114">
        <v>12</v>
      </c>
      <c r="T3" s="114">
        <v>13</v>
      </c>
      <c r="U3" s="114">
        <v>14</v>
      </c>
      <c r="V3" s="114">
        <v>15</v>
      </c>
      <c r="W3" s="114">
        <v>16</v>
      </c>
      <c r="X3" s="114">
        <v>17</v>
      </c>
      <c r="Y3" s="114">
        <v>18</v>
      </c>
      <c r="Z3" s="114">
        <v>19</v>
      </c>
      <c r="AA3" s="114">
        <v>20</v>
      </c>
      <c r="AB3" s="114">
        <v>21</v>
      </c>
      <c r="AC3" s="114">
        <v>22</v>
      </c>
      <c r="AD3" s="114">
        <v>23</v>
      </c>
      <c r="AE3" s="114">
        <v>24</v>
      </c>
      <c r="AF3" s="114">
        <v>25</v>
      </c>
      <c r="AG3" s="114">
        <v>26</v>
      </c>
      <c r="AH3" s="114">
        <v>27</v>
      </c>
      <c r="AI3" s="114">
        <v>28</v>
      </c>
      <c r="AJ3" s="114">
        <v>29</v>
      </c>
      <c r="AK3" s="114">
        <v>30</v>
      </c>
      <c r="AL3" s="114">
        <v>31</v>
      </c>
      <c r="AM3" s="114">
        <v>32</v>
      </c>
      <c r="AN3" s="114">
        <v>33</v>
      </c>
      <c r="AO3" s="114">
        <v>34</v>
      </c>
      <c r="AP3" s="114">
        <v>35</v>
      </c>
      <c r="AQ3" s="114">
        <v>36</v>
      </c>
      <c r="AR3" s="114">
        <v>37</v>
      </c>
      <c r="AS3" s="114">
        <v>38</v>
      </c>
      <c r="AT3" s="114">
        <v>39</v>
      </c>
      <c r="AU3" s="114">
        <v>40</v>
      </c>
      <c r="AV3" s="114">
        <v>41</v>
      </c>
      <c r="AW3" s="114">
        <v>42</v>
      </c>
      <c r="AX3" s="114">
        <v>43</v>
      </c>
      <c r="AY3" s="114">
        <v>44</v>
      </c>
      <c r="AZ3" s="114">
        <v>45</v>
      </c>
      <c r="BA3" s="114">
        <v>46</v>
      </c>
      <c r="BB3" s="114">
        <v>47</v>
      </c>
      <c r="BC3" s="114">
        <v>48</v>
      </c>
      <c r="BD3" s="114">
        <v>49</v>
      </c>
      <c r="BE3" s="114">
        <v>50</v>
      </c>
      <c r="BF3" s="114">
        <v>51</v>
      </c>
      <c r="BG3" s="114">
        <v>52</v>
      </c>
      <c r="BH3" s="114">
        <v>53</v>
      </c>
      <c r="BI3" s="114">
        <v>54</v>
      </c>
      <c r="BJ3" s="114">
        <v>55</v>
      </c>
      <c r="BK3" s="114">
        <v>56</v>
      </c>
      <c r="BL3" s="114">
        <v>57</v>
      </c>
      <c r="BM3" s="114">
        <v>58</v>
      </c>
      <c r="BN3" s="114">
        <v>59</v>
      </c>
      <c r="BO3" s="114">
        <v>60</v>
      </c>
      <c r="BP3" s="114">
        <v>61</v>
      </c>
      <c r="BQ3" s="114">
        <v>62</v>
      </c>
      <c r="BS3" s="114">
        <v>63</v>
      </c>
      <c r="BT3" s="114">
        <v>64</v>
      </c>
      <c r="BU3" s="114">
        <v>65</v>
      </c>
      <c r="BV3" s="114">
        <v>66</v>
      </c>
      <c r="BW3" s="114">
        <v>67</v>
      </c>
      <c r="BX3" s="114">
        <v>68</v>
      </c>
      <c r="BY3" s="114">
        <v>69</v>
      </c>
      <c r="BZ3" s="114">
        <v>70</v>
      </c>
      <c r="CB3" s="114">
        <v>71</v>
      </c>
      <c r="CC3" s="114">
        <v>72</v>
      </c>
      <c r="CD3" s="114">
        <v>73</v>
      </c>
      <c r="CE3" s="114">
        <v>74</v>
      </c>
      <c r="CF3" s="114">
        <v>75</v>
      </c>
      <c r="CG3" s="114">
        <v>76</v>
      </c>
      <c r="CI3" s="114">
        <v>77</v>
      </c>
      <c r="CJ3" s="114">
        <v>78</v>
      </c>
      <c r="CL3" s="114">
        <v>79</v>
      </c>
      <c r="CM3" s="114">
        <v>80</v>
      </c>
      <c r="CN3" s="114">
        <v>81</v>
      </c>
      <c r="CO3" s="114">
        <v>82</v>
      </c>
      <c r="CP3" s="114">
        <v>83</v>
      </c>
      <c r="CQ3" s="114">
        <v>84</v>
      </c>
      <c r="CR3" s="114">
        <v>85</v>
      </c>
      <c r="CS3" s="114">
        <v>86</v>
      </c>
      <c r="CU3" s="114">
        <v>87</v>
      </c>
      <c r="CV3" s="114">
        <v>88</v>
      </c>
      <c r="CW3" s="114">
        <v>89</v>
      </c>
      <c r="CX3" s="114">
        <v>90</v>
      </c>
      <c r="CY3" s="114">
        <v>91</v>
      </c>
      <c r="CZ3" s="114">
        <v>92</v>
      </c>
      <c r="DA3" s="114">
        <v>93</v>
      </c>
      <c r="DB3" s="114">
        <v>94</v>
      </c>
      <c r="DC3" s="114">
        <v>95</v>
      </c>
    </row>
    <row r="4" spans="2:108" ht="16" thickBot="1" x14ac:dyDescent="0.4">
      <c r="H4" s="118"/>
      <c r="I4" s="416" t="s">
        <v>1</v>
      </c>
      <c r="J4" s="417"/>
      <c r="K4" s="417"/>
      <c r="L4" s="417"/>
      <c r="M4" s="417"/>
      <c r="N4" s="417"/>
      <c r="O4" s="418"/>
      <c r="P4" s="119"/>
      <c r="Q4" s="416" t="s">
        <v>2</v>
      </c>
      <c r="R4" s="417"/>
      <c r="S4" s="417"/>
      <c r="T4" s="417"/>
      <c r="U4" s="417"/>
      <c r="V4" s="417"/>
      <c r="W4" s="418"/>
      <c r="X4" s="120"/>
      <c r="Y4" s="416" t="s">
        <v>3</v>
      </c>
      <c r="Z4" s="417"/>
      <c r="AA4" s="417"/>
      <c r="AB4" s="417"/>
      <c r="AC4" s="417"/>
      <c r="AD4" s="417"/>
      <c r="AE4" s="418"/>
      <c r="AG4" s="416" t="s">
        <v>100</v>
      </c>
      <c r="AH4" s="417"/>
      <c r="AI4" s="417"/>
      <c r="AJ4" s="417"/>
      <c r="AK4" s="417"/>
      <c r="AL4" s="417"/>
      <c r="AM4" s="418"/>
      <c r="AO4" s="416" t="s">
        <v>5</v>
      </c>
      <c r="AP4" s="417"/>
      <c r="AQ4" s="417"/>
      <c r="AR4" s="417"/>
      <c r="AS4" s="417"/>
      <c r="AT4" s="417"/>
      <c r="AU4" s="418"/>
      <c r="AW4" s="416" t="s">
        <v>6</v>
      </c>
      <c r="AX4" s="417"/>
      <c r="AY4" s="417"/>
      <c r="AZ4" s="417"/>
      <c r="BA4" s="417"/>
      <c r="BB4" s="417"/>
      <c r="BC4" s="418"/>
      <c r="BE4" s="416" t="s">
        <v>7</v>
      </c>
      <c r="BF4" s="417"/>
      <c r="BG4" s="417"/>
      <c r="BH4" s="417"/>
      <c r="BI4" s="417"/>
      <c r="BJ4" s="417"/>
      <c r="BK4" s="418"/>
      <c r="BM4" s="416" t="s">
        <v>8</v>
      </c>
      <c r="BN4" s="417"/>
      <c r="BO4" s="417"/>
      <c r="BP4" s="417"/>
      <c r="BQ4" s="417"/>
      <c r="BR4" s="417"/>
      <c r="BS4" s="417"/>
      <c r="BT4" s="418"/>
      <c r="BV4" s="416" t="s">
        <v>9</v>
      </c>
      <c r="BW4" s="417"/>
      <c r="BX4" s="417"/>
      <c r="BY4" s="417"/>
      <c r="BZ4" s="417"/>
      <c r="CA4" s="417"/>
      <c r="CB4" s="417"/>
      <c r="CC4" s="418"/>
      <c r="CE4" s="419" t="s">
        <v>10</v>
      </c>
      <c r="CF4" s="420"/>
      <c r="CG4" s="420"/>
      <c r="CH4" s="420"/>
      <c r="CI4" s="420"/>
      <c r="CJ4" s="420"/>
      <c r="CK4" s="420"/>
      <c r="CL4" s="420"/>
      <c r="CM4" s="421"/>
      <c r="CO4" s="416" t="s">
        <v>101</v>
      </c>
      <c r="CP4" s="417"/>
      <c r="CQ4" s="417"/>
      <c r="CR4" s="417"/>
      <c r="CS4" s="417"/>
      <c r="CT4" s="417"/>
      <c r="CU4" s="417"/>
      <c r="CV4" s="418"/>
      <c r="CX4" s="416" t="s">
        <v>102</v>
      </c>
      <c r="CY4" s="417"/>
      <c r="CZ4" s="417"/>
      <c r="DA4" s="417"/>
      <c r="DB4" s="417"/>
      <c r="DC4" s="417"/>
      <c r="DD4" s="418"/>
    </row>
    <row r="5" spans="2:108" ht="31.5" thickBot="1" x14ac:dyDescent="0.4">
      <c r="B5" s="121" t="s">
        <v>103</v>
      </c>
      <c r="C5" s="121" t="s">
        <v>104</v>
      </c>
      <c r="D5" s="121" t="s">
        <v>105</v>
      </c>
      <c r="E5" s="121" t="s">
        <v>106</v>
      </c>
      <c r="H5" s="122" t="s">
        <v>107</v>
      </c>
      <c r="I5" s="123" t="s">
        <v>108</v>
      </c>
      <c r="J5" s="124" t="s">
        <v>109</v>
      </c>
      <c r="K5" s="125" t="s">
        <v>104</v>
      </c>
      <c r="L5" s="126" t="s">
        <v>110</v>
      </c>
      <c r="M5" s="125" t="s">
        <v>111</v>
      </c>
      <c r="N5" s="124" t="s">
        <v>112</v>
      </c>
      <c r="O5" s="127" t="s">
        <v>106</v>
      </c>
      <c r="P5" s="128"/>
      <c r="Q5" s="123" t="s">
        <v>108</v>
      </c>
      <c r="R5" s="129" t="s">
        <v>109</v>
      </c>
      <c r="S5" s="130" t="s">
        <v>104</v>
      </c>
      <c r="T5" s="131" t="s">
        <v>110</v>
      </c>
      <c r="U5" s="130" t="s">
        <v>111</v>
      </c>
      <c r="V5" s="129" t="s">
        <v>112</v>
      </c>
      <c r="W5" s="132" t="s">
        <v>106</v>
      </c>
      <c r="X5" s="120"/>
      <c r="Y5" s="123" t="s">
        <v>108</v>
      </c>
      <c r="Z5" s="129" t="s">
        <v>109</v>
      </c>
      <c r="AA5" s="130" t="s">
        <v>104</v>
      </c>
      <c r="AB5" s="131" t="s">
        <v>110</v>
      </c>
      <c r="AC5" s="130" t="s">
        <v>111</v>
      </c>
      <c r="AD5" s="129" t="s">
        <v>112</v>
      </c>
      <c r="AE5" s="132" t="s">
        <v>106</v>
      </c>
      <c r="AG5" s="123" t="s">
        <v>108</v>
      </c>
      <c r="AH5" s="129" t="s">
        <v>109</v>
      </c>
      <c r="AI5" s="130" t="s">
        <v>104</v>
      </c>
      <c r="AJ5" s="131" t="s">
        <v>110</v>
      </c>
      <c r="AK5" s="130" t="s">
        <v>111</v>
      </c>
      <c r="AL5" s="129" t="s">
        <v>112</v>
      </c>
      <c r="AM5" s="132" t="s">
        <v>106</v>
      </c>
      <c r="AO5" s="123" t="s">
        <v>108</v>
      </c>
      <c r="AP5" s="129" t="s">
        <v>109</v>
      </c>
      <c r="AQ5" s="130" t="s">
        <v>104</v>
      </c>
      <c r="AR5" s="131" t="s">
        <v>110</v>
      </c>
      <c r="AS5" s="130" t="s">
        <v>111</v>
      </c>
      <c r="AT5" s="129" t="s">
        <v>112</v>
      </c>
      <c r="AU5" s="132" t="s">
        <v>106</v>
      </c>
      <c r="AW5" s="123" t="s">
        <v>108</v>
      </c>
      <c r="AX5" s="129" t="s">
        <v>109</v>
      </c>
      <c r="AY5" s="130" t="s">
        <v>104</v>
      </c>
      <c r="AZ5" s="131" t="s">
        <v>110</v>
      </c>
      <c r="BA5" s="130" t="s">
        <v>111</v>
      </c>
      <c r="BB5" s="129" t="s">
        <v>112</v>
      </c>
      <c r="BC5" s="132" t="s">
        <v>106</v>
      </c>
      <c r="BE5" s="123" t="s">
        <v>108</v>
      </c>
      <c r="BF5" s="129" t="s">
        <v>109</v>
      </c>
      <c r="BG5" s="130" t="s">
        <v>104</v>
      </c>
      <c r="BH5" s="131" t="s">
        <v>110</v>
      </c>
      <c r="BI5" s="130" t="s">
        <v>111</v>
      </c>
      <c r="BJ5" s="129" t="s">
        <v>112</v>
      </c>
      <c r="BK5" s="132" t="s">
        <v>106</v>
      </c>
      <c r="BM5" s="123" t="s">
        <v>108</v>
      </c>
      <c r="BN5" s="129" t="s">
        <v>109</v>
      </c>
      <c r="BO5" s="130" t="s">
        <v>104</v>
      </c>
      <c r="BP5" s="131" t="s">
        <v>110</v>
      </c>
      <c r="BQ5" s="130" t="s">
        <v>111</v>
      </c>
      <c r="BR5" s="130" t="s">
        <v>113</v>
      </c>
      <c r="BS5" s="129" t="s">
        <v>112</v>
      </c>
      <c r="BT5" s="132" t="s">
        <v>106</v>
      </c>
      <c r="BV5" s="123" t="s">
        <v>108</v>
      </c>
      <c r="BW5" s="129" t="s">
        <v>109</v>
      </c>
      <c r="BX5" s="130" t="s">
        <v>104</v>
      </c>
      <c r="BY5" s="131" t="s">
        <v>110</v>
      </c>
      <c r="BZ5" s="130" t="s">
        <v>111</v>
      </c>
      <c r="CA5" s="130" t="s">
        <v>113</v>
      </c>
      <c r="CB5" s="129" t="s">
        <v>112</v>
      </c>
      <c r="CC5" s="132" t="s">
        <v>106</v>
      </c>
      <c r="CE5" s="123" t="s">
        <v>108</v>
      </c>
      <c r="CF5" s="129" t="s">
        <v>109</v>
      </c>
      <c r="CG5" s="130" t="s">
        <v>104</v>
      </c>
      <c r="CH5" s="130" t="s">
        <v>114</v>
      </c>
      <c r="CI5" s="131" t="s">
        <v>110</v>
      </c>
      <c r="CJ5" s="130" t="s">
        <v>111</v>
      </c>
      <c r="CK5" s="130" t="s">
        <v>113</v>
      </c>
      <c r="CL5" s="129" t="s">
        <v>112</v>
      </c>
      <c r="CM5" s="132" t="s">
        <v>106</v>
      </c>
      <c r="CO5" s="123" t="s">
        <v>108</v>
      </c>
      <c r="CP5" s="129" t="s">
        <v>109</v>
      </c>
      <c r="CQ5" s="130" t="s">
        <v>104</v>
      </c>
      <c r="CR5" s="131" t="s">
        <v>110</v>
      </c>
      <c r="CS5" s="130" t="s">
        <v>111</v>
      </c>
      <c r="CT5" s="130" t="s">
        <v>68</v>
      </c>
      <c r="CU5" s="129" t="s">
        <v>112</v>
      </c>
      <c r="CV5" s="132" t="s">
        <v>106</v>
      </c>
      <c r="CX5" s="123" t="s">
        <v>108</v>
      </c>
      <c r="CY5" s="129" t="s">
        <v>109</v>
      </c>
      <c r="CZ5" s="130" t="s">
        <v>104</v>
      </c>
      <c r="DA5" s="131" t="s">
        <v>110</v>
      </c>
      <c r="DB5" s="130" t="s">
        <v>111</v>
      </c>
      <c r="DC5" s="129" t="s">
        <v>112</v>
      </c>
      <c r="DD5" s="132" t="s">
        <v>106</v>
      </c>
    </row>
    <row r="6" spans="2:108" ht="29" x14ac:dyDescent="0.45">
      <c r="B6" s="121" t="s">
        <v>103</v>
      </c>
      <c r="C6" s="121" t="s">
        <v>104</v>
      </c>
      <c r="D6" s="121" t="s">
        <v>105</v>
      </c>
      <c r="E6" s="121" t="s">
        <v>115</v>
      </c>
      <c r="G6" s="133">
        <v>1</v>
      </c>
      <c r="H6" s="134" t="s">
        <v>18</v>
      </c>
      <c r="I6" s="135"/>
      <c r="J6" s="136"/>
      <c r="K6" s="137"/>
      <c r="L6" s="135">
        <f t="shared" ref="L6:L30" si="0">IF(J6&gt;0,(I6-J6)*0.05,0)</f>
        <v>0</v>
      </c>
      <c r="M6" s="135">
        <f t="shared" ref="M6:M30" si="1">IF(K6&gt;0,K6*0.1,0)</f>
        <v>0</v>
      </c>
      <c r="N6" s="137">
        <f>I6-J6+K6+L6+M6</f>
        <v>0</v>
      </c>
      <c r="O6" s="138">
        <f t="shared" ref="O6:O30" si="2">(VLOOKUP(H6,INFRACASHshares2025,25,0)-N6)</f>
        <v>82200</v>
      </c>
      <c r="P6" s="139"/>
      <c r="Q6" s="140">
        <f>N6</f>
        <v>0</v>
      </c>
      <c r="R6" s="136"/>
      <c r="S6" s="137">
        <v>44800</v>
      </c>
      <c r="T6" s="135">
        <f t="shared" ref="T6:T30" si="3">IF(R6&gt;0,(Q6-R6)*0.05,0)</f>
        <v>0</v>
      </c>
      <c r="U6" s="135">
        <f t="shared" ref="U6:U30" si="4">IF(S6&gt;0,S6*0.1,0)</f>
        <v>4480</v>
      </c>
      <c r="V6" s="137">
        <f>(Q6-R6+S6+T6+U6)</f>
        <v>49280</v>
      </c>
      <c r="W6" s="138">
        <f t="shared" ref="W6:W30" si="5">(VLOOKUP(H6,INFRACASHshares2025,25,0)-V6)</f>
        <v>32920</v>
      </c>
      <c r="X6" s="141"/>
      <c r="Y6" s="140">
        <f>V6</f>
        <v>49280</v>
      </c>
      <c r="Z6" s="136">
        <v>2500</v>
      </c>
      <c r="AA6" s="137"/>
      <c r="AB6" s="135">
        <f t="shared" ref="AB6:AB30" si="6">IF(Z6&gt;0,(Y6-Z6)*0.05,0)</f>
        <v>2339</v>
      </c>
      <c r="AC6" s="135">
        <f t="shared" ref="AC6:AC30" si="7">IF(AA6&gt;0,AA6*0.1,0)</f>
        <v>0</v>
      </c>
      <c r="AD6" s="142">
        <f t="shared" ref="AD6:AD30" si="8">(Y6-Z6+AA6+AB6+AC6)</f>
        <v>49119</v>
      </c>
      <c r="AE6" s="138">
        <f t="shared" ref="AE6:AE17" si="9">(VLOOKUP(H6,INFRACASHshares2025,25,0)-AD6)</f>
        <v>33081</v>
      </c>
      <c r="AF6" s="143"/>
      <c r="AG6" s="140">
        <f>AD6</f>
        <v>49119</v>
      </c>
      <c r="AH6" s="136">
        <v>5000</v>
      </c>
      <c r="AI6" s="137"/>
      <c r="AJ6" s="135">
        <f t="shared" ref="AJ6:AJ12" si="10">((AG6-AH6)*0.05)</f>
        <v>2205.9500000000003</v>
      </c>
      <c r="AK6" s="135">
        <f t="shared" ref="AK6:AK30" si="11">IF(AI6&gt;0,AI6*0.1,0)</f>
        <v>0</v>
      </c>
      <c r="AL6" s="142">
        <f>(AG6-AH6+AI6+AJ6+AK6)</f>
        <v>46324.95</v>
      </c>
      <c r="AM6" s="138">
        <f t="shared" ref="AM6:AM17" si="12">(VLOOKUP(H6,INFRACASHshares2025,25,0)-AL6)</f>
        <v>35875.050000000003</v>
      </c>
      <c r="AN6" s="143"/>
      <c r="AO6" s="140">
        <f>AL6</f>
        <v>46324.95</v>
      </c>
      <c r="AP6" s="136">
        <v>3000</v>
      </c>
      <c r="AQ6" s="137">
        <v>50000</v>
      </c>
      <c r="AR6" s="135">
        <f>((AO6-AP6)*0.05)</f>
        <v>2166.2474999999999</v>
      </c>
      <c r="AS6" s="135">
        <f t="shared" ref="AS6:AS30" si="13">IF(AQ6&gt;0,AQ6*0.1,0)</f>
        <v>5000</v>
      </c>
      <c r="AT6" s="142">
        <f>(AO6-AP6+AQ6+AR6+AS6)</f>
        <v>100491.19749999999</v>
      </c>
      <c r="AU6" s="138">
        <f t="shared" ref="AU6:AU19" si="14">(VLOOKUP(H6,INFRACASHshares2025,25,0)-AT6)</f>
        <v>-18291.197499999995</v>
      </c>
      <c r="AV6" s="143"/>
      <c r="AW6" s="140">
        <f>AT6</f>
        <v>100491.19749999999</v>
      </c>
      <c r="AX6" s="136">
        <v>5000</v>
      </c>
      <c r="AY6" s="137"/>
      <c r="AZ6" s="135">
        <f>((AW6-AX6)*0.05)</f>
        <v>4774.5598749999999</v>
      </c>
      <c r="BA6" s="135">
        <f t="shared" ref="BA6:BA30" si="15">IF(AY6&gt;0,AY6*0.1,0)</f>
        <v>0</v>
      </c>
      <c r="BB6" s="142">
        <f>(AW6-AX6+AY6+AZ6+BA6)</f>
        <v>100265.757375</v>
      </c>
      <c r="BC6" s="138">
        <f t="shared" ref="BC6:BC21" si="16">(VLOOKUP(H6,INFRACASHshares2025,25,0)-BB6)</f>
        <v>-18065.757375000001</v>
      </c>
      <c r="BD6" s="143"/>
      <c r="BE6" s="140">
        <f>BB6</f>
        <v>100265.757375</v>
      </c>
      <c r="BF6" s="136">
        <v>3500</v>
      </c>
      <c r="BG6" s="137">
        <f>3429+1019.39</f>
        <v>4448.3900000000003</v>
      </c>
      <c r="BH6" s="135">
        <f>(BE6-BF6)*0.05</f>
        <v>4838.2878687500006</v>
      </c>
      <c r="BI6" s="135">
        <f t="shared" ref="BI6:BI31" si="17">IF(BG6&gt;0,BG6*0.1,0)</f>
        <v>444.83900000000006</v>
      </c>
      <c r="BJ6" s="142">
        <f>(BE6-BF6+BG6+BH6+BI6)</f>
        <v>106497.27424375001</v>
      </c>
      <c r="BK6" s="138">
        <f t="shared" ref="BK6:BK22" si="18">(VLOOKUP(H6,INFRACASHshares2025,25,0)-BJ6)</f>
        <v>-24297.274243750013</v>
      </c>
      <c r="BL6" s="143"/>
      <c r="BM6" s="140">
        <f>BJ6</f>
        <v>106497.27424375001</v>
      </c>
      <c r="BN6" s="136">
        <v>6300</v>
      </c>
      <c r="BO6" s="137"/>
      <c r="BP6" s="135">
        <f t="shared" ref="BP6:BP30" si="19">(BM6-BN6)*0.05</f>
        <v>5009.8637121875008</v>
      </c>
      <c r="BQ6" s="135">
        <f t="shared" ref="BQ6:BQ30" si="20">IF(BO6&gt;0,BO6*0.1,0)</f>
        <v>0</v>
      </c>
      <c r="BR6" s="135"/>
      <c r="BS6" s="142">
        <f>(BM6-BN6+BO6+BP6+BQ6+BR6)</f>
        <v>105207.13795593752</v>
      </c>
      <c r="BT6" s="138">
        <f t="shared" ref="BT6:BT17" si="21">(VLOOKUP(H6,INFRACASHshares2025,25,0)-BS6)</f>
        <v>-23007.13795593752</v>
      </c>
      <c r="BU6" s="143"/>
      <c r="BV6" s="140">
        <f t="shared" ref="BV6:BV30" si="22">BS6</f>
        <v>105207.13795593752</v>
      </c>
      <c r="BW6" s="136">
        <v>5300</v>
      </c>
      <c r="BX6" s="137"/>
      <c r="BY6" s="135">
        <f t="shared" ref="BY6:BY23" si="23">(BV6-BW6)*0.05</f>
        <v>4995.3568977968762</v>
      </c>
      <c r="BZ6" s="135">
        <f t="shared" ref="BZ6:BZ30" si="24">IF(BX6&gt;0,BX6*0.1,0)</f>
        <v>0</v>
      </c>
      <c r="CA6" s="135"/>
      <c r="CB6" s="142">
        <f>(BV6-BW6+BX6+BY6+BZ6)</f>
        <v>104902.4948537344</v>
      </c>
      <c r="CC6" s="138">
        <f t="shared" ref="CC6:CC17" si="25">(VLOOKUP(H6,INFRACASHshares2025,25,0)-CB6)</f>
        <v>-22702.494853734403</v>
      </c>
      <c r="CD6" s="143"/>
      <c r="CE6" s="140">
        <f>CB6</f>
        <v>104902.4948537344</v>
      </c>
      <c r="CF6" s="136">
        <v>17500</v>
      </c>
      <c r="CG6" s="137"/>
      <c r="CH6" s="144">
        <v>4509.4716242661443</v>
      </c>
      <c r="CI6" s="135">
        <f>(CE6-CF6)*0.05</f>
        <v>4370.1247426867203</v>
      </c>
      <c r="CJ6" s="135">
        <f t="shared" ref="CJ6:CJ30" si="26">IF((CG6+CH6)&gt;0,((CG6+CH6)*0.1),0)</f>
        <v>450.94716242661445</v>
      </c>
      <c r="CK6" s="135"/>
      <c r="CL6" s="142">
        <f>(CE6-CF6+CG6+CI6+CJ6)</f>
        <v>92223.566758847737</v>
      </c>
      <c r="CM6" s="138">
        <f t="shared" ref="CM6:CM17" si="27">(VLOOKUP(H6,INFRACASHshares2025,25,0)-CL6)</f>
        <v>-10023.566758847737</v>
      </c>
      <c r="CN6" s="143"/>
      <c r="CO6" s="140">
        <f>CL6</f>
        <v>92223.566758847737</v>
      </c>
      <c r="CP6" s="136">
        <v>24000</v>
      </c>
      <c r="CQ6" s="137"/>
      <c r="CR6" s="135">
        <f t="shared" ref="CR6:CR30" si="28">((CO6-CP6)*0.05)</f>
        <v>3411.1783379423869</v>
      </c>
      <c r="CS6" s="135">
        <f t="shared" ref="CS6:CS30" si="29">IF(CQ6&gt;0,CQ6*0.1,0)</f>
        <v>0</v>
      </c>
      <c r="CT6" s="135"/>
      <c r="CU6" s="142">
        <f>(CO6-CP6+CQ6+CR6+CS6)</f>
        <v>71634.745096790124</v>
      </c>
      <c r="CV6" s="138">
        <f t="shared" ref="CV6:CV17" si="30">(VLOOKUP(H6,INFRACASHshares2025,25,0)-CU6)</f>
        <v>10565.254903209876</v>
      </c>
      <c r="CW6" s="143"/>
      <c r="CX6" s="140">
        <f>CU6</f>
        <v>71634.745096790124</v>
      </c>
      <c r="CY6" s="352"/>
      <c r="CZ6" s="137"/>
      <c r="DA6" s="135">
        <f>((CX6-CY8)*0.05)</f>
        <v>3581.7372548395065</v>
      </c>
      <c r="DB6" s="135">
        <f t="shared" ref="DB6:DB30" si="31">IF(CZ6&gt;0,CZ6*0.1,0)</f>
        <v>0</v>
      </c>
      <c r="DC6" s="142">
        <f>(CX6-CY6+CZ6+DA6+DB6)</f>
        <v>75216.482351629631</v>
      </c>
      <c r="DD6" s="138">
        <f t="shared" ref="DD6:DD30" si="32">(VLOOKUP(H6,INFRACASHshares2025,25,0)-DC6)</f>
        <v>6983.517648370369</v>
      </c>
    </row>
    <row r="7" spans="2:108" ht="29" x14ac:dyDescent="0.45">
      <c r="B7" s="121" t="s">
        <v>103</v>
      </c>
      <c r="C7" s="121" t="s">
        <v>104</v>
      </c>
      <c r="D7" s="121" t="s">
        <v>105</v>
      </c>
      <c r="E7" s="121" t="s">
        <v>115</v>
      </c>
      <c r="G7" s="133">
        <v>2</v>
      </c>
      <c r="H7" s="134" t="s">
        <v>209</v>
      </c>
      <c r="I7" s="135"/>
      <c r="J7" s="145"/>
      <c r="K7" s="137"/>
      <c r="L7" s="135">
        <f t="shared" ref="L7" si="33">IF(J7&gt;0,(I7-J7)*0.05,0)</f>
        <v>0</v>
      </c>
      <c r="M7" s="135">
        <f t="shared" ref="M7" si="34">IF(K7&gt;0,K7*0.1,0)</f>
        <v>0</v>
      </c>
      <c r="N7" s="137">
        <f>I7-J7+K7+L7+M7</f>
        <v>0</v>
      </c>
      <c r="O7" s="138">
        <f t="shared" ref="O7" si="35">(VLOOKUP(H7,INFRACASHshares2025,25,0)-N7)</f>
        <v>147000</v>
      </c>
      <c r="P7" s="139"/>
      <c r="Q7" s="140">
        <f t="shared" ref="Q7" si="36">N7</f>
        <v>0</v>
      </c>
      <c r="R7" s="145"/>
      <c r="S7" s="146"/>
      <c r="T7" s="135">
        <f t="shared" ref="T7" si="37">IF(R7&gt;0,(Q7-R7)*0.05,0)</f>
        <v>0</v>
      </c>
      <c r="U7" s="135">
        <f t="shared" ref="U7" si="38">IF(S7&gt;0,S7*0.1,0)</f>
        <v>0</v>
      </c>
      <c r="V7" s="137">
        <f t="shared" ref="V7:V30" si="39">(Q7-R7+S7+T7+U7)</f>
        <v>0</v>
      </c>
      <c r="W7" s="138">
        <f t="shared" ref="W7" si="40">(VLOOKUP(H7,INFRACASHshares2025,25,0)-V7)</f>
        <v>147000</v>
      </c>
      <c r="X7" s="141"/>
      <c r="Y7" s="140">
        <f t="shared" ref="Y7" si="41">V7</f>
        <v>0</v>
      </c>
      <c r="Z7" s="145"/>
      <c r="AA7" s="146"/>
      <c r="AB7" s="135">
        <f t="shared" ref="AB7" si="42">IF(Z7&gt;0,(Y7-Z7)*0.05,0)</f>
        <v>0</v>
      </c>
      <c r="AC7" s="135">
        <f t="shared" ref="AC7" si="43">IF(AA7&gt;0,AA7*0.1,0)</f>
        <v>0</v>
      </c>
      <c r="AD7" s="142">
        <f t="shared" si="8"/>
        <v>0</v>
      </c>
      <c r="AE7" s="138">
        <f t="shared" ref="AE7" si="44">(VLOOKUP(H7,INFRACASHshares2025,25,0)-AD7)</f>
        <v>147000</v>
      </c>
      <c r="AF7" s="143"/>
      <c r="AG7" s="140">
        <f t="shared" ref="AG7" si="45">AD7</f>
        <v>0</v>
      </c>
      <c r="AH7" s="145"/>
      <c r="AI7" s="146"/>
      <c r="AJ7" s="135">
        <f t="shared" si="10"/>
        <v>0</v>
      </c>
      <c r="AK7" s="135">
        <f t="shared" ref="AK7" si="46">IF(AI7&gt;0,AI7*0.1,0)</f>
        <v>0</v>
      </c>
      <c r="AL7" s="142">
        <f t="shared" ref="AL7" si="47">(AG7-AH7+AI7+AJ7+AK7)</f>
        <v>0</v>
      </c>
      <c r="AM7" s="138">
        <f t="shared" ref="AM7" si="48">(VLOOKUP(H7,INFRACASHshares2025,25,0)-AL7)</f>
        <v>147000</v>
      </c>
      <c r="AN7" s="143"/>
      <c r="AO7" s="140">
        <f t="shared" ref="AO7" si="49">AL7</f>
        <v>0</v>
      </c>
      <c r="AP7" s="145"/>
      <c r="AQ7" s="146"/>
      <c r="AR7" s="135">
        <f t="shared" ref="AR7:AR30" si="50">((AO7-AP7)*0.05)</f>
        <v>0</v>
      </c>
      <c r="AS7" s="135">
        <f t="shared" ref="AS7" si="51">IF(AQ7&gt;0,AQ7*0.1,0)</f>
        <v>0</v>
      </c>
      <c r="AT7" s="142">
        <f t="shared" ref="AT7" si="52">(AO7-AP7+AQ7+AR7+AS7)</f>
        <v>0</v>
      </c>
      <c r="AU7" s="138">
        <f t="shared" ref="AU7" si="53">(VLOOKUP(H7,INFRACASHshares2025,25,0)-AT7)</f>
        <v>147000</v>
      </c>
      <c r="AV7" s="143"/>
      <c r="AW7" s="140">
        <f t="shared" ref="AW7" si="54">AT7</f>
        <v>0</v>
      </c>
      <c r="AX7" s="145"/>
      <c r="AY7" s="146"/>
      <c r="AZ7" s="135">
        <f t="shared" ref="AZ7:AZ30" si="55">((AW7-AX7)*0.05)</f>
        <v>0</v>
      </c>
      <c r="BA7" s="135">
        <f t="shared" ref="BA7" si="56">IF(AY7&gt;0,AY7*0.1,0)</f>
        <v>0</v>
      </c>
      <c r="BB7" s="142">
        <f t="shared" ref="BB7" si="57">(AW7-AX7+AY7+AZ7+BA7)</f>
        <v>0</v>
      </c>
      <c r="BC7" s="138">
        <f t="shared" ref="BC7" si="58">(VLOOKUP(H7,INFRACASHshares2025,25,0)-BB7)</f>
        <v>147000</v>
      </c>
      <c r="BD7" s="143"/>
      <c r="BE7" s="140">
        <f t="shared" ref="BE7" si="59">BB7</f>
        <v>0</v>
      </c>
      <c r="BF7" s="145"/>
      <c r="BG7" s="146"/>
      <c r="BH7" s="135">
        <f t="shared" ref="BH7:BH30" si="60">(BE7-BF7)*0.05</f>
        <v>0</v>
      </c>
      <c r="BI7" s="135">
        <f t="shared" ref="BI7" si="61">IF(BG7&gt;0,BG7*0.1,0)</f>
        <v>0</v>
      </c>
      <c r="BJ7" s="142">
        <f t="shared" ref="BJ7" si="62">(BE7-BF7+BG7+BH7+BI7)</f>
        <v>0</v>
      </c>
      <c r="BK7" s="138">
        <f t="shared" ref="BK7" si="63">(VLOOKUP(H7,INFRACASHshares2025,25,0)-BJ7)</f>
        <v>147000</v>
      </c>
      <c r="BL7" s="143"/>
      <c r="BM7" s="140">
        <f t="shared" ref="BM7" si="64">BJ7</f>
        <v>0</v>
      </c>
      <c r="BN7" s="145"/>
      <c r="BO7" s="146">
        <v>14025</v>
      </c>
      <c r="BP7" s="135">
        <f t="shared" si="19"/>
        <v>0</v>
      </c>
      <c r="BQ7" s="135">
        <f t="shared" ref="BQ7" si="65">IF(BO7&gt;0,BO7*0.1,0)</f>
        <v>1402.5</v>
      </c>
      <c r="BR7" s="135"/>
      <c r="BS7" s="142">
        <f t="shared" ref="BS7" si="66">(BM7-BN7+BO7+BP7+BQ7+BR7)</f>
        <v>15427.5</v>
      </c>
      <c r="BT7" s="138">
        <f t="shared" ref="BT7" si="67">(VLOOKUP(H7,INFRACASHshares2025,25,0)-BS7)</f>
        <v>131572.5</v>
      </c>
      <c r="BU7" s="143"/>
      <c r="BV7" s="140">
        <f t="shared" ref="BV7" si="68">BS7</f>
        <v>15427.5</v>
      </c>
      <c r="BW7" s="136">
        <v>3000</v>
      </c>
      <c r="BX7" s="137">
        <v>26090</v>
      </c>
      <c r="BY7" s="135">
        <f t="shared" si="23"/>
        <v>621.375</v>
      </c>
      <c r="BZ7" s="135">
        <f t="shared" ref="BZ7" si="69">IF(BX7&gt;0,BX7*0.1,0)</f>
        <v>2609</v>
      </c>
      <c r="CA7" s="135"/>
      <c r="CB7" s="142">
        <f t="shared" ref="CB7" si="70">(BV7-BW7+BX7+BY7+BZ7)</f>
        <v>41747.875</v>
      </c>
      <c r="CC7" s="138">
        <f t="shared" ref="CC7" si="71">(VLOOKUP(H7,INFRACASHshares2025,25,0)-CB7)</f>
        <v>105252.125</v>
      </c>
      <c r="CD7" s="143"/>
      <c r="CE7" s="140">
        <f t="shared" ref="CE7" si="72">CB7</f>
        <v>41747.875</v>
      </c>
      <c r="CF7" s="145">
        <v>13500</v>
      </c>
      <c r="CG7" s="146"/>
      <c r="CH7" s="144">
        <v>8064.3835616438355</v>
      </c>
      <c r="CI7" s="135">
        <f t="shared" ref="CI7:CI23" si="73">(CE7-CF7)*0.05</f>
        <v>1412.3937500000002</v>
      </c>
      <c r="CJ7" s="135">
        <f t="shared" ref="CJ7" si="74">IF((CG7+CH7)&gt;0,((CG7+CH7)*0.1),0)</f>
        <v>806.43835616438355</v>
      </c>
      <c r="CK7" s="135"/>
      <c r="CL7" s="142">
        <f t="shared" ref="CL7:CL29" si="75">(CE7-CF7+CG7+CI7+CJ7)</f>
        <v>30466.707106164384</v>
      </c>
      <c r="CM7" s="138">
        <f t="shared" ref="CM7" si="76">(VLOOKUP(H7,INFRACASHshares2025,25,0)-CL7)</f>
        <v>116533.29289383562</v>
      </c>
      <c r="CN7" s="143"/>
      <c r="CO7" s="140">
        <f t="shared" ref="CO7:CO30" si="77">CL7</f>
        <v>30466.707106164384</v>
      </c>
      <c r="CP7" s="145">
        <v>15806.44</v>
      </c>
      <c r="CQ7" s="146"/>
      <c r="CR7" s="135">
        <f t="shared" ref="CR7" si="78">((CO7-CP7)*0.05)</f>
        <v>733.01335530821916</v>
      </c>
      <c r="CS7" s="135">
        <f t="shared" ref="CS7" si="79">IF(CQ7&gt;0,CQ7*0.1,0)</f>
        <v>0</v>
      </c>
      <c r="CT7" s="135"/>
      <c r="CU7" s="142">
        <f t="shared" ref="CU7:CU30" si="80">(CO7-CP7+CQ7+CR7+CS7)</f>
        <v>15393.280461472603</v>
      </c>
      <c r="CV7" s="138">
        <f t="shared" ref="CV7" si="81">(VLOOKUP(H7,INFRACASHshares2025,25,0)-CU7)</f>
        <v>131606.7195385274</v>
      </c>
      <c r="CW7" s="143"/>
      <c r="CX7" s="140">
        <f t="shared" ref="CX7" si="82">CU7</f>
        <v>15393.280461472603</v>
      </c>
      <c r="CY7" s="136"/>
      <c r="CZ7" s="146"/>
      <c r="DA7" s="135">
        <f t="shared" ref="DA7" si="83">((CX7-CY8)*0.05)</f>
        <v>769.66402307363023</v>
      </c>
      <c r="DB7" s="135">
        <f t="shared" ref="DB7" si="84">IF(CZ7&gt;0,CZ7*0.1,0)</f>
        <v>0</v>
      </c>
      <c r="DC7" s="142">
        <f t="shared" ref="DC7:DC29" si="85">(CX7-CY7+CZ7+DA7+DB7)</f>
        <v>16162.944484546233</v>
      </c>
      <c r="DD7" s="138">
        <f t="shared" ref="DD7" si="86">(VLOOKUP(H7,INFRACASHshares2025,25,0)-DC7)</f>
        <v>130837.05551545377</v>
      </c>
    </row>
    <row r="8" spans="2:108" ht="29" x14ac:dyDescent="0.45">
      <c r="B8" s="121" t="s">
        <v>103</v>
      </c>
      <c r="C8" s="121" t="s">
        <v>104</v>
      </c>
      <c r="D8" s="121" t="s">
        <v>105</v>
      </c>
      <c r="E8" s="121" t="s">
        <v>115</v>
      </c>
      <c r="G8" s="133">
        <v>3</v>
      </c>
      <c r="H8" s="134" t="s">
        <v>19</v>
      </c>
      <c r="I8" s="135"/>
      <c r="J8" s="145"/>
      <c r="K8" s="137">
        <v>6400</v>
      </c>
      <c r="L8" s="135">
        <f t="shared" si="0"/>
        <v>0</v>
      </c>
      <c r="M8" s="135">
        <f t="shared" si="1"/>
        <v>640</v>
      </c>
      <c r="N8" s="137">
        <f>I8-J8+K8+L8+M8</f>
        <v>7040</v>
      </c>
      <c r="O8" s="138">
        <f t="shared" si="2"/>
        <v>10360</v>
      </c>
      <c r="P8" s="139"/>
      <c r="Q8" s="140">
        <f t="shared" ref="Q8:Q30" si="87">N8</f>
        <v>7040</v>
      </c>
      <c r="R8" s="145">
        <v>640</v>
      </c>
      <c r="S8" s="146"/>
      <c r="T8" s="135">
        <f t="shared" si="3"/>
        <v>320</v>
      </c>
      <c r="U8" s="135">
        <f t="shared" si="4"/>
        <v>0</v>
      </c>
      <c r="V8" s="137">
        <f t="shared" si="39"/>
        <v>6720</v>
      </c>
      <c r="W8" s="138">
        <f t="shared" si="5"/>
        <v>10680</v>
      </c>
      <c r="X8" s="141"/>
      <c r="Y8" s="140">
        <f t="shared" ref="Y8:Y30" si="88">V8</f>
        <v>6720</v>
      </c>
      <c r="Z8" s="145">
        <v>1250</v>
      </c>
      <c r="AA8" s="146"/>
      <c r="AB8" s="135">
        <f t="shared" si="6"/>
        <v>273.5</v>
      </c>
      <c r="AC8" s="135">
        <f t="shared" si="7"/>
        <v>0</v>
      </c>
      <c r="AD8" s="142">
        <f t="shared" si="8"/>
        <v>5743.5</v>
      </c>
      <c r="AE8" s="138">
        <f t="shared" si="9"/>
        <v>11656.5</v>
      </c>
      <c r="AF8" s="143"/>
      <c r="AG8" s="140">
        <f t="shared" ref="AG8:AG30" si="89">AD8</f>
        <v>5743.5</v>
      </c>
      <c r="AH8" s="145">
        <v>3000</v>
      </c>
      <c r="AI8" s="146"/>
      <c r="AJ8" s="135">
        <f t="shared" si="10"/>
        <v>137.17500000000001</v>
      </c>
      <c r="AK8" s="135">
        <f t="shared" si="11"/>
        <v>0</v>
      </c>
      <c r="AL8" s="142">
        <f t="shared" ref="AL8:AL30" si="90">(AG8-AH8+AI8+AJ8+AK8)</f>
        <v>2880.6750000000002</v>
      </c>
      <c r="AM8" s="138">
        <f t="shared" si="12"/>
        <v>14519.325000000001</v>
      </c>
      <c r="AN8" s="143"/>
      <c r="AO8" s="140">
        <f t="shared" ref="AO8:AO30" si="91">AL8</f>
        <v>2880.6750000000002</v>
      </c>
      <c r="AP8" s="145">
        <v>200</v>
      </c>
      <c r="AQ8" s="146">
        <v>24000</v>
      </c>
      <c r="AR8" s="135">
        <f t="shared" si="50"/>
        <v>134.03375000000003</v>
      </c>
      <c r="AS8" s="135">
        <f t="shared" si="13"/>
        <v>2400</v>
      </c>
      <c r="AT8" s="142">
        <f t="shared" ref="AT8:AT30" si="92">(AO8-AP8+AQ8+AR8+AS8)</f>
        <v>29214.708749999998</v>
      </c>
      <c r="AU8" s="138">
        <f t="shared" si="14"/>
        <v>-11814.708749999998</v>
      </c>
      <c r="AV8" s="143"/>
      <c r="AW8" s="140">
        <f t="shared" ref="AW8:AW30" si="93">AT8</f>
        <v>29214.708749999998</v>
      </c>
      <c r="AX8" s="145">
        <v>5214</v>
      </c>
      <c r="AY8" s="146"/>
      <c r="AZ8" s="135">
        <f t="shared" si="55"/>
        <v>1200.0354374999999</v>
      </c>
      <c r="BA8" s="135">
        <f t="shared" si="15"/>
        <v>0</v>
      </c>
      <c r="BB8" s="142">
        <f t="shared" ref="BB8:BB29" si="94">(AW8-AX8+AY8+AZ8+BA8)</f>
        <v>25200.744187499997</v>
      </c>
      <c r="BC8" s="138">
        <f t="shared" si="16"/>
        <v>-7800.7441874999968</v>
      </c>
      <c r="BD8" s="143"/>
      <c r="BE8" s="140">
        <f t="shared" ref="BE8:BE30" si="95">BB8</f>
        <v>25200.744187499997</v>
      </c>
      <c r="BF8" s="145">
        <v>2400</v>
      </c>
      <c r="BG8" s="146">
        <v>8000</v>
      </c>
      <c r="BH8" s="135">
        <f t="shared" si="60"/>
        <v>1140.037209375</v>
      </c>
      <c r="BI8" s="135">
        <f t="shared" si="17"/>
        <v>800</v>
      </c>
      <c r="BJ8" s="142">
        <f t="shared" ref="BJ8:BJ30" si="96">(BE8-BF8+BG8+BH8+BI8)</f>
        <v>32740.781396874998</v>
      </c>
      <c r="BK8" s="138">
        <f t="shared" si="18"/>
        <v>-15340.781396874998</v>
      </c>
      <c r="BL8" s="143"/>
      <c r="BM8" s="140">
        <f t="shared" ref="BM8:BM30" si="97">BJ8</f>
        <v>32740.781396874998</v>
      </c>
      <c r="BN8" s="145">
        <v>11000</v>
      </c>
      <c r="BO8" s="146"/>
      <c r="BP8" s="135">
        <f t="shared" si="19"/>
        <v>1087.03906984375</v>
      </c>
      <c r="BQ8" s="135">
        <f t="shared" si="20"/>
        <v>0</v>
      </c>
      <c r="BR8" s="135"/>
      <c r="BS8" s="142">
        <f t="shared" ref="BS8:BS30" si="98">(BM8-BN8+BO8+BP8+BQ8+BR8)</f>
        <v>22827.820466718749</v>
      </c>
      <c r="BT8" s="138">
        <f t="shared" si="21"/>
        <v>-5427.8204667187492</v>
      </c>
      <c r="BU8" s="143"/>
      <c r="BV8" s="140">
        <f t="shared" si="22"/>
        <v>22827.820466718749</v>
      </c>
      <c r="BW8" s="136">
        <v>11990</v>
      </c>
      <c r="BX8" s="137"/>
      <c r="BY8" s="135">
        <f t="shared" si="23"/>
        <v>541.89102333593746</v>
      </c>
      <c r="BZ8" s="135">
        <f t="shared" si="24"/>
        <v>0</v>
      </c>
      <c r="CA8" s="135"/>
      <c r="CB8" s="142">
        <f t="shared" ref="CB8:CB30" si="99">(BV8-BW8+BX8+BY8+BZ8)</f>
        <v>11379.711490054688</v>
      </c>
      <c r="CC8" s="138">
        <f t="shared" si="25"/>
        <v>6020.2885099453124</v>
      </c>
      <c r="CD8" s="143"/>
      <c r="CE8" s="140">
        <f t="shared" ref="CE8:CE30" si="100">CB8</f>
        <v>11379.711490054688</v>
      </c>
      <c r="CF8" s="145">
        <v>1380</v>
      </c>
      <c r="CG8" s="146"/>
      <c r="CH8" s="144">
        <v>954.55968688845394</v>
      </c>
      <c r="CI8" s="135">
        <f t="shared" si="73"/>
        <v>499.98557450273438</v>
      </c>
      <c r="CJ8" s="135">
        <f t="shared" si="26"/>
        <v>95.455968688845402</v>
      </c>
      <c r="CK8" s="135"/>
      <c r="CL8" s="142">
        <f t="shared" si="75"/>
        <v>10595.153033246268</v>
      </c>
      <c r="CM8" s="138">
        <f t="shared" si="27"/>
        <v>6804.846966753732</v>
      </c>
      <c r="CN8" s="143"/>
      <c r="CO8" s="140">
        <f t="shared" si="77"/>
        <v>10595.153033246268</v>
      </c>
      <c r="CP8" s="145">
        <v>9560</v>
      </c>
      <c r="CQ8" s="146"/>
      <c r="CR8" s="135">
        <f t="shared" si="28"/>
        <v>51.757651662313407</v>
      </c>
      <c r="CS8" s="135">
        <f t="shared" si="29"/>
        <v>0</v>
      </c>
      <c r="CT8" s="135"/>
      <c r="CU8" s="142">
        <f t="shared" si="80"/>
        <v>1086.9106849085815</v>
      </c>
      <c r="CV8" s="138">
        <f t="shared" si="30"/>
        <v>16313.089315091418</v>
      </c>
      <c r="CW8" s="143"/>
      <c r="CX8" s="140">
        <f t="shared" ref="CX8:CX30" si="101">CU8</f>
        <v>1086.9106849085815</v>
      </c>
      <c r="CY8" s="136"/>
      <c r="CZ8" s="146"/>
      <c r="DA8" s="135">
        <f t="shared" ref="DA8:DA29" si="102">((CX8-CY9)*0.05)</f>
        <v>54.345534245429079</v>
      </c>
      <c r="DB8" s="135">
        <f t="shared" si="31"/>
        <v>0</v>
      </c>
      <c r="DC8" s="142">
        <f t="shared" si="85"/>
        <v>1141.2562191540105</v>
      </c>
      <c r="DD8" s="138">
        <f t="shared" si="32"/>
        <v>16258.743780845989</v>
      </c>
    </row>
    <row r="9" spans="2:108" ht="29" x14ac:dyDescent="0.45">
      <c r="B9" s="121" t="s">
        <v>103</v>
      </c>
      <c r="C9" s="121" t="s">
        <v>104</v>
      </c>
      <c r="D9" s="121" t="s">
        <v>105</v>
      </c>
      <c r="E9" s="121" t="s">
        <v>115</v>
      </c>
      <c r="G9" s="133">
        <v>4</v>
      </c>
      <c r="H9" s="134" t="s">
        <v>20</v>
      </c>
      <c r="I9" s="147"/>
      <c r="J9" s="145"/>
      <c r="K9" s="137"/>
      <c r="L9" s="135">
        <f t="shared" si="0"/>
        <v>0</v>
      </c>
      <c r="M9" s="135">
        <f t="shared" si="1"/>
        <v>0</v>
      </c>
      <c r="N9" s="137">
        <f t="shared" ref="N9:N30" si="103">I9-J9+K9+L9+M9</f>
        <v>0</v>
      </c>
      <c r="O9" s="138">
        <f t="shared" si="2"/>
        <v>18600</v>
      </c>
      <c r="P9" s="139"/>
      <c r="Q9" s="140">
        <f t="shared" si="87"/>
        <v>0</v>
      </c>
      <c r="R9" s="145"/>
      <c r="S9" s="146"/>
      <c r="T9" s="135">
        <f t="shared" si="3"/>
        <v>0</v>
      </c>
      <c r="U9" s="135">
        <f t="shared" si="4"/>
        <v>0</v>
      </c>
      <c r="V9" s="137">
        <f t="shared" si="39"/>
        <v>0</v>
      </c>
      <c r="W9" s="138">
        <f t="shared" si="5"/>
        <v>18600</v>
      </c>
      <c r="X9" s="141"/>
      <c r="Y9" s="140">
        <f t="shared" si="88"/>
        <v>0</v>
      </c>
      <c r="Z9" s="145"/>
      <c r="AA9" s="146"/>
      <c r="AB9" s="135">
        <f t="shared" si="6"/>
        <v>0</v>
      </c>
      <c r="AC9" s="135">
        <f t="shared" si="7"/>
        <v>0</v>
      </c>
      <c r="AD9" s="142">
        <f t="shared" si="8"/>
        <v>0</v>
      </c>
      <c r="AE9" s="138">
        <f t="shared" si="9"/>
        <v>18600</v>
      </c>
      <c r="AF9" s="143"/>
      <c r="AG9" s="140">
        <f t="shared" si="89"/>
        <v>0</v>
      </c>
      <c r="AH9" s="145"/>
      <c r="AI9" s="146"/>
      <c r="AJ9" s="135">
        <f t="shared" si="10"/>
        <v>0</v>
      </c>
      <c r="AK9" s="135">
        <f t="shared" si="11"/>
        <v>0</v>
      </c>
      <c r="AL9" s="142">
        <f t="shared" si="90"/>
        <v>0</v>
      </c>
      <c r="AM9" s="138">
        <f t="shared" si="12"/>
        <v>18600</v>
      </c>
      <c r="AN9" s="143"/>
      <c r="AO9" s="140">
        <f t="shared" si="91"/>
        <v>0</v>
      </c>
      <c r="AP9" s="145"/>
      <c r="AQ9" s="146"/>
      <c r="AR9" s="135">
        <f t="shared" si="50"/>
        <v>0</v>
      </c>
      <c r="AS9" s="135">
        <f t="shared" si="13"/>
        <v>0</v>
      </c>
      <c r="AT9" s="142">
        <f t="shared" si="92"/>
        <v>0</v>
      </c>
      <c r="AU9" s="138">
        <f t="shared" si="14"/>
        <v>18600</v>
      </c>
      <c r="AV9" s="143"/>
      <c r="AW9" s="140">
        <f t="shared" si="93"/>
        <v>0</v>
      </c>
      <c r="AX9" s="145"/>
      <c r="AY9" s="146"/>
      <c r="AZ9" s="135">
        <f t="shared" si="55"/>
        <v>0</v>
      </c>
      <c r="BA9" s="135">
        <f t="shared" si="15"/>
        <v>0</v>
      </c>
      <c r="BB9" s="142">
        <f t="shared" si="94"/>
        <v>0</v>
      </c>
      <c r="BC9" s="138">
        <f t="shared" si="16"/>
        <v>18600</v>
      </c>
      <c r="BD9" s="143"/>
      <c r="BE9" s="140">
        <f t="shared" si="95"/>
        <v>0</v>
      </c>
      <c r="BF9" s="145"/>
      <c r="BG9" s="146"/>
      <c r="BH9" s="135">
        <f t="shared" si="60"/>
        <v>0</v>
      </c>
      <c r="BI9" s="135">
        <f t="shared" si="17"/>
        <v>0</v>
      </c>
      <c r="BJ9" s="142">
        <f t="shared" si="96"/>
        <v>0</v>
      </c>
      <c r="BK9" s="138">
        <f t="shared" si="18"/>
        <v>18600</v>
      </c>
      <c r="BL9" s="143"/>
      <c r="BM9" s="140">
        <f t="shared" si="97"/>
        <v>0</v>
      </c>
      <c r="BN9" s="145"/>
      <c r="BO9" s="146">
        <v>17000</v>
      </c>
      <c r="BP9" s="135">
        <f t="shared" si="19"/>
        <v>0</v>
      </c>
      <c r="BQ9" s="135">
        <f t="shared" si="20"/>
        <v>1700</v>
      </c>
      <c r="BR9" s="135"/>
      <c r="BS9" s="142">
        <f t="shared" si="98"/>
        <v>18700</v>
      </c>
      <c r="BT9" s="138">
        <f t="shared" si="21"/>
        <v>-100</v>
      </c>
      <c r="BU9" s="143"/>
      <c r="BV9" s="140">
        <f t="shared" si="22"/>
        <v>18700</v>
      </c>
      <c r="BW9" s="136">
        <v>5000</v>
      </c>
      <c r="BX9" s="137"/>
      <c r="BY9" s="135">
        <f t="shared" si="23"/>
        <v>685</v>
      </c>
      <c r="BZ9" s="135">
        <f t="shared" si="24"/>
        <v>0</v>
      </c>
      <c r="CA9" s="135"/>
      <c r="CB9" s="142">
        <f t="shared" si="99"/>
        <v>14385</v>
      </c>
      <c r="CC9" s="138">
        <f t="shared" si="25"/>
        <v>4215</v>
      </c>
      <c r="CD9" s="143"/>
      <c r="CE9" s="140">
        <f t="shared" si="100"/>
        <v>14385</v>
      </c>
      <c r="CF9" s="145">
        <v>5000</v>
      </c>
      <c r="CG9" s="146"/>
      <c r="CH9" s="144">
        <v>1020.3913894324853</v>
      </c>
      <c r="CI9" s="135">
        <f t="shared" si="73"/>
        <v>469.25</v>
      </c>
      <c r="CJ9" s="135">
        <f t="shared" si="26"/>
        <v>102.03913894324853</v>
      </c>
      <c r="CK9" s="135"/>
      <c r="CL9" s="142">
        <f t="shared" si="75"/>
        <v>9956.289138943248</v>
      </c>
      <c r="CM9" s="138">
        <f t="shared" si="27"/>
        <v>8643.710861056752</v>
      </c>
      <c r="CN9" s="143"/>
      <c r="CO9" s="140">
        <f t="shared" si="77"/>
        <v>9956.289138943248</v>
      </c>
      <c r="CP9" s="145">
        <v>5102.04</v>
      </c>
      <c r="CQ9" s="146"/>
      <c r="CR9" s="135">
        <f t="shared" si="28"/>
        <v>242.71245694716242</v>
      </c>
      <c r="CS9" s="135">
        <f t="shared" si="29"/>
        <v>0</v>
      </c>
      <c r="CT9" s="135"/>
      <c r="CU9" s="142">
        <f t="shared" si="80"/>
        <v>5096.9615958904105</v>
      </c>
      <c r="CV9" s="138">
        <f t="shared" si="30"/>
        <v>13503.038404109589</v>
      </c>
      <c r="CW9" s="143"/>
      <c r="CX9" s="140">
        <f t="shared" si="101"/>
        <v>5096.9615958904105</v>
      </c>
      <c r="CY9" s="145"/>
      <c r="CZ9" s="146"/>
      <c r="DA9" s="135">
        <f t="shared" si="102"/>
        <v>254.84807979452054</v>
      </c>
      <c r="DB9" s="135">
        <f t="shared" si="31"/>
        <v>0</v>
      </c>
      <c r="DC9" s="142">
        <f t="shared" si="85"/>
        <v>5351.8096756849309</v>
      </c>
      <c r="DD9" s="138">
        <f t="shared" si="32"/>
        <v>13248.19032431507</v>
      </c>
    </row>
    <row r="10" spans="2:108" ht="29" x14ac:dyDescent="0.45">
      <c r="B10" s="121" t="s">
        <v>103</v>
      </c>
      <c r="C10" s="121" t="s">
        <v>104</v>
      </c>
      <c r="D10" s="121" t="s">
        <v>105</v>
      </c>
      <c r="E10" s="121" t="s">
        <v>115</v>
      </c>
      <c r="G10" s="133">
        <v>5</v>
      </c>
      <c r="H10" s="134" t="s">
        <v>21</v>
      </c>
      <c r="I10" s="135"/>
      <c r="J10" s="145"/>
      <c r="K10" s="137">
        <v>20000</v>
      </c>
      <c r="L10" s="135">
        <f t="shared" si="0"/>
        <v>0</v>
      </c>
      <c r="M10" s="135">
        <f t="shared" si="1"/>
        <v>2000</v>
      </c>
      <c r="N10" s="137">
        <f t="shared" si="103"/>
        <v>22000</v>
      </c>
      <c r="O10" s="138">
        <f t="shared" si="2"/>
        <v>9200</v>
      </c>
      <c r="P10" s="139"/>
      <c r="Q10" s="140">
        <f t="shared" si="87"/>
        <v>22000</v>
      </c>
      <c r="R10" s="145">
        <v>1000</v>
      </c>
      <c r="S10" s="146">
        <v>11340</v>
      </c>
      <c r="T10" s="135">
        <f t="shared" si="3"/>
        <v>1050</v>
      </c>
      <c r="U10" s="135">
        <f t="shared" si="4"/>
        <v>1134</v>
      </c>
      <c r="V10" s="137">
        <f t="shared" si="39"/>
        <v>34524</v>
      </c>
      <c r="W10" s="138">
        <f t="shared" si="5"/>
        <v>-3324</v>
      </c>
      <c r="X10" s="141"/>
      <c r="Y10" s="140">
        <f t="shared" si="88"/>
        <v>34524</v>
      </c>
      <c r="Z10" s="145">
        <v>2000</v>
      </c>
      <c r="AA10" s="146"/>
      <c r="AB10" s="135">
        <f t="shared" si="6"/>
        <v>1626.2</v>
      </c>
      <c r="AC10" s="135">
        <f t="shared" si="7"/>
        <v>0</v>
      </c>
      <c r="AD10" s="142">
        <f>(Y10-Z10+AA10+AC10)</f>
        <v>32524</v>
      </c>
      <c r="AE10" s="138">
        <f t="shared" si="9"/>
        <v>-1324</v>
      </c>
      <c r="AF10" s="143"/>
      <c r="AG10" s="140">
        <f t="shared" si="89"/>
        <v>32524</v>
      </c>
      <c r="AH10" s="145">
        <v>2000</v>
      </c>
      <c r="AI10" s="146"/>
      <c r="AJ10" s="135">
        <f t="shared" si="10"/>
        <v>1526.2</v>
      </c>
      <c r="AK10" s="135">
        <f t="shared" si="11"/>
        <v>0</v>
      </c>
      <c r="AL10" s="142">
        <f t="shared" si="90"/>
        <v>32050.2</v>
      </c>
      <c r="AM10" s="138">
        <f t="shared" si="12"/>
        <v>-850.20000000000073</v>
      </c>
      <c r="AN10" s="143"/>
      <c r="AO10" s="140">
        <f t="shared" si="91"/>
        <v>32050.2</v>
      </c>
      <c r="AP10" s="145">
        <v>2000</v>
      </c>
      <c r="AQ10" s="146"/>
      <c r="AR10" s="135">
        <f t="shared" si="50"/>
        <v>1502.5100000000002</v>
      </c>
      <c r="AS10" s="135">
        <f t="shared" si="13"/>
        <v>0</v>
      </c>
      <c r="AT10" s="142">
        <f t="shared" si="92"/>
        <v>31552.71</v>
      </c>
      <c r="AU10" s="138">
        <f t="shared" si="14"/>
        <v>-352.70999999999913</v>
      </c>
      <c r="AV10" s="143"/>
      <c r="AW10" s="140">
        <f t="shared" si="93"/>
        <v>31552.71</v>
      </c>
      <c r="AX10" s="145">
        <v>1000</v>
      </c>
      <c r="AY10" s="146">
        <v>9967.81</v>
      </c>
      <c r="AZ10" s="135">
        <f t="shared" si="55"/>
        <v>1527.6355000000001</v>
      </c>
      <c r="BA10" s="135">
        <f t="shared" si="15"/>
        <v>996.78099999999995</v>
      </c>
      <c r="BB10" s="142">
        <f t="shared" si="94"/>
        <v>43044.936499999996</v>
      </c>
      <c r="BC10" s="138">
        <f t="shared" si="16"/>
        <v>-11844.936499999996</v>
      </c>
      <c r="BD10" s="143"/>
      <c r="BE10" s="140">
        <f t="shared" si="95"/>
        <v>43044.936499999996</v>
      </c>
      <c r="BF10" s="145">
        <v>3000</v>
      </c>
      <c r="BG10" s="146">
        <v>5300</v>
      </c>
      <c r="BH10" s="135">
        <f t="shared" si="60"/>
        <v>2002.2468249999999</v>
      </c>
      <c r="BI10" s="135">
        <f t="shared" si="17"/>
        <v>530</v>
      </c>
      <c r="BJ10" s="142">
        <f t="shared" si="96"/>
        <v>47877.183324999998</v>
      </c>
      <c r="BK10" s="138">
        <f t="shared" si="18"/>
        <v>-16677.183324999998</v>
      </c>
      <c r="BL10" s="143"/>
      <c r="BM10" s="140">
        <f t="shared" si="97"/>
        <v>47877.183324999998</v>
      </c>
      <c r="BN10" s="145">
        <v>800</v>
      </c>
      <c r="BO10" s="146"/>
      <c r="BP10" s="135">
        <f t="shared" si="19"/>
        <v>2353.8591662499998</v>
      </c>
      <c r="BQ10" s="135">
        <f t="shared" si="20"/>
        <v>0</v>
      </c>
      <c r="BR10" s="135"/>
      <c r="BS10" s="142">
        <f t="shared" si="98"/>
        <v>49431.042491249995</v>
      </c>
      <c r="BT10" s="138">
        <f t="shared" si="21"/>
        <v>-18231.042491249995</v>
      </c>
      <c r="BU10" s="143"/>
      <c r="BV10" s="140">
        <f t="shared" si="22"/>
        <v>49431.042491249995</v>
      </c>
      <c r="BW10" s="136">
        <v>1000</v>
      </c>
      <c r="BX10" s="137">
        <v>10000</v>
      </c>
      <c r="BY10" s="135">
        <f t="shared" si="23"/>
        <v>2421.5521245625</v>
      </c>
      <c r="BZ10" s="135">
        <f t="shared" si="24"/>
        <v>1000</v>
      </c>
      <c r="CA10" s="135"/>
      <c r="CB10" s="142">
        <f t="shared" si="99"/>
        <v>61852.594615812493</v>
      </c>
      <c r="CC10" s="138">
        <f t="shared" si="25"/>
        <v>-30652.594615812493</v>
      </c>
      <c r="CD10" s="143"/>
      <c r="CE10" s="140">
        <f t="shared" si="100"/>
        <v>61852.594615812493</v>
      </c>
      <c r="CF10" s="145">
        <v>1000</v>
      </c>
      <c r="CG10" s="146"/>
      <c r="CH10" s="144">
        <v>1711.6242661448141</v>
      </c>
      <c r="CI10" s="135">
        <f t="shared" si="73"/>
        <v>3042.6297307906248</v>
      </c>
      <c r="CJ10" s="135">
        <f t="shared" si="26"/>
        <v>171.16242661448143</v>
      </c>
      <c r="CK10" s="135"/>
      <c r="CL10" s="142">
        <f t="shared" si="75"/>
        <v>64066.3867732176</v>
      </c>
      <c r="CM10" s="138">
        <f t="shared" si="27"/>
        <v>-32866.3867732176</v>
      </c>
      <c r="CN10" s="143"/>
      <c r="CO10" s="140">
        <f t="shared" si="77"/>
        <v>64066.3867732176</v>
      </c>
      <c r="CP10" s="145">
        <v>54482.280867425725</v>
      </c>
      <c r="CQ10" s="146"/>
      <c r="CR10" s="135">
        <f t="shared" si="28"/>
        <v>479.20529528959378</v>
      </c>
      <c r="CS10" s="135">
        <f t="shared" si="29"/>
        <v>0</v>
      </c>
      <c r="CT10" s="135"/>
      <c r="CU10" s="142">
        <f t="shared" si="80"/>
        <v>10063.311201081469</v>
      </c>
      <c r="CV10" s="138">
        <f t="shared" si="30"/>
        <v>21136.688798918531</v>
      </c>
      <c r="CW10" s="143"/>
      <c r="CX10" s="140">
        <f t="shared" si="101"/>
        <v>10063.311201081469</v>
      </c>
      <c r="CY10" s="145"/>
      <c r="CZ10" s="146"/>
      <c r="DA10" s="135">
        <f t="shared" si="102"/>
        <v>503.16556005407347</v>
      </c>
      <c r="DB10" s="135">
        <f t="shared" si="31"/>
        <v>0</v>
      </c>
      <c r="DC10" s="142">
        <f t="shared" si="85"/>
        <v>10566.476761135542</v>
      </c>
      <c r="DD10" s="138">
        <f t="shared" si="32"/>
        <v>20633.523238864458</v>
      </c>
    </row>
    <row r="11" spans="2:108" ht="29" x14ac:dyDescent="0.45">
      <c r="B11" s="121" t="s">
        <v>103</v>
      </c>
      <c r="C11" s="121" t="s">
        <v>104</v>
      </c>
      <c r="D11" s="121" t="s">
        <v>105</v>
      </c>
      <c r="E11" s="121" t="s">
        <v>115</v>
      </c>
      <c r="G11" s="133">
        <v>6</v>
      </c>
      <c r="H11" s="134" t="s">
        <v>22</v>
      </c>
      <c r="I11" s="135"/>
      <c r="J11" s="145"/>
      <c r="K11" s="137"/>
      <c r="L11" s="135">
        <f t="shared" si="0"/>
        <v>0</v>
      </c>
      <c r="M11" s="135">
        <f t="shared" si="1"/>
        <v>0</v>
      </c>
      <c r="N11" s="137">
        <f t="shared" si="103"/>
        <v>0</v>
      </c>
      <c r="O11" s="138">
        <f t="shared" si="2"/>
        <v>6600</v>
      </c>
      <c r="P11" s="139"/>
      <c r="Q11" s="140">
        <f t="shared" si="87"/>
        <v>0</v>
      </c>
      <c r="R11" s="145"/>
      <c r="S11" s="146"/>
      <c r="T11" s="135">
        <f t="shared" si="3"/>
        <v>0</v>
      </c>
      <c r="U11" s="135">
        <f t="shared" si="4"/>
        <v>0</v>
      </c>
      <c r="V11" s="137">
        <f t="shared" si="39"/>
        <v>0</v>
      </c>
      <c r="W11" s="138">
        <f t="shared" si="5"/>
        <v>6600</v>
      </c>
      <c r="X11" s="141"/>
      <c r="Y11" s="140">
        <f t="shared" si="88"/>
        <v>0</v>
      </c>
      <c r="Z11" s="145"/>
      <c r="AA11" s="146"/>
      <c r="AB11" s="135">
        <f t="shared" si="6"/>
        <v>0</v>
      </c>
      <c r="AC11" s="135">
        <f t="shared" si="7"/>
        <v>0</v>
      </c>
      <c r="AD11" s="142">
        <f t="shared" si="8"/>
        <v>0</v>
      </c>
      <c r="AE11" s="138">
        <f t="shared" si="9"/>
        <v>6600</v>
      </c>
      <c r="AF11" s="143"/>
      <c r="AG11" s="140">
        <f t="shared" si="89"/>
        <v>0</v>
      </c>
      <c r="AH11" s="145"/>
      <c r="AI11" s="146"/>
      <c r="AJ11" s="135">
        <f t="shared" si="10"/>
        <v>0</v>
      </c>
      <c r="AK11" s="135">
        <f t="shared" si="11"/>
        <v>0</v>
      </c>
      <c r="AL11" s="142">
        <f t="shared" si="90"/>
        <v>0</v>
      </c>
      <c r="AM11" s="138">
        <f t="shared" si="12"/>
        <v>6600</v>
      </c>
      <c r="AN11" s="143"/>
      <c r="AO11" s="140">
        <f t="shared" si="91"/>
        <v>0</v>
      </c>
      <c r="AP11" s="145"/>
      <c r="AQ11" s="146"/>
      <c r="AR11" s="135">
        <f t="shared" si="50"/>
        <v>0</v>
      </c>
      <c r="AS11" s="135">
        <f t="shared" si="13"/>
        <v>0</v>
      </c>
      <c r="AT11" s="142">
        <f t="shared" si="92"/>
        <v>0</v>
      </c>
      <c r="AU11" s="138">
        <f t="shared" si="14"/>
        <v>6600</v>
      </c>
      <c r="AV11" s="143"/>
      <c r="AW11" s="140">
        <f t="shared" si="93"/>
        <v>0</v>
      </c>
      <c r="AX11" s="145"/>
      <c r="AY11" s="146"/>
      <c r="AZ11" s="135">
        <f t="shared" si="55"/>
        <v>0</v>
      </c>
      <c r="BA11" s="135">
        <f t="shared" si="15"/>
        <v>0</v>
      </c>
      <c r="BB11" s="142">
        <f t="shared" si="94"/>
        <v>0</v>
      </c>
      <c r="BC11" s="138">
        <f t="shared" si="16"/>
        <v>6600</v>
      </c>
      <c r="BD11" s="143"/>
      <c r="BE11" s="140">
        <f t="shared" si="95"/>
        <v>0</v>
      </c>
      <c r="BF11" s="145"/>
      <c r="BG11" s="146"/>
      <c r="BH11" s="135">
        <f t="shared" si="60"/>
        <v>0</v>
      </c>
      <c r="BI11" s="135">
        <f t="shared" si="17"/>
        <v>0</v>
      </c>
      <c r="BJ11" s="142">
        <f t="shared" si="96"/>
        <v>0</v>
      </c>
      <c r="BK11" s="138">
        <f t="shared" si="18"/>
        <v>6600</v>
      </c>
      <c r="BL11" s="143"/>
      <c r="BM11" s="140">
        <f t="shared" si="97"/>
        <v>0</v>
      </c>
      <c r="BN11" s="145"/>
      <c r="BO11" s="146"/>
      <c r="BP11" s="135">
        <f t="shared" si="19"/>
        <v>0</v>
      </c>
      <c r="BQ11" s="135">
        <f t="shared" si="20"/>
        <v>0</v>
      </c>
      <c r="BR11" s="135"/>
      <c r="BS11" s="142">
        <f t="shared" si="98"/>
        <v>0</v>
      </c>
      <c r="BT11" s="138">
        <f t="shared" si="21"/>
        <v>6600</v>
      </c>
      <c r="BU11" s="143"/>
      <c r="BV11" s="140">
        <f t="shared" si="22"/>
        <v>0</v>
      </c>
      <c r="BW11" s="136"/>
      <c r="BX11" s="137"/>
      <c r="BY11" s="135">
        <f t="shared" si="23"/>
        <v>0</v>
      </c>
      <c r="BZ11" s="135">
        <f t="shared" si="24"/>
        <v>0</v>
      </c>
      <c r="CA11" s="135">
        <f>0.15*BX11</f>
        <v>0</v>
      </c>
      <c r="CB11" s="142">
        <f>(BV11-BW11+BX11+BY11+BZ11+CA11)</f>
        <v>0</v>
      </c>
      <c r="CC11" s="138">
        <f t="shared" si="25"/>
        <v>6600</v>
      </c>
      <c r="CD11" s="143"/>
      <c r="CE11" s="140">
        <f t="shared" si="100"/>
        <v>0</v>
      </c>
      <c r="CF11" s="145"/>
      <c r="CG11" s="146"/>
      <c r="CH11" s="144">
        <v>362.07436399217221</v>
      </c>
      <c r="CI11" s="135">
        <f t="shared" si="73"/>
        <v>0</v>
      </c>
      <c r="CJ11" s="135">
        <f t="shared" si="26"/>
        <v>36.207436399217222</v>
      </c>
      <c r="CK11" s="135"/>
      <c r="CL11" s="142">
        <f t="shared" si="75"/>
        <v>36.207436399217222</v>
      </c>
      <c r="CM11" s="138">
        <f t="shared" si="27"/>
        <v>6563.7925636007831</v>
      </c>
      <c r="CN11" s="143"/>
      <c r="CO11" s="140">
        <f t="shared" si="77"/>
        <v>36.207436399217222</v>
      </c>
      <c r="CP11" s="145">
        <v>40</v>
      </c>
      <c r="CQ11" s="146"/>
      <c r="CR11" s="135">
        <f t="shared" si="28"/>
        <v>-0.18962818003913889</v>
      </c>
      <c r="CS11" s="135">
        <f t="shared" si="29"/>
        <v>0</v>
      </c>
      <c r="CT11" s="135"/>
      <c r="CU11" s="142">
        <f t="shared" si="80"/>
        <v>-3.9821917808219167</v>
      </c>
      <c r="CV11" s="138">
        <f t="shared" si="30"/>
        <v>6603.9821917808222</v>
      </c>
      <c r="CW11" s="143"/>
      <c r="CX11" s="140">
        <f t="shared" si="101"/>
        <v>-3.9821917808219167</v>
      </c>
      <c r="CY11" s="145"/>
      <c r="CZ11" s="146"/>
      <c r="DA11" s="135">
        <f t="shared" si="102"/>
        <v>-0.19910958904109585</v>
      </c>
      <c r="DB11" s="135">
        <f t="shared" si="31"/>
        <v>0</v>
      </c>
      <c r="DC11" s="142">
        <f t="shared" si="85"/>
        <v>-4.1813013698630126</v>
      </c>
      <c r="DD11" s="138">
        <f t="shared" si="32"/>
        <v>6604.1813013698629</v>
      </c>
    </row>
    <row r="12" spans="2:108" ht="29" x14ac:dyDescent="0.45">
      <c r="B12" s="121" t="s">
        <v>103</v>
      </c>
      <c r="C12" s="121" t="s">
        <v>104</v>
      </c>
      <c r="D12" s="121" t="s">
        <v>105</v>
      </c>
      <c r="E12" s="121" t="s">
        <v>115</v>
      </c>
      <c r="G12" s="133">
        <v>7</v>
      </c>
      <c r="H12" s="134" t="s">
        <v>23</v>
      </c>
      <c r="I12" s="135"/>
      <c r="J12" s="145"/>
      <c r="K12" s="137"/>
      <c r="L12" s="135">
        <f t="shared" si="0"/>
        <v>0</v>
      </c>
      <c r="M12" s="135">
        <f t="shared" si="1"/>
        <v>0</v>
      </c>
      <c r="N12" s="137">
        <f t="shared" si="103"/>
        <v>0</v>
      </c>
      <c r="O12" s="138">
        <f t="shared" si="2"/>
        <v>40200</v>
      </c>
      <c r="P12" s="139"/>
      <c r="Q12" s="140">
        <f t="shared" si="87"/>
        <v>0</v>
      </c>
      <c r="R12" s="145"/>
      <c r="S12" s="146"/>
      <c r="T12" s="135">
        <f t="shared" si="3"/>
        <v>0</v>
      </c>
      <c r="U12" s="135">
        <f t="shared" si="4"/>
        <v>0</v>
      </c>
      <c r="V12" s="137">
        <f t="shared" si="39"/>
        <v>0</v>
      </c>
      <c r="W12" s="138">
        <f t="shared" si="5"/>
        <v>40200</v>
      </c>
      <c r="X12" s="141"/>
      <c r="Y12" s="140">
        <f t="shared" si="88"/>
        <v>0</v>
      </c>
      <c r="Z12" s="145"/>
      <c r="AA12" s="146">
        <v>3400</v>
      </c>
      <c r="AB12" s="135">
        <f t="shared" si="6"/>
        <v>0</v>
      </c>
      <c r="AC12" s="135">
        <f t="shared" si="7"/>
        <v>340</v>
      </c>
      <c r="AD12" s="142">
        <f t="shared" si="8"/>
        <v>3740</v>
      </c>
      <c r="AE12" s="138">
        <f t="shared" si="9"/>
        <v>36460</v>
      </c>
      <c r="AF12" s="143"/>
      <c r="AG12" s="140">
        <f t="shared" si="89"/>
        <v>3740</v>
      </c>
      <c r="AH12" s="145">
        <v>1000</v>
      </c>
      <c r="AI12" s="146"/>
      <c r="AJ12" s="135">
        <f t="shared" si="10"/>
        <v>137</v>
      </c>
      <c r="AK12" s="135">
        <f t="shared" si="11"/>
        <v>0</v>
      </c>
      <c r="AL12" s="142">
        <f t="shared" si="90"/>
        <v>2877</v>
      </c>
      <c r="AM12" s="138">
        <f t="shared" si="12"/>
        <v>37323</v>
      </c>
      <c r="AN12" s="143"/>
      <c r="AO12" s="140">
        <f t="shared" si="91"/>
        <v>2877</v>
      </c>
      <c r="AP12" s="145">
        <v>1000</v>
      </c>
      <c r="AQ12" s="146"/>
      <c r="AR12" s="135">
        <f t="shared" si="50"/>
        <v>93.850000000000009</v>
      </c>
      <c r="AS12" s="135">
        <f t="shared" si="13"/>
        <v>0</v>
      </c>
      <c r="AT12" s="142">
        <f t="shared" si="92"/>
        <v>1970.85</v>
      </c>
      <c r="AU12" s="138">
        <f t="shared" si="14"/>
        <v>38229.15</v>
      </c>
      <c r="AV12" s="143"/>
      <c r="AW12" s="140">
        <f t="shared" si="93"/>
        <v>1970.85</v>
      </c>
      <c r="AX12" s="145">
        <v>1000</v>
      </c>
      <c r="AY12" s="146"/>
      <c r="AZ12" s="135">
        <f t="shared" si="55"/>
        <v>48.542499999999997</v>
      </c>
      <c r="BA12" s="135">
        <f t="shared" si="15"/>
        <v>0</v>
      </c>
      <c r="BB12" s="142">
        <f t="shared" si="94"/>
        <v>1019.3924999999999</v>
      </c>
      <c r="BC12" s="138">
        <f t="shared" si="16"/>
        <v>39180.607499999998</v>
      </c>
      <c r="BD12" s="143"/>
      <c r="BE12" s="140">
        <f t="shared" si="95"/>
        <v>1019.3924999999999</v>
      </c>
      <c r="BF12" s="145">
        <v>1019.3924999999999</v>
      </c>
      <c r="BG12" s="146"/>
      <c r="BH12" s="135">
        <f t="shared" si="60"/>
        <v>0</v>
      </c>
      <c r="BI12" s="135">
        <f t="shared" si="17"/>
        <v>0</v>
      </c>
      <c r="BJ12" s="142">
        <f t="shared" si="96"/>
        <v>0</v>
      </c>
      <c r="BK12" s="138">
        <f t="shared" si="18"/>
        <v>40200</v>
      </c>
      <c r="BL12" s="143"/>
      <c r="BM12" s="140">
        <f t="shared" si="97"/>
        <v>0</v>
      </c>
      <c r="BN12" s="145"/>
      <c r="BO12" s="146"/>
      <c r="BP12" s="135">
        <f t="shared" si="19"/>
        <v>0</v>
      </c>
      <c r="BQ12" s="135">
        <f t="shared" si="20"/>
        <v>0</v>
      </c>
      <c r="BR12" s="135"/>
      <c r="BS12" s="142">
        <f t="shared" si="98"/>
        <v>0</v>
      </c>
      <c r="BT12" s="138">
        <f t="shared" si="21"/>
        <v>40200</v>
      </c>
      <c r="BU12" s="143"/>
      <c r="BV12" s="140">
        <f t="shared" si="22"/>
        <v>0</v>
      </c>
      <c r="BW12" s="136"/>
      <c r="BX12" s="137"/>
      <c r="BY12" s="135">
        <f t="shared" si="23"/>
        <v>0</v>
      </c>
      <c r="BZ12" s="135">
        <f t="shared" si="24"/>
        <v>0</v>
      </c>
      <c r="CA12" s="135"/>
      <c r="CB12" s="142">
        <f t="shared" si="99"/>
        <v>0</v>
      </c>
      <c r="CC12" s="138">
        <f t="shared" si="25"/>
        <v>40200</v>
      </c>
      <c r="CD12" s="143"/>
      <c r="CE12" s="140">
        <f t="shared" si="100"/>
        <v>0</v>
      </c>
      <c r="CF12" s="145"/>
      <c r="CG12" s="146">
        <v>11000</v>
      </c>
      <c r="CH12" s="144"/>
      <c r="CI12" s="135">
        <f t="shared" si="73"/>
        <v>0</v>
      </c>
      <c r="CJ12" s="135">
        <f t="shared" si="26"/>
        <v>1100</v>
      </c>
      <c r="CK12" s="135"/>
      <c r="CL12" s="142">
        <f t="shared" si="75"/>
        <v>12100</v>
      </c>
      <c r="CM12" s="138">
        <f t="shared" si="27"/>
        <v>28100</v>
      </c>
      <c r="CN12" s="143"/>
      <c r="CO12" s="140">
        <f t="shared" si="77"/>
        <v>12100</v>
      </c>
      <c r="CP12" s="145">
        <v>1100</v>
      </c>
      <c r="CQ12" s="146"/>
      <c r="CR12" s="135">
        <f t="shared" si="28"/>
        <v>550</v>
      </c>
      <c r="CS12" s="135">
        <f t="shared" si="29"/>
        <v>0</v>
      </c>
      <c r="CT12" s="135"/>
      <c r="CU12" s="142">
        <f t="shared" si="80"/>
        <v>11550</v>
      </c>
      <c r="CV12" s="138">
        <f t="shared" si="30"/>
        <v>28650</v>
      </c>
      <c r="CW12" s="143"/>
      <c r="CX12" s="140">
        <f t="shared" si="101"/>
        <v>11550</v>
      </c>
      <c r="CY12" s="145"/>
      <c r="CZ12" s="146"/>
      <c r="DA12" s="135">
        <f t="shared" si="102"/>
        <v>577.5</v>
      </c>
      <c r="DB12" s="135">
        <f t="shared" si="31"/>
        <v>0</v>
      </c>
      <c r="DC12" s="142">
        <f t="shared" si="85"/>
        <v>12127.5</v>
      </c>
      <c r="DD12" s="138">
        <f t="shared" si="32"/>
        <v>28072.5</v>
      </c>
    </row>
    <row r="13" spans="2:108" ht="29" x14ac:dyDescent="0.45">
      <c r="B13" s="121" t="s">
        <v>103</v>
      </c>
      <c r="C13" s="121" t="s">
        <v>104</v>
      </c>
      <c r="D13" s="121" t="s">
        <v>105</v>
      </c>
      <c r="E13" s="121" t="s">
        <v>115</v>
      </c>
      <c r="G13" s="133">
        <v>8</v>
      </c>
      <c r="H13" s="134" t="s">
        <v>24</v>
      </c>
      <c r="I13" s="135"/>
      <c r="J13" s="145"/>
      <c r="K13" s="137">
        <v>600</v>
      </c>
      <c r="L13" s="135">
        <f t="shared" si="0"/>
        <v>0</v>
      </c>
      <c r="M13" s="135">
        <f t="shared" si="1"/>
        <v>60</v>
      </c>
      <c r="N13" s="137">
        <f t="shared" si="103"/>
        <v>660</v>
      </c>
      <c r="O13" s="138">
        <f t="shared" si="2"/>
        <v>21540</v>
      </c>
      <c r="P13" s="139"/>
      <c r="Q13" s="140">
        <f t="shared" si="87"/>
        <v>660</v>
      </c>
      <c r="R13" s="145">
        <v>1</v>
      </c>
      <c r="S13" s="146"/>
      <c r="T13" s="135">
        <f t="shared" si="3"/>
        <v>32.950000000000003</v>
      </c>
      <c r="U13" s="135">
        <f t="shared" si="4"/>
        <v>0</v>
      </c>
      <c r="V13" s="137">
        <f t="shared" si="39"/>
        <v>691.95</v>
      </c>
      <c r="W13" s="138">
        <f t="shared" si="5"/>
        <v>21508.05</v>
      </c>
      <c r="X13" s="141"/>
      <c r="Y13" s="140">
        <f t="shared" si="88"/>
        <v>691.95</v>
      </c>
      <c r="Z13" s="145"/>
      <c r="AA13" s="146"/>
      <c r="AB13" s="135">
        <f>((Y13-Z13)*0.05)</f>
        <v>34.597500000000004</v>
      </c>
      <c r="AC13" s="135">
        <f t="shared" si="7"/>
        <v>0</v>
      </c>
      <c r="AD13" s="142">
        <f t="shared" si="8"/>
        <v>726.54750000000001</v>
      </c>
      <c r="AE13" s="138">
        <f t="shared" si="9"/>
        <v>21473.452499999999</v>
      </c>
      <c r="AF13" s="143"/>
      <c r="AG13" s="140">
        <f t="shared" si="89"/>
        <v>726.54750000000001</v>
      </c>
      <c r="AH13" s="61"/>
      <c r="AI13" s="146"/>
      <c r="AJ13" s="135">
        <f>((AG13-AH13)*0.05)</f>
        <v>36.327375000000004</v>
      </c>
      <c r="AK13" s="135">
        <f t="shared" si="11"/>
        <v>0</v>
      </c>
      <c r="AL13" s="142">
        <f t="shared" si="90"/>
        <v>762.87487499999997</v>
      </c>
      <c r="AM13" s="138">
        <f t="shared" si="12"/>
        <v>21437.125124999999</v>
      </c>
      <c r="AN13" s="143"/>
      <c r="AO13" s="140">
        <f t="shared" si="91"/>
        <v>762.87487499999997</v>
      </c>
      <c r="AP13" s="145"/>
      <c r="AQ13" s="146"/>
      <c r="AR13" s="135">
        <f t="shared" si="50"/>
        <v>38.143743749999999</v>
      </c>
      <c r="AS13" s="135">
        <f t="shared" si="13"/>
        <v>0</v>
      </c>
      <c r="AT13" s="142">
        <f t="shared" si="92"/>
        <v>801.01861874999997</v>
      </c>
      <c r="AU13" s="138">
        <f t="shared" si="14"/>
        <v>21398.98138125</v>
      </c>
      <c r="AV13" s="143"/>
      <c r="AW13" s="140">
        <f t="shared" si="93"/>
        <v>801.01861874999997</v>
      </c>
      <c r="AX13" s="145"/>
      <c r="AY13" s="146">
        <v>17500</v>
      </c>
      <c r="AZ13" s="135">
        <f t="shared" si="55"/>
        <v>40.050930937499999</v>
      </c>
      <c r="BA13" s="135">
        <f t="shared" si="15"/>
        <v>1750</v>
      </c>
      <c r="BB13" s="142">
        <f t="shared" si="94"/>
        <v>20091.069549687501</v>
      </c>
      <c r="BC13" s="138">
        <f t="shared" si="16"/>
        <v>2108.9304503124986</v>
      </c>
      <c r="BD13" s="143"/>
      <c r="BE13" s="140">
        <f t="shared" si="95"/>
        <v>20091.069549687501</v>
      </c>
      <c r="BF13" s="145">
        <v>2000</v>
      </c>
      <c r="BG13" s="146"/>
      <c r="BH13" s="135">
        <f t="shared" si="60"/>
        <v>904.55347748437509</v>
      </c>
      <c r="BI13" s="135">
        <f t="shared" si="17"/>
        <v>0</v>
      </c>
      <c r="BJ13" s="142">
        <f t="shared" si="96"/>
        <v>18995.623027171878</v>
      </c>
      <c r="BK13" s="138">
        <f t="shared" si="18"/>
        <v>3204.3769728281222</v>
      </c>
      <c r="BL13" s="143"/>
      <c r="BM13" s="140">
        <f t="shared" si="97"/>
        <v>18995.623027171878</v>
      </c>
      <c r="BN13" s="145">
        <v>2000</v>
      </c>
      <c r="BO13" s="146"/>
      <c r="BP13" s="135">
        <f t="shared" si="19"/>
        <v>849.78115135859389</v>
      </c>
      <c r="BQ13" s="135">
        <f t="shared" si="20"/>
        <v>0</v>
      </c>
      <c r="BR13" s="135"/>
      <c r="BS13" s="142">
        <f t="shared" si="98"/>
        <v>17845.404178530473</v>
      </c>
      <c r="BT13" s="138">
        <f t="shared" si="21"/>
        <v>4354.5958214695274</v>
      </c>
      <c r="BU13" s="143"/>
      <c r="BV13" s="140">
        <f t="shared" si="22"/>
        <v>17845.404178530473</v>
      </c>
      <c r="BW13" s="136">
        <v>2000</v>
      </c>
      <c r="BX13" s="137"/>
      <c r="BY13" s="135">
        <f t="shared" si="23"/>
        <v>792.27020892652365</v>
      </c>
      <c r="BZ13" s="135">
        <f t="shared" si="24"/>
        <v>0</v>
      </c>
      <c r="CA13" s="135"/>
      <c r="CB13" s="142">
        <f t="shared" si="99"/>
        <v>16637.674387456995</v>
      </c>
      <c r="CC13" s="138">
        <f t="shared" si="25"/>
        <v>5562.3256125430053</v>
      </c>
      <c r="CD13" s="143"/>
      <c r="CE13" s="140">
        <f t="shared" si="100"/>
        <v>16637.674387456995</v>
      </c>
      <c r="CF13" s="145">
        <v>2600</v>
      </c>
      <c r="CG13" s="146"/>
      <c r="CH13" s="144">
        <v>1217.8864970645791</v>
      </c>
      <c r="CI13" s="135">
        <f t="shared" si="73"/>
        <v>701.88371937284978</v>
      </c>
      <c r="CJ13" s="135">
        <f t="shared" si="26"/>
        <v>121.78864970645792</v>
      </c>
      <c r="CK13" s="135"/>
      <c r="CL13" s="142">
        <f t="shared" si="75"/>
        <v>14861.346756536303</v>
      </c>
      <c r="CM13" s="138">
        <f t="shared" si="27"/>
        <v>7338.6532434636974</v>
      </c>
      <c r="CN13" s="143"/>
      <c r="CO13" s="140">
        <f t="shared" si="77"/>
        <v>14861.346756536303</v>
      </c>
      <c r="CP13" s="145">
        <v>2621.79</v>
      </c>
      <c r="CQ13" s="146"/>
      <c r="CR13" s="135">
        <f t="shared" si="28"/>
        <v>611.97783782681506</v>
      </c>
      <c r="CS13" s="135">
        <f t="shared" si="29"/>
        <v>0</v>
      </c>
      <c r="CT13" s="135"/>
      <c r="CU13" s="142">
        <f t="shared" si="80"/>
        <v>12851.534594363116</v>
      </c>
      <c r="CV13" s="138">
        <f t="shared" si="30"/>
        <v>9348.4654056368836</v>
      </c>
      <c r="CW13" s="143"/>
      <c r="CX13" s="140">
        <f t="shared" si="101"/>
        <v>12851.534594363116</v>
      </c>
      <c r="CY13" s="145"/>
      <c r="CZ13" s="146"/>
      <c r="DA13" s="135">
        <f t="shared" si="102"/>
        <v>642.57672971815589</v>
      </c>
      <c r="DB13" s="135">
        <f t="shared" si="31"/>
        <v>0</v>
      </c>
      <c r="DC13" s="142">
        <f t="shared" si="85"/>
        <v>13494.111324081272</v>
      </c>
      <c r="DD13" s="138">
        <f t="shared" si="32"/>
        <v>8705.888675918728</v>
      </c>
    </row>
    <row r="14" spans="2:108" ht="29" x14ac:dyDescent="0.45">
      <c r="B14" s="121" t="s">
        <v>103</v>
      </c>
      <c r="C14" s="121" t="s">
        <v>104</v>
      </c>
      <c r="D14" s="121" t="s">
        <v>105</v>
      </c>
      <c r="E14" s="121" t="s">
        <v>115</v>
      </c>
      <c r="G14" s="133">
        <v>9</v>
      </c>
      <c r="H14" s="134" t="s">
        <v>25</v>
      </c>
      <c r="I14" s="147"/>
      <c r="J14" s="145"/>
      <c r="K14" s="137"/>
      <c r="L14" s="135">
        <f t="shared" si="0"/>
        <v>0</v>
      </c>
      <c r="M14" s="135">
        <f t="shared" si="1"/>
        <v>0</v>
      </c>
      <c r="N14" s="137">
        <f t="shared" si="103"/>
        <v>0</v>
      </c>
      <c r="O14" s="138">
        <f t="shared" si="2"/>
        <v>15600</v>
      </c>
      <c r="P14" s="139"/>
      <c r="Q14" s="140">
        <f t="shared" si="87"/>
        <v>0</v>
      </c>
      <c r="R14" s="145"/>
      <c r="S14" s="146"/>
      <c r="T14" s="135">
        <f t="shared" si="3"/>
        <v>0</v>
      </c>
      <c r="U14" s="135">
        <f t="shared" si="4"/>
        <v>0</v>
      </c>
      <c r="V14" s="137">
        <f t="shared" si="39"/>
        <v>0</v>
      </c>
      <c r="W14" s="138">
        <f t="shared" si="5"/>
        <v>15600</v>
      </c>
      <c r="X14" s="141"/>
      <c r="Y14" s="140">
        <f t="shared" si="88"/>
        <v>0</v>
      </c>
      <c r="Z14" s="145"/>
      <c r="AA14" s="146">
        <v>11300</v>
      </c>
      <c r="AB14" s="135">
        <f t="shared" si="6"/>
        <v>0</v>
      </c>
      <c r="AC14" s="135">
        <f t="shared" si="7"/>
        <v>1130</v>
      </c>
      <c r="AD14" s="142">
        <f t="shared" si="8"/>
        <v>12430</v>
      </c>
      <c r="AE14" s="138">
        <f t="shared" si="9"/>
        <v>3170</v>
      </c>
      <c r="AF14" s="143"/>
      <c r="AG14" s="140">
        <f t="shared" si="89"/>
        <v>12430</v>
      </c>
      <c r="AH14" s="145">
        <v>1200</v>
      </c>
      <c r="AI14" s="146"/>
      <c r="AJ14" s="135">
        <f t="shared" ref="AJ14:AJ29" si="104">((AG14-AH14)*0.05)</f>
        <v>561.5</v>
      </c>
      <c r="AK14" s="135">
        <f t="shared" si="11"/>
        <v>0</v>
      </c>
      <c r="AL14" s="142">
        <f t="shared" si="90"/>
        <v>11791.5</v>
      </c>
      <c r="AM14" s="138">
        <f t="shared" si="12"/>
        <v>3808.5</v>
      </c>
      <c r="AN14" s="143"/>
      <c r="AO14" s="140">
        <f t="shared" si="91"/>
        <v>11791.5</v>
      </c>
      <c r="AP14" s="145">
        <v>1000</v>
      </c>
      <c r="AQ14" s="146"/>
      <c r="AR14" s="135">
        <f t="shared" si="50"/>
        <v>539.57500000000005</v>
      </c>
      <c r="AS14" s="135">
        <f t="shared" si="13"/>
        <v>0</v>
      </c>
      <c r="AT14" s="142">
        <f t="shared" si="92"/>
        <v>11331.075000000001</v>
      </c>
      <c r="AU14" s="138">
        <f t="shared" si="14"/>
        <v>4268.9249999999993</v>
      </c>
      <c r="AV14" s="143"/>
      <c r="AW14" s="140">
        <f t="shared" si="93"/>
        <v>11331.075000000001</v>
      </c>
      <c r="AX14" s="145">
        <v>5000</v>
      </c>
      <c r="AY14" s="146"/>
      <c r="AZ14" s="135">
        <f t="shared" si="55"/>
        <v>316.55375000000004</v>
      </c>
      <c r="BA14" s="135">
        <f t="shared" si="15"/>
        <v>0</v>
      </c>
      <c r="BB14" s="142">
        <f t="shared" si="94"/>
        <v>6647.6287500000008</v>
      </c>
      <c r="BC14" s="138">
        <f t="shared" si="16"/>
        <v>8952.3712500000001</v>
      </c>
      <c r="BD14" s="143"/>
      <c r="BE14" s="140">
        <f t="shared" si="95"/>
        <v>6647.6287500000008</v>
      </c>
      <c r="BF14" s="145">
        <v>2000</v>
      </c>
      <c r="BG14" s="146"/>
      <c r="BH14" s="135">
        <f t="shared" si="60"/>
        <v>232.38143750000006</v>
      </c>
      <c r="BI14" s="135">
        <f t="shared" si="17"/>
        <v>0</v>
      </c>
      <c r="BJ14" s="142">
        <f t="shared" si="96"/>
        <v>4880.0101875000009</v>
      </c>
      <c r="BK14" s="138">
        <f t="shared" si="18"/>
        <v>10719.9898125</v>
      </c>
      <c r="BL14" s="143"/>
      <c r="BM14" s="140">
        <f t="shared" si="97"/>
        <v>4880.0101875000009</v>
      </c>
      <c r="BN14" s="145">
        <v>2000</v>
      </c>
      <c r="BO14" s="146">
        <v>50000</v>
      </c>
      <c r="BP14" s="135">
        <f t="shared" si="19"/>
        <v>144.00050937500006</v>
      </c>
      <c r="BQ14" s="135">
        <f t="shared" si="20"/>
        <v>5000</v>
      </c>
      <c r="BR14" s="135"/>
      <c r="BS14" s="142">
        <f t="shared" si="98"/>
        <v>58024.010696875004</v>
      </c>
      <c r="BT14" s="138">
        <f t="shared" si="21"/>
        <v>-42424.010696875004</v>
      </c>
      <c r="BU14" s="143"/>
      <c r="BV14" s="140">
        <f t="shared" si="22"/>
        <v>58024.010696875004</v>
      </c>
      <c r="BW14" s="136">
        <v>4000</v>
      </c>
      <c r="BX14" s="137"/>
      <c r="BY14" s="135">
        <f t="shared" si="23"/>
        <v>2701.2005348437506</v>
      </c>
      <c r="BZ14" s="135">
        <f t="shared" si="24"/>
        <v>0</v>
      </c>
      <c r="CA14" s="135"/>
      <c r="CB14" s="142">
        <f t="shared" si="99"/>
        <v>56725.211231718757</v>
      </c>
      <c r="CC14" s="138">
        <f t="shared" si="25"/>
        <v>-41125.211231718757</v>
      </c>
      <c r="CD14" s="143"/>
      <c r="CE14" s="140">
        <f t="shared" si="100"/>
        <v>56725.211231718757</v>
      </c>
      <c r="CF14" s="145">
        <v>10000</v>
      </c>
      <c r="CG14" s="146"/>
      <c r="CH14" s="144">
        <v>855.81213307240705</v>
      </c>
      <c r="CI14" s="135">
        <f t="shared" si="73"/>
        <v>2336.2605615859379</v>
      </c>
      <c r="CJ14" s="135">
        <f t="shared" si="26"/>
        <v>85.581213307240716</v>
      </c>
      <c r="CK14" s="135"/>
      <c r="CL14" s="142">
        <f t="shared" si="75"/>
        <v>49147.053006611932</v>
      </c>
      <c r="CM14" s="138">
        <f t="shared" si="27"/>
        <v>-33547.053006611932</v>
      </c>
      <c r="CN14" s="143"/>
      <c r="CO14" s="140">
        <f t="shared" si="77"/>
        <v>49147.053006611932</v>
      </c>
      <c r="CP14" s="145">
        <v>44750</v>
      </c>
      <c r="CQ14" s="146"/>
      <c r="CR14" s="135">
        <f t="shared" si="28"/>
        <v>219.85265033059659</v>
      </c>
      <c r="CS14" s="135">
        <f t="shared" si="29"/>
        <v>0</v>
      </c>
      <c r="CT14" s="135"/>
      <c r="CU14" s="142">
        <f t="shared" si="80"/>
        <v>4616.9056569425284</v>
      </c>
      <c r="CV14" s="138">
        <f t="shared" si="30"/>
        <v>10983.094343057472</v>
      </c>
      <c r="CW14" s="143"/>
      <c r="CX14" s="140">
        <f t="shared" si="101"/>
        <v>4616.9056569425284</v>
      </c>
      <c r="CY14" s="145"/>
      <c r="CZ14" s="146"/>
      <c r="DA14" s="135">
        <f t="shared" si="102"/>
        <v>230.84528284712644</v>
      </c>
      <c r="DB14" s="135">
        <f t="shared" si="31"/>
        <v>0</v>
      </c>
      <c r="DC14" s="142">
        <f t="shared" si="85"/>
        <v>4847.7509397896547</v>
      </c>
      <c r="DD14" s="138">
        <f t="shared" si="32"/>
        <v>10752.249060210346</v>
      </c>
    </row>
    <row r="15" spans="2:108" ht="29" x14ac:dyDescent="0.45">
      <c r="B15" s="121" t="s">
        <v>103</v>
      </c>
      <c r="C15" s="121" t="s">
        <v>104</v>
      </c>
      <c r="D15" s="121" t="s">
        <v>105</v>
      </c>
      <c r="E15" s="121" t="s">
        <v>115</v>
      </c>
      <c r="G15" s="133">
        <v>10</v>
      </c>
      <c r="H15" s="134" t="s">
        <v>26</v>
      </c>
      <c r="I15" s="135"/>
      <c r="J15" s="145"/>
      <c r="K15" s="137">
        <v>6100</v>
      </c>
      <c r="L15" s="135">
        <f t="shared" si="0"/>
        <v>0</v>
      </c>
      <c r="M15" s="135">
        <f t="shared" si="1"/>
        <v>610</v>
      </c>
      <c r="N15" s="137">
        <f t="shared" si="103"/>
        <v>6710</v>
      </c>
      <c r="O15" s="138">
        <f t="shared" si="2"/>
        <v>13090</v>
      </c>
      <c r="P15" s="139"/>
      <c r="Q15" s="140">
        <f t="shared" si="87"/>
        <v>6710</v>
      </c>
      <c r="R15" s="145">
        <v>1300</v>
      </c>
      <c r="S15" s="146"/>
      <c r="T15" s="135">
        <f t="shared" si="3"/>
        <v>270.5</v>
      </c>
      <c r="U15" s="135">
        <f t="shared" si="4"/>
        <v>0</v>
      </c>
      <c r="V15" s="137">
        <f t="shared" si="39"/>
        <v>5680.5</v>
      </c>
      <c r="W15" s="138">
        <f t="shared" si="5"/>
        <v>14119.5</v>
      </c>
      <c r="X15" s="141"/>
      <c r="Y15" s="140">
        <f t="shared" si="88"/>
        <v>5680.5</v>
      </c>
      <c r="Z15" s="145">
        <v>600</v>
      </c>
      <c r="AA15" s="146"/>
      <c r="AB15" s="135">
        <f t="shared" si="6"/>
        <v>254.02500000000001</v>
      </c>
      <c r="AC15" s="135">
        <f t="shared" si="7"/>
        <v>0</v>
      </c>
      <c r="AD15" s="142">
        <f t="shared" si="8"/>
        <v>5334.5249999999996</v>
      </c>
      <c r="AE15" s="138">
        <f t="shared" si="9"/>
        <v>14465.475</v>
      </c>
      <c r="AF15" s="143"/>
      <c r="AG15" s="140">
        <f t="shared" si="89"/>
        <v>5334.5249999999996</v>
      </c>
      <c r="AH15" s="145">
        <v>1000</v>
      </c>
      <c r="AI15" s="146">
        <v>21000</v>
      </c>
      <c r="AJ15" s="135">
        <f t="shared" si="104"/>
        <v>216.72624999999999</v>
      </c>
      <c r="AK15" s="135">
        <f t="shared" si="11"/>
        <v>2100</v>
      </c>
      <c r="AL15" s="142">
        <f t="shared" si="90"/>
        <v>27651.251250000001</v>
      </c>
      <c r="AM15" s="138">
        <f t="shared" si="12"/>
        <v>-7851.2512500000012</v>
      </c>
      <c r="AN15" s="143"/>
      <c r="AO15" s="140">
        <f t="shared" si="91"/>
        <v>27651.251250000001</v>
      </c>
      <c r="AP15" s="145">
        <v>9600</v>
      </c>
      <c r="AQ15" s="146"/>
      <c r="AR15" s="135">
        <f t="shared" si="50"/>
        <v>902.56256250000013</v>
      </c>
      <c r="AS15" s="135">
        <f t="shared" si="13"/>
        <v>0</v>
      </c>
      <c r="AT15" s="142">
        <f t="shared" si="92"/>
        <v>18953.8138125</v>
      </c>
      <c r="AU15" s="138">
        <f t="shared" si="14"/>
        <v>846.18618749999951</v>
      </c>
      <c r="AV15" s="143"/>
      <c r="AW15" s="140">
        <f t="shared" si="93"/>
        <v>18953.8138125</v>
      </c>
      <c r="AX15" s="145">
        <v>953.81</v>
      </c>
      <c r="AY15" s="146"/>
      <c r="AZ15" s="135">
        <f t="shared" si="55"/>
        <v>900.00019062499996</v>
      </c>
      <c r="BA15" s="135">
        <f t="shared" si="15"/>
        <v>0</v>
      </c>
      <c r="BB15" s="142">
        <f t="shared" si="94"/>
        <v>18900.004003124999</v>
      </c>
      <c r="BC15" s="138">
        <f t="shared" si="16"/>
        <v>899.99599687500086</v>
      </c>
      <c r="BD15" s="143"/>
      <c r="BE15" s="140">
        <f t="shared" si="95"/>
        <v>18900.004003124999</v>
      </c>
      <c r="BF15" s="145">
        <v>900</v>
      </c>
      <c r="BG15" s="146"/>
      <c r="BH15" s="135">
        <f t="shared" si="60"/>
        <v>900.00020015625</v>
      </c>
      <c r="BI15" s="135">
        <f t="shared" si="17"/>
        <v>0</v>
      </c>
      <c r="BJ15" s="142">
        <f t="shared" si="96"/>
        <v>18900.004203281249</v>
      </c>
      <c r="BK15" s="138">
        <f t="shared" si="18"/>
        <v>899.99579671875108</v>
      </c>
      <c r="BL15" s="143"/>
      <c r="BM15" s="140">
        <f t="shared" si="97"/>
        <v>18900.004203281249</v>
      </c>
      <c r="BN15" s="145">
        <v>2900</v>
      </c>
      <c r="BO15" s="146"/>
      <c r="BP15" s="135">
        <f t="shared" si="19"/>
        <v>800.00021016406254</v>
      </c>
      <c r="BQ15" s="135">
        <f t="shared" si="20"/>
        <v>0</v>
      </c>
      <c r="BR15" s="135"/>
      <c r="BS15" s="142">
        <f t="shared" si="98"/>
        <v>16800.004413445313</v>
      </c>
      <c r="BT15" s="138">
        <f t="shared" si="21"/>
        <v>2999.9955865546872</v>
      </c>
      <c r="BU15" s="143"/>
      <c r="BV15" s="140">
        <f t="shared" si="22"/>
        <v>16800.004413445313</v>
      </c>
      <c r="BW15" s="136">
        <v>2800</v>
      </c>
      <c r="BX15" s="137"/>
      <c r="BY15" s="135">
        <f t="shared" si="23"/>
        <v>700.00022067226564</v>
      </c>
      <c r="BZ15" s="135">
        <f t="shared" si="24"/>
        <v>0</v>
      </c>
      <c r="CA15" s="135"/>
      <c r="CB15" s="142">
        <f t="shared" si="99"/>
        <v>14700.004634117578</v>
      </c>
      <c r="CC15" s="138">
        <f t="shared" si="25"/>
        <v>5099.9953658824215</v>
      </c>
      <c r="CD15" s="143"/>
      <c r="CE15" s="140">
        <f t="shared" si="100"/>
        <v>14700.004634117578</v>
      </c>
      <c r="CF15" s="145">
        <v>4900</v>
      </c>
      <c r="CG15" s="146"/>
      <c r="CH15" s="144">
        <v>1086.2230919765166</v>
      </c>
      <c r="CI15" s="135">
        <f t="shared" si="73"/>
        <v>490.00023170587895</v>
      </c>
      <c r="CJ15" s="135">
        <f t="shared" si="26"/>
        <v>108.62230919765166</v>
      </c>
      <c r="CK15" s="135"/>
      <c r="CL15" s="142">
        <f t="shared" si="75"/>
        <v>10398.627175021109</v>
      </c>
      <c r="CM15" s="138">
        <f t="shared" si="27"/>
        <v>9401.372824978891</v>
      </c>
      <c r="CN15" s="143"/>
      <c r="CO15" s="140">
        <f t="shared" si="77"/>
        <v>10398.627175021109</v>
      </c>
      <c r="CP15" s="145">
        <v>796.74</v>
      </c>
      <c r="CQ15" s="146"/>
      <c r="CR15" s="135">
        <f t="shared" si="28"/>
        <v>480.09435875105549</v>
      </c>
      <c r="CS15" s="135">
        <f t="shared" si="29"/>
        <v>0</v>
      </c>
      <c r="CT15" s="135"/>
      <c r="CU15" s="142">
        <f t="shared" si="80"/>
        <v>10081.981533772165</v>
      </c>
      <c r="CV15" s="138">
        <f t="shared" si="30"/>
        <v>9718.0184662278352</v>
      </c>
      <c r="CW15" s="143"/>
      <c r="CX15" s="140">
        <f t="shared" si="101"/>
        <v>10081.981533772165</v>
      </c>
      <c r="CY15" s="145"/>
      <c r="CZ15" s="146"/>
      <c r="DA15" s="135">
        <f t="shared" si="102"/>
        <v>504.09907668860825</v>
      </c>
      <c r="DB15" s="135">
        <f t="shared" si="31"/>
        <v>0</v>
      </c>
      <c r="DC15" s="142">
        <f t="shared" si="85"/>
        <v>10586.080610460773</v>
      </c>
      <c r="DD15" s="138">
        <f t="shared" si="32"/>
        <v>9213.9193895392273</v>
      </c>
    </row>
    <row r="16" spans="2:108" ht="29" x14ac:dyDescent="0.45">
      <c r="B16" s="121" t="s">
        <v>103</v>
      </c>
      <c r="C16" s="121" t="s">
        <v>104</v>
      </c>
      <c r="D16" s="121" t="s">
        <v>105</v>
      </c>
      <c r="E16" s="121" t="s">
        <v>115</v>
      </c>
      <c r="G16" s="133">
        <v>11</v>
      </c>
      <c r="H16" s="134" t="s">
        <v>27</v>
      </c>
      <c r="I16" s="135"/>
      <c r="J16" s="145"/>
      <c r="K16" s="137"/>
      <c r="L16" s="135">
        <f t="shared" si="0"/>
        <v>0</v>
      </c>
      <c r="M16" s="135">
        <f t="shared" si="1"/>
        <v>0</v>
      </c>
      <c r="N16" s="137">
        <f t="shared" si="103"/>
        <v>0</v>
      </c>
      <c r="O16" s="138">
        <f t="shared" si="2"/>
        <v>95400</v>
      </c>
      <c r="P16" s="139"/>
      <c r="Q16" s="140">
        <f t="shared" si="87"/>
        <v>0</v>
      </c>
      <c r="R16" s="145"/>
      <c r="S16" s="146">
        <v>6000</v>
      </c>
      <c r="T16" s="135">
        <f t="shared" si="3"/>
        <v>0</v>
      </c>
      <c r="U16" s="135">
        <f t="shared" si="4"/>
        <v>600</v>
      </c>
      <c r="V16" s="137">
        <f t="shared" si="39"/>
        <v>6600</v>
      </c>
      <c r="W16" s="138">
        <f t="shared" si="5"/>
        <v>88800</v>
      </c>
      <c r="X16" s="141"/>
      <c r="Y16" s="140">
        <f t="shared" si="88"/>
        <v>6600</v>
      </c>
      <c r="Z16" s="145">
        <v>1000</v>
      </c>
      <c r="AA16" s="146">
        <v>8750</v>
      </c>
      <c r="AB16" s="135">
        <f t="shared" si="6"/>
        <v>280</v>
      </c>
      <c r="AC16" s="135">
        <f t="shared" si="7"/>
        <v>875</v>
      </c>
      <c r="AD16" s="142">
        <f t="shared" si="8"/>
        <v>15505</v>
      </c>
      <c r="AE16" s="138">
        <f t="shared" si="9"/>
        <v>79895</v>
      </c>
      <c r="AF16" s="143"/>
      <c r="AG16" s="140">
        <f t="shared" si="89"/>
        <v>15505</v>
      </c>
      <c r="AH16" s="145">
        <v>1000</v>
      </c>
      <c r="AI16" s="146"/>
      <c r="AJ16" s="135">
        <f t="shared" si="104"/>
        <v>725.25</v>
      </c>
      <c r="AK16" s="135">
        <f t="shared" si="11"/>
        <v>0</v>
      </c>
      <c r="AL16" s="142">
        <f t="shared" si="90"/>
        <v>15230.25</v>
      </c>
      <c r="AM16" s="138">
        <f t="shared" si="12"/>
        <v>80169.75</v>
      </c>
      <c r="AN16" s="143"/>
      <c r="AO16" s="140">
        <f t="shared" si="91"/>
        <v>15230.25</v>
      </c>
      <c r="AP16" s="145">
        <v>1600</v>
      </c>
      <c r="AQ16" s="146">
        <v>50000</v>
      </c>
      <c r="AR16" s="135">
        <f t="shared" si="50"/>
        <v>681.51250000000005</v>
      </c>
      <c r="AS16" s="135">
        <f t="shared" si="13"/>
        <v>5000</v>
      </c>
      <c r="AT16" s="142">
        <f t="shared" si="92"/>
        <v>69311.762499999997</v>
      </c>
      <c r="AU16" s="138">
        <f t="shared" si="14"/>
        <v>26088.237500000003</v>
      </c>
      <c r="AV16" s="143"/>
      <c r="AW16" s="140">
        <f t="shared" si="93"/>
        <v>69311.762499999997</v>
      </c>
      <c r="AX16" s="145">
        <v>8000</v>
      </c>
      <c r="AY16" s="146"/>
      <c r="AZ16" s="135">
        <f t="shared" si="55"/>
        <v>3065.5881250000002</v>
      </c>
      <c r="BA16" s="135">
        <f t="shared" si="15"/>
        <v>0</v>
      </c>
      <c r="BB16" s="142">
        <f t="shared" si="94"/>
        <v>64377.350624999999</v>
      </c>
      <c r="BC16" s="138">
        <f t="shared" si="16"/>
        <v>31022.649375000001</v>
      </c>
      <c r="BD16" s="143"/>
      <c r="BE16" s="140">
        <f t="shared" si="95"/>
        <v>64377.350624999999</v>
      </c>
      <c r="BF16" s="145">
        <v>3000</v>
      </c>
      <c r="BG16" s="146">
        <v>55000</v>
      </c>
      <c r="BH16" s="135">
        <f t="shared" si="60"/>
        <v>3068.86753125</v>
      </c>
      <c r="BI16" s="135">
        <f t="shared" si="17"/>
        <v>5500</v>
      </c>
      <c r="BJ16" s="142">
        <f t="shared" si="96"/>
        <v>124946.21815624999</v>
      </c>
      <c r="BK16" s="138">
        <f t="shared" si="18"/>
        <v>-29546.21815624999</v>
      </c>
      <c r="BL16" s="143"/>
      <c r="BM16" s="140">
        <f t="shared" si="97"/>
        <v>124946.21815624999</v>
      </c>
      <c r="BN16" s="145">
        <v>15000</v>
      </c>
      <c r="BO16" s="146"/>
      <c r="BP16" s="135">
        <f t="shared" si="19"/>
        <v>5497.3109078124999</v>
      </c>
      <c r="BQ16" s="135">
        <f t="shared" si="20"/>
        <v>0</v>
      </c>
      <c r="BR16" s="135"/>
      <c r="BS16" s="142">
        <f t="shared" si="98"/>
        <v>115443.52906406249</v>
      </c>
      <c r="BT16" s="138">
        <f t="shared" si="21"/>
        <v>-20043.529064062488</v>
      </c>
      <c r="BU16" s="143"/>
      <c r="BV16" s="140">
        <f t="shared" si="22"/>
        <v>115443.52906406249</v>
      </c>
      <c r="BW16" s="136">
        <v>6000</v>
      </c>
      <c r="BX16" s="137"/>
      <c r="BY16" s="135">
        <f t="shared" si="23"/>
        <v>5472.1764532031248</v>
      </c>
      <c r="BZ16" s="135">
        <f t="shared" si="24"/>
        <v>0</v>
      </c>
      <c r="CA16" s="135"/>
      <c r="CB16" s="142">
        <f t="shared" si="99"/>
        <v>114915.70551726561</v>
      </c>
      <c r="CC16" s="138">
        <f t="shared" si="25"/>
        <v>-19515.705517265611</v>
      </c>
      <c r="CD16" s="143"/>
      <c r="CE16" s="140">
        <f t="shared" si="100"/>
        <v>114915.70551726561</v>
      </c>
      <c r="CF16" s="145">
        <v>5000</v>
      </c>
      <c r="CG16" s="146"/>
      <c r="CH16" s="144">
        <v>5233.6203522504893</v>
      </c>
      <c r="CI16" s="135">
        <f t="shared" si="73"/>
        <v>5495.7852758632807</v>
      </c>
      <c r="CJ16" s="135">
        <f t="shared" si="26"/>
        <v>523.362035225049</v>
      </c>
      <c r="CK16" s="135"/>
      <c r="CL16" s="142">
        <f t="shared" si="75"/>
        <v>115934.85282835393</v>
      </c>
      <c r="CM16" s="138">
        <f t="shared" si="27"/>
        <v>-20534.852828353934</v>
      </c>
      <c r="CN16" s="143"/>
      <c r="CO16" s="140">
        <f t="shared" si="77"/>
        <v>115934.85282835393</v>
      </c>
      <c r="CP16" s="145">
        <v>40000</v>
      </c>
      <c r="CQ16" s="146"/>
      <c r="CR16" s="135">
        <f t="shared" si="28"/>
        <v>3796.7426414176971</v>
      </c>
      <c r="CS16" s="135">
        <f t="shared" si="29"/>
        <v>0</v>
      </c>
      <c r="CT16" s="135"/>
      <c r="CU16" s="142">
        <f t="shared" si="80"/>
        <v>79731.595469771637</v>
      </c>
      <c r="CV16" s="138">
        <f t="shared" si="30"/>
        <v>15668.404530228363</v>
      </c>
      <c r="CW16" s="143"/>
      <c r="CX16" s="140">
        <f t="shared" si="101"/>
        <v>79731.595469771637</v>
      </c>
      <c r="CY16" s="145"/>
      <c r="CZ16" s="146"/>
      <c r="DA16" s="135">
        <f t="shared" si="102"/>
        <v>3986.5797734885818</v>
      </c>
      <c r="DB16" s="135">
        <f t="shared" si="31"/>
        <v>0</v>
      </c>
      <c r="DC16" s="142">
        <f t="shared" si="85"/>
        <v>83718.175243260222</v>
      </c>
      <c r="DD16" s="138">
        <f t="shared" si="32"/>
        <v>11681.824756739778</v>
      </c>
    </row>
    <row r="17" spans="2:108" ht="37.5" customHeight="1" x14ac:dyDescent="0.45">
      <c r="B17" s="121"/>
      <c r="C17" s="121"/>
      <c r="D17" s="121"/>
      <c r="E17" s="121"/>
      <c r="G17" s="133">
        <v>12</v>
      </c>
      <c r="H17" s="134" t="s">
        <v>28</v>
      </c>
      <c r="I17" s="135"/>
      <c r="J17" s="145"/>
      <c r="K17" s="137"/>
      <c r="L17" s="135">
        <f t="shared" si="0"/>
        <v>0</v>
      </c>
      <c r="M17" s="135">
        <f t="shared" si="1"/>
        <v>0</v>
      </c>
      <c r="N17" s="137">
        <f t="shared" si="103"/>
        <v>0</v>
      </c>
      <c r="O17" s="138">
        <f t="shared" si="2"/>
        <v>9600</v>
      </c>
      <c r="P17" s="139"/>
      <c r="Q17" s="140">
        <f t="shared" si="87"/>
        <v>0</v>
      </c>
      <c r="R17" s="145"/>
      <c r="S17" s="146"/>
      <c r="T17" s="135">
        <f t="shared" si="3"/>
        <v>0</v>
      </c>
      <c r="U17" s="135">
        <f t="shared" si="4"/>
        <v>0</v>
      </c>
      <c r="V17" s="137">
        <f t="shared" si="39"/>
        <v>0</v>
      </c>
      <c r="W17" s="138">
        <f t="shared" si="5"/>
        <v>9600</v>
      </c>
      <c r="X17" s="141"/>
      <c r="Y17" s="140">
        <f t="shared" si="88"/>
        <v>0</v>
      </c>
      <c r="Z17" s="145"/>
      <c r="AA17" s="146">
        <v>1400</v>
      </c>
      <c r="AB17" s="135">
        <f t="shared" si="6"/>
        <v>0</v>
      </c>
      <c r="AC17" s="135">
        <f t="shared" si="7"/>
        <v>140</v>
      </c>
      <c r="AD17" s="142">
        <f t="shared" si="8"/>
        <v>1540</v>
      </c>
      <c r="AE17" s="138">
        <f t="shared" si="9"/>
        <v>8060</v>
      </c>
      <c r="AF17" s="143"/>
      <c r="AG17" s="140">
        <f t="shared" si="89"/>
        <v>1540</v>
      </c>
      <c r="AH17" s="145"/>
      <c r="AI17" s="146"/>
      <c r="AJ17" s="135">
        <f t="shared" si="104"/>
        <v>77</v>
      </c>
      <c r="AK17" s="135">
        <f t="shared" si="11"/>
        <v>0</v>
      </c>
      <c r="AL17" s="142">
        <f t="shared" si="90"/>
        <v>1617</v>
      </c>
      <c r="AM17" s="138">
        <f t="shared" si="12"/>
        <v>7983</v>
      </c>
      <c r="AN17" s="143"/>
      <c r="AO17" s="140">
        <f t="shared" si="91"/>
        <v>1617</v>
      </c>
      <c r="AP17" s="145">
        <v>600</v>
      </c>
      <c r="AQ17" s="146"/>
      <c r="AR17" s="135">
        <f t="shared" si="50"/>
        <v>50.85</v>
      </c>
      <c r="AS17" s="135">
        <f t="shared" si="13"/>
        <v>0</v>
      </c>
      <c r="AT17" s="142">
        <f t="shared" si="92"/>
        <v>1067.8499999999999</v>
      </c>
      <c r="AU17" s="138">
        <f t="shared" si="14"/>
        <v>8532.15</v>
      </c>
      <c r="AV17" s="143"/>
      <c r="AW17" s="140">
        <f t="shared" si="93"/>
        <v>1067.8499999999999</v>
      </c>
      <c r="AX17" s="145">
        <v>600</v>
      </c>
      <c r="AY17" s="146"/>
      <c r="AZ17" s="135">
        <f t="shared" si="55"/>
        <v>23.392499999999998</v>
      </c>
      <c r="BA17" s="135">
        <f t="shared" si="15"/>
        <v>0</v>
      </c>
      <c r="BB17" s="142">
        <f t="shared" si="94"/>
        <v>491.24249999999989</v>
      </c>
      <c r="BC17" s="138">
        <f t="shared" si="16"/>
        <v>9108.7574999999997</v>
      </c>
      <c r="BD17" s="143"/>
      <c r="BE17" s="140">
        <f t="shared" si="95"/>
        <v>491.24249999999989</v>
      </c>
      <c r="BF17" s="145">
        <v>500</v>
      </c>
      <c r="BG17" s="146"/>
      <c r="BH17" s="135">
        <f t="shared" si="60"/>
        <v>-0.43787500000000534</v>
      </c>
      <c r="BI17" s="135">
        <f t="shared" si="17"/>
        <v>0</v>
      </c>
      <c r="BJ17" s="142">
        <f t="shared" si="96"/>
        <v>-9.1953750000001122</v>
      </c>
      <c r="BK17" s="138">
        <f t="shared" si="18"/>
        <v>9609.1953749999993</v>
      </c>
      <c r="BL17" s="143"/>
      <c r="BM17" s="140">
        <f t="shared" si="97"/>
        <v>-9.1953750000001122</v>
      </c>
      <c r="BN17" s="145"/>
      <c r="BO17" s="146"/>
      <c r="BP17" s="135">
        <f t="shared" si="19"/>
        <v>-0.45976875000000561</v>
      </c>
      <c r="BQ17" s="135">
        <f t="shared" si="20"/>
        <v>0</v>
      </c>
      <c r="BR17" s="135"/>
      <c r="BS17" s="142">
        <f t="shared" si="98"/>
        <v>-9.6551437500001178</v>
      </c>
      <c r="BT17" s="138">
        <f t="shared" si="21"/>
        <v>9609.6551437500002</v>
      </c>
      <c r="BU17" s="143"/>
      <c r="BV17" s="140">
        <f t="shared" si="22"/>
        <v>-9.6551437500001178</v>
      </c>
      <c r="BW17" s="136"/>
      <c r="BX17" s="137"/>
      <c r="BY17" s="135">
        <f t="shared" si="23"/>
        <v>-0.4827571875000059</v>
      </c>
      <c r="BZ17" s="135">
        <f t="shared" si="24"/>
        <v>0</v>
      </c>
      <c r="CA17" s="135"/>
      <c r="CB17" s="142">
        <f t="shared" si="99"/>
        <v>-10.137900937500124</v>
      </c>
      <c r="CC17" s="138">
        <f t="shared" si="25"/>
        <v>9610.1379009374996</v>
      </c>
      <c r="CD17" s="143"/>
      <c r="CE17" s="140">
        <f t="shared" si="100"/>
        <v>-10.137900937500124</v>
      </c>
      <c r="CF17" s="145">
        <v>400</v>
      </c>
      <c r="CG17" s="146"/>
      <c r="CH17" s="144">
        <v>526.65362035225041</v>
      </c>
      <c r="CI17" s="135">
        <f t="shared" si="73"/>
        <v>-20.506895046875009</v>
      </c>
      <c r="CJ17" s="135">
        <f t="shared" si="26"/>
        <v>52.665362035225044</v>
      </c>
      <c r="CK17" s="135"/>
      <c r="CL17" s="142">
        <f t="shared" si="75"/>
        <v>-377.97943394915012</v>
      </c>
      <c r="CM17" s="138">
        <f t="shared" si="27"/>
        <v>9977.9794339491509</v>
      </c>
      <c r="CN17" s="143"/>
      <c r="CO17" s="140">
        <f t="shared" si="77"/>
        <v>-377.97943394915012</v>
      </c>
      <c r="CP17" s="145">
        <v>0</v>
      </c>
      <c r="CQ17" s="146"/>
      <c r="CR17" s="135">
        <f t="shared" si="28"/>
        <v>-18.898971697457508</v>
      </c>
      <c r="CS17" s="135">
        <f t="shared" si="29"/>
        <v>0</v>
      </c>
      <c r="CT17" s="135"/>
      <c r="CU17" s="142">
        <f t="shared" si="80"/>
        <v>-396.87840564660763</v>
      </c>
      <c r="CV17" s="138">
        <f t="shared" si="30"/>
        <v>9996.8784056466084</v>
      </c>
      <c r="CW17" s="143"/>
      <c r="CX17" s="140">
        <f t="shared" si="101"/>
        <v>-396.87840564660763</v>
      </c>
      <c r="CY17" s="145"/>
      <c r="CZ17" s="146"/>
      <c r="DA17" s="135">
        <f t="shared" si="102"/>
        <v>-19.843920282330384</v>
      </c>
      <c r="DB17" s="135">
        <f t="shared" si="31"/>
        <v>0</v>
      </c>
      <c r="DC17" s="142">
        <f t="shared" si="85"/>
        <v>-416.72232592893801</v>
      </c>
      <c r="DD17" s="138">
        <f t="shared" si="32"/>
        <v>10016.722325928939</v>
      </c>
    </row>
    <row r="18" spans="2:108" ht="29" x14ac:dyDescent="0.45">
      <c r="B18" s="121" t="s">
        <v>103</v>
      </c>
      <c r="C18" s="121" t="s">
        <v>104</v>
      </c>
      <c r="D18" s="121" t="s">
        <v>105</v>
      </c>
      <c r="E18" s="121" t="s">
        <v>115</v>
      </c>
      <c r="G18" s="133">
        <v>13</v>
      </c>
      <c r="H18" s="134" t="s">
        <v>29</v>
      </c>
      <c r="I18" s="135"/>
      <c r="J18" s="145"/>
      <c r="K18" s="137">
        <v>15000</v>
      </c>
      <c r="L18" s="135"/>
      <c r="M18" s="135"/>
      <c r="N18" s="137">
        <f t="shared" si="103"/>
        <v>15000</v>
      </c>
      <c r="O18" s="138">
        <f t="shared" si="2"/>
        <v>7800</v>
      </c>
      <c r="P18" s="139"/>
      <c r="Q18" s="140">
        <f t="shared" si="87"/>
        <v>15000</v>
      </c>
      <c r="R18" s="145">
        <v>5000</v>
      </c>
      <c r="S18" s="146">
        <v>3500</v>
      </c>
      <c r="T18" s="135"/>
      <c r="U18" s="135"/>
      <c r="V18" s="137">
        <f t="shared" si="39"/>
        <v>13500</v>
      </c>
      <c r="W18" s="138">
        <f t="shared" si="5"/>
        <v>9300</v>
      </c>
      <c r="X18" s="141"/>
      <c r="Y18" s="140">
        <f t="shared" si="88"/>
        <v>13500</v>
      </c>
      <c r="Z18" s="145">
        <v>1000</v>
      </c>
      <c r="AA18" s="146">
        <v>2800</v>
      </c>
      <c r="AB18" s="135"/>
      <c r="AC18" s="135"/>
      <c r="AD18" s="142">
        <f t="shared" si="8"/>
        <v>15300</v>
      </c>
      <c r="AE18" s="138"/>
      <c r="AF18" s="143"/>
      <c r="AG18" s="140">
        <f t="shared" si="89"/>
        <v>15300</v>
      </c>
      <c r="AH18" s="145">
        <v>1800</v>
      </c>
      <c r="AI18" s="146"/>
      <c r="AJ18" s="135">
        <f t="shared" si="104"/>
        <v>675</v>
      </c>
      <c r="AK18" s="135">
        <f t="shared" si="11"/>
        <v>0</v>
      </c>
      <c r="AL18" s="142">
        <f t="shared" si="90"/>
        <v>14175</v>
      </c>
      <c r="AM18" s="138"/>
      <c r="AN18" s="143"/>
      <c r="AO18" s="140">
        <f t="shared" si="91"/>
        <v>14175</v>
      </c>
      <c r="AP18" s="145">
        <v>2200</v>
      </c>
      <c r="AQ18" s="146"/>
      <c r="AR18" s="135">
        <f t="shared" si="50"/>
        <v>598.75</v>
      </c>
      <c r="AS18" s="135">
        <f t="shared" si="13"/>
        <v>0</v>
      </c>
      <c r="AT18" s="142">
        <f t="shared" si="92"/>
        <v>12573.75</v>
      </c>
      <c r="AU18" s="138">
        <f t="shared" si="14"/>
        <v>10226.25</v>
      </c>
      <c r="AV18" s="143"/>
      <c r="AW18" s="140">
        <f t="shared" si="93"/>
        <v>12573.75</v>
      </c>
      <c r="AX18" s="145">
        <v>1000</v>
      </c>
      <c r="AY18" s="146">
        <v>8000</v>
      </c>
      <c r="AZ18" s="135">
        <f t="shared" si="55"/>
        <v>578.6875</v>
      </c>
      <c r="BA18" s="135">
        <f t="shared" si="15"/>
        <v>800</v>
      </c>
      <c r="BB18" s="142">
        <f t="shared" si="94"/>
        <v>20952.4375</v>
      </c>
      <c r="BC18" s="138">
        <f t="shared" si="16"/>
        <v>1847.5625</v>
      </c>
      <c r="BD18" s="143"/>
      <c r="BE18" s="140">
        <f t="shared" si="95"/>
        <v>20952.4375</v>
      </c>
      <c r="BF18" s="145">
        <v>3000</v>
      </c>
      <c r="BG18" s="146"/>
      <c r="BH18" s="135">
        <f t="shared" si="60"/>
        <v>897.62187500000005</v>
      </c>
      <c r="BI18" s="135">
        <f t="shared" si="17"/>
        <v>0</v>
      </c>
      <c r="BJ18" s="142">
        <f t="shared" si="96"/>
        <v>18850.059375000001</v>
      </c>
      <c r="BK18" s="138">
        <f t="shared" si="18"/>
        <v>3949.9406249999993</v>
      </c>
      <c r="BL18" s="143"/>
      <c r="BM18" s="140">
        <f t="shared" si="97"/>
        <v>18850.059375000001</v>
      </c>
      <c r="BN18" s="145">
        <v>3500</v>
      </c>
      <c r="BO18" s="146"/>
      <c r="BP18" s="135">
        <f t="shared" si="19"/>
        <v>767.50296875000004</v>
      </c>
      <c r="BQ18" s="135"/>
      <c r="BR18" s="135"/>
      <c r="BS18" s="142">
        <f t="shared" si="98"/>
        <v>16117.56234375</v>
      </c>
      <c r="BT18" s="138"/>
      <c r="BU18" s="143"/>
      <c r="BV18" s="140">
        <f t="shared" si="22"/>
        <v>16117.56234375</v>
      </c>
      <c r="BW18" s="136">
        <v>2500</v>
      </c>
      <c r="BX18" s="137"/>
      <c r="BY18" s="135">
        <f t="shared" si="23"/>
        <v>680.87811718750004</v>
      </c>
      <c r="BZ18" s="135"/>
      <c r="CA18" s="135"/>
      <c r="CB18" s="142">
        <f t="shared" si="99"/>
        <v>14298.4404609375</v>
      </c>
      <c r="CC18" s="138"/>
      <c r="CD18" s="143"/>
      <c r="CE18" s="140">
        <f t="shared" si="100"/>
        <v>14298.4404609375</v>
      </c>
      <c r="CF18" s="145">
        <v>3000</v>
      </c>
      <c r="CG18" s="146"/>
      <c r="CH18" s="144">
        <v>1250.8023483365948</v>
      </c>
      <c r="CI18" s="135">
        <f t="shared" si="73"/>
        <v>564.92202304687498</v>
      </c>
      <c r="CJ18" s="135">
        <f t="shared" si="26"/>
        <v>125.08023483365949</v>
      </c>
      <c r="CK18" s="135"/>
      <c r="CL18" s="142">
        <f t="shared" si="75"/>
        <v>11988.442718818034</v>
      </c>
      <c r="CM18" s="138"/>
      <c r="CN18" s="143"/>
      <c r="CO18" s="140">
        <f t="shared" si="77"/>
        <v>11988.442718818034</v>
      </c>
      <c r="CP18" s="145">
        <v>1625</v>
      </c>
      <c r="CQ18" s="146"/>
      <c r="CR18" s="135">
        <f t="shared" si="28"/>
        <v>518.17213594090174</v>
      </c>
      <c r="CS18" s="135">
        <f t="shared" si="29"/>
        <v>0</v>
      </c>
      <c r="CT18" s="135"/>
      <c r="CU18" s="142">
        <f t="shared" si="80"/>
        <v>10881.614854758936</v>
      </c>
      <c r="CV18" s="138"/>
      <c r="CW18" s="143"/>
      <c r="CX18" s="140">
        <f t="shared" si="101"/>
        <v>10881.614854758936</v>
      </c>
      <c r="CY18" s="145"/>
      <c r="CZ18" s="146"/>
      <c r="DA18" s="135">
        <f t="shared" si="102"/>
        <v>544.08074273794682</v>
      </c>
      <c r="DB18" s="135"/>
      <c r="DC18" s="142">
        <f t="shared" si="85"/>
        <v>11425.695597496884</v>
      </c>
      <c r="DD18" s="138">
        <f t="shared" si="32"/>
        <v>11374.304402503116</v>
      </c>
    </row>
    <row r="19" spans="2:108" ht="29" x14ac:dyDescent="0.45">
      <c r="B19" s="121" t="s">
        <v>103</v>
      </c>
      <c r="C19" s="121" t="s">
        <v>104</v>
      </c>
      <c r="D19" s="121" t="s">
        <v>105</v>
      </c>
      <c r="E19" s="121" t="s">
        <v>115</v>
      </c>
      <c r="G19" s="133">
        <v>14</v>
      </c>
      <c r="H19" s="134" t="s">
        <v>30</v>
      </c>
      <c r="I19" s="135"/>
      <c r="J19" s="145"/>
      <c r="K19" s="137"/>
      <c r="L19" s="135">
        <f t="shared" si="0"/>
        <v>0</v>
      </c>
      <c r="M19" s="135">
        <f t="shared" si="1"/>
        <v>0</v>
      </c>
      <c r="N19" s="137">
        <f t="shared" si="103"/>
        <v>0</v>
      </c>
      <c r="O19" s="138">
        <f t="shared" si="2"/>
        <v>146400</v>
      </c>
      <c r="P19" s="139"/>
      <c r="Q19" s="140">
        <f t="shared" si="87"/>
        <v>0</v>
      </c>
      <c r="R19" s="145"/>
      <c r="S19" s="146"/>
      <c r="T19" s="135">
        <f t="shared" si="3"/>
        <v>0</v>
      </c>
      <c r="U19" s="135">
        <f t="shared" si="4"/>
        <v>0</v>
      </c>
      <c r="V19" s="137">
        <f t="shared" si="39"/>
        <v>0</v>
      </c>
      <c r="W19" s="138">
        <f t="shared" si="5"/>
        <v>146400</v>
      </c>
      <c r="X19" s="141"/>
      <c r="Y19" s="140">
        <f t="shared" si="88"/>
        <v>0</v>
      </c>
      <c r="Z19" s="145"/>
      <c r="AA19" s="146"/>
      <c r="AB19" s="135">
        <f t="shared" si="6"/>
        <v>0</v>
      </c>
      <c r="AC19" s="135">
        <f t="shared" si="7"/>
        <v>0</v>
      </c>
      <c r="AD19" s="142">
        <f t="shared" si="8"/>
        <v>0</v>
      </c>
      <c r="AE19" s="138">
        <f t="shared" ref="AE19:AE30" si="105">(VLOOKUP(H19,INFRACASHshares2025,25,0)-AD19)</f>
        <v>146400</v>
      </c>
      <c r="AF19" s="143"/>
      <c r="AG19" s="140">
        <f t="shared" si="89"/>
        <v>0</v>
      </c>
      <c r="AH19" s="145"/>
      <c r="AI19" s="146"/>
      <c r="AJ19" s="135">
        <f t="shared" si="104"/>
        <v>0</v>
      </c>
      <c r="AK19" s="135">
        <f t="shared" si="11"/>
        <v>0</v>
      </c>
      <c r="AL19" s="142">
        <f t="shared" si="90"/>
        <v>0</v>
      </c>
      <c r="AM19" s="138">
        <f t="shared" ref="AM19:AM30" si="106">(VLOOKUP(H19,INFRACASHshares2025,25,0)-AL19)</f>
        <v>146400</v>
      </c>
      <c r="AN19" s="143"/>
      <c r="AO19" s="140">
        <f t="shared" si="91"/>
        <v>0</v>
      </c>
      <c r="AP19" s="145"/>
      <c r="AQ19" s="146"/>
      <c r="AR19" s="135">
        <f t="shared" si="50"/>
        <v>0</v>
      </c>
      <c r="AS19" s="135">
        <f t="shared" si="13"/>
        <v>0</v>
      </c>
      <c r="AT19" s="142">
        <f t="shared" si="92"/>
        <v>0</v>
      </c>
      <c r="AU19" s="138">
        <f t="shared" si="14"/>
        <v>146400</v>
      </c>
      <c r="AV19" s="143"/>
      <c r="AW19" s="140">
        <f t="shared" si="93"/>
        <v>0</v>
      </c>
      <c r="AX19" s="145"/>
      <c r="AY19" s="146">
        <v>15000</v>
      </c>
      <c r="AZ19" s="135">
        <f t="shared" si="55"/>
        <v>0</v>
      </c>
      <c r="BA19" s="135">
        <f t="shared" si="15"/>
        <v>1500</v>
      </c>
      <c r="BB19" s="142">
        <f t="shared" si="94"/>
        <v>16500</v>
      </c>
      <c r="BC19" s="138">
        <f t="shared" si="16"/>
        <v>129900</v>
      </c>
      <c r="BD19" s="143"/>
      <c r="BE19" s="140">
        <f t="shared" si="95"/>
        <v>16500</v>
      </c>
      <c r="BF19" s="145">
        <v>5000</v>
      </c>
      <c r="BG19" s="146"/>
      <c r="BH19" s="135">
        <f t="shared" si="60"/>
        <v>575</v>
      </c>
      <c r="BI19" s="135">
        <f t="shared" si="17"/>
        <v>0</v>
      </c>
      <c r="BJ19" s="142">
        <f t="shared" si="96"/>
        <v>12075</v>
      </c>
      <c r="BK19" s="138">
        <f t="shared" si="18"/>
        <v>134325</v>
      </c>
      <c r="BL19" s="143"/>
      <c r="BM19" s="140">
        <f t="shared" si="97"/>
        <v>12075</v>
      </c>
      <c r="BN19" s="145">
        <v>6075</v>
      </c>
      <c r="BO19" s="146"/>
      <c r="BP19" s="135">
        <f t="shared" si="19"/>
        <v>300</v>
      </c>
      <c r="BQ19" s="135">
        <f t="shared" si="20"/>
        <v>0</v>
      </c>
      <c r="BR19" s="135"/>
      <c r="BS19" s="142">
        <f t="shared" si="98"/>
        <v>6300</v>
      </c>
      <c r="BT19" s="138">
        <f t="shared" ref="BT19:BT30" si="107">(VLOOKUP(H19,INFRACASHshares2025,25,0)-BS19)</f>
        <v>140100</v>
      </c>
      <c r="BU19" s="143"/>
      <c r="BV19" s="140">
        <f t="shared" si="22"/>
        <v>6300</v>
      </c>
      <c r="BW19" s="136">
        <v>6400</v>
      </c>
      <c r="BX19" s="137"/>
      <c r="BY19" s="135">
        <f t="shared" si="23"/>
        <v>-5</v>
      </c>
      <c r="BZ19" s="135">
        <f t="shared" si="24"/>
        <v>0</v>
      </c>
      <c r="CA19" s="135"/>
      <c r="CB19" s="142">
        <f t="shared" si="99"/>
        <v>-105</v>
      </c>
      <c r="CC19" s="138">
        <f t="shared" ref="CC19:CC30" si="108">(VLOOKUP(H19,INFRACASHshares2025,25,0)-CB19)</f>
        <v>146505</v>
      </c>
      <c r="CD19" s="143"/>
      <c r="CE19" s="140">
        <f t="shared" si="100"/>
        <v>-105</v>
      </c>
      <c r="CF19" s="145"/>
      <c r="CG19" s="146"/>
      <c r="CH19" s="144">
        <v>8031.4677103718195</v>
      </c>
      <c r="CI19" s="135">
        <f t="shared" si="73"/>
        <v>-5.25</v>
      </c>
      <c r="CJ19" s="135">
        <f t="shared" si="26"/>
        <v>803.14677103718202</v>
      </c>
      <c r="CK19" s="135"/>
      <c r="CL19" s="142">
        <f t="shared" si="75"/>
        <v>692.89677103718202</v>
      </c>
      <c r="CM19" s="138">
        <f t="shared" ref="CM19:CM30" si="109">(VLOOKUP(H19,INFRACASHshares2025,25,0)-CL19)</f>
        <v>145707.10322896281</v>
      </c>
      <c r="CN19" s="143"/>
      <c r="CO19" s="140">
        <f t="shared" si="77"/>
        <v>692.89677103718202</v>
      </c>
      <c r="CP19" s="145">
        <v>803.15</v>
      </c>
      <c r="CQ19" s="146"/>
      <c r="CR19" s="135">
        <f t="shared" si="28"/>
        <v>-5.5126614481408982</v>
      </c>
      <c r="CS19" s="135">
        <f t="shared" si="29"/>
        <v>0</v>
      </c>
      <c r="CT19" s="135"/>
      <c r="CU19" s="142">
        <f t="shared" si="80"/>
        <v>-115.76589041095886</v>
      </c>
      <c r="CV19" s="138">
        <f t="shared" ref="CV19:CV30" si="110">(VLOOKUP(H19,INFRACASHshares2025,25,0)-CU19)</f>
        <v>146515.76589041096</v>
      </c>
      <c r="CW19" s="143"/>
      <c r="CX19" s="140">
        <f t="shared" si="101"/>
        <v>-115.76589041095886</v>
      </c>
      <c r="CY19" s="145"/>
      <c r="CZ19" s="146"/>
      <c r="DA19" s="135">
        <f t="shared" si="102"/>
        <v>-5.788294520547943</v>
      </c>
      <c r="DB19" s="135">
        <f t="shared" si="31"/>
        <v>0</v>
      </c>
      <c r="DC19" s="142">
        <f t="shared" si="85"/>
        <v>-121.5541849315068</v>
      </c>
      <c r="DD19" s="138">
        <f t="shared" si="32"/>
        <v>146521.55418493151</v>
      </c>
    </row>
    <row r="20" spans="2:108" ht="29" x14ac:dyDescent="0.45">
      <c r="B20" s="121" t="s">
        <v>103</v>
      </c>
      <c r="C20" s="121" t="s">
        <v>104</v>
      </c>
      <c r="D20" s="121" t="s">
        <v>105</v>
      </c>
      <c r="E20" s="121" t="s">
        <v>115</v>
      </c>
      <c r="G20" s="133">
        <v>15</v>
      </c>
      <c r="H20" s="134" t="s">
        <v>31</v>
      </c>
      <c r="I20" s="135"/>
      <c r="J20" s="145"/>
      <c r="K20" s="137"/>
      <c r="L20" s="135">
        <f>IF(J20&gt;0,(I20-J20)*0.05,0)</f>
        <v>0</v>
      </c>
      <c r="M20" s="135">
        <f>IF(K20&gt;0,K20*0.1,0)</f>
        <v>0</v>
      </c>
      <c r="N20" s="137">
        <f>I20-J20+K20+L20+M20</f>
        <v>0</v>
      </c>
      <c r="O20" s="138">
        <f>(VLOOKUP(H20,INFRACASHshares2025,25,0)-N20)</f>
        <v>10800</v>
      </c>
      <c r="P20" s="139"/>
      <c r="Q20" s="140">
        <f>N20</f>
        <v>0</v>
      </c>
      <c r="R20" s="145"/>
      <c r="S20" s="146"/>
      <c r="T20" s="135">
        <f>IF(R20&gt;0,(Q20-R20)*0.05,0)</f>
        <v>0</v>
      </c>
      <c r="U20" s="135">
        <f>IF(S20&gt;0,S20*0.1,0)</f>
        <v>0</v>
      </c>
      <c r="V20" s="137">
        <f t="shared" si="39"/>
        <v>0</v>
      </c>
      <c r="W20" s="138">
        <f t="shared" si="5"/>
        <v>10800</v>
      </c>
      <c r="X20" s="141"/>
      <c r="Y20" s="140">
        <f>V20</f>
        <v>0</v>
      </c>
      <c r="Z20" s="145"/>
      <c r="AA20" s="146">
        <v>10000</v>
      </c>
      <c r="AB20" s="135">
        <f>IF(Z20&gt;0,(Y20-Z20)*0.05,0)</f>
        <v>0</v>
      </c>
      <c r="AC20" s="135">
        <f>IF(AA20&gt;0,AA20*0.1,0)</f>
        <v>1000</v>
      </c>
      <c r="AD20" s="142">
        <f t="shared" si="8"/>
        <v>11000</v>
      </c>
      <c r="AE20" s="138">
        <f>(VLOOKUP(H20,INFRACASHshares2025,25,0)-AD20)</f>
        <v>-200</v>
      </c>
      <c r="AF20" s="143"/>
      <c r="AG20" s="140">
        <f>AD20</f>
        <v>11000</v>
      </c>
      <c r="AH20" s="145">
        <v>3000</v>
      </c>
      <c r="AI20" s="146"/>
      <c r="AJ20" s="135">
        <f t="shared" si="104"/>
        <v>400</v>
      </c>
      <c r="AK20" s="135">
        <f>IF(AI20&gt;0,AI20*0.1,0)</f>
        <v>0</v>
      </c>
      <c r="AL20" s="142">
        <f>(AG20-AH20+AI20+AJ20+AK20)</f>
        <v>8400</v>
      </c>
      <c r="AM20" s="138">
        <f>(VLOOKUP(H20,INFRACASHshares2025,25,0)-AL20)</f>
        <v>2400</v>
      </c>
      <c r="AN20" s="143"/>
      <c r="AO20" s="140">
        <f>AL20</f>
        <v>8400</v>
      </c>
      <c r="AP20" s="145">
        <v>3000</v>
      </c>
      <c r="AQ20" s="146"/>
      <c r="AR20" s="135">
        <f t="shared" si="50"/>
        <v>270</v>
      </c>
      <c r="AS20" s="135">
        <f>IF(AQ20&gt;0,AQ20*0.1,0)</f>
        <v>0</v>
      </c>
      <c r="AT20" s="142">
        <f>(AO20-AP20+AQ20+AR20+AS20)</f>
        <v>5670</v>
      </c>
      <c r="AU20" s="138">
        <f>(VLOOKUP(H20,INFRACASHshares2025,25,0)-AT20)</f>
        <v>5130</v>
      </c>
      <c r="AV20" s="143"/>
      <c r="AW20" s="140">
        <f>AT20</f>
        <v>5670</v>
      </c>
      <c r="AX20" s="145">
        <v>2500</v>
      </c>
      <c r="AY20" s="146"/>
      <c r="AZ20" s="135">
        <f t="shared" si="55"/>
        <v>158.5</v>
      </c>
      <c r="BA20" s="135">
        <f>IF(AY20&gt;0,AY20*0.1,0)</f>
        <v>0</v>
      </c>
      <c r="BB20" s="142">
        <f>(AW20-AX20+AY20+AZ20+BA20)</f>
        <v>3328.5</v>
      </c>
      <c r="BC20" s="138">
        <f>(VLOOKUP(H20,INFRACASHshares2025,25,0)-BB20)</f>
        <v>7471.5</v>
      </c>
      <c r="BD20" s="143"/>
      <c r="BE20" s="140">
        <f>BB20</f>
        <v>3328.5</v>
      </c>
      <c r="BF20" s="145">
        <v>3329</v>
      </c>
      <c r="BG20" s="146"/>
      <c r="BH20" s="135">
        <f t="shared" si="60"/>
        <v>-2.5000000000000001E-2</v>
      </c>
      <c r="BI20" s="135">
        <f>IF(BG20&gt;0,BG20*0.1,0)</f>
        <v>0</v>
      </c>
      <c r="BJ20" s="142">
        <f>(BE20-BF20+BG20+BH20+BI20)</f>
        <v>-0.52500000000000002</v>
      </c>
      <c r="BK20" s="138">
        <f t="shared" si="18"/>
        <v>10800.525</v>
      </c>
      <c r="BL20" s="143"/>
      <c r="BM20" s="140">
        <f>BJ20</f>
        <v>-0.52500000000000002</v>
      </c>
      <c r="BN20" s="145"/>
      <c r="BO20" s="146">
        <v>10000</v>
      </c>
      <c r="BP20" s="135">
        <f t="shared" si="19"/>
        <v>-2.6250000000000002E-2</v>
      </c>
      <c r="BQ20" s="135">
        <f>IF(BO20&gt;0,BO20*0.1,0)</f>
        <v>1000</v>
      </c>
      <c r="BR20" s="135"/>
      <c r="BS20" s="142">
        <f>(BM20-BN20+BO20+BP20+BQ20+BR20)</f>
        <v>10999.44875</v>
      </c>
      <c r="BT20" s="138">
        <f>(VLOOKUP(H20,INFRACASHshares2025,25,0)-BS20)</f>
        <v>-199.44874999999956</v>
      </c>
      <c r="BU20" s="143"/>
      <c r="BV20" s="140">
        <f>BS20</f>
        <v>10999.44875</v>
      </c>
      <c r="BW20" s="136">
        <v>2500</v>
      </c>
      <c r="BX20" s="137"/>
      <c r="BY20" s="135">
        <f t="shared" si="23"/>
        <v>424.97243750000001</v>
      </c>
      <c r="BZ20" s="135">
        <f>IF(BX20&gt;0,BX20*0.1,0)</f>
        <v>0</v>
      </c>
      <c r="CA20" s="135"/>
      <c r="CB20" s="142">
        <f>(BV20-BW20+BX20+BY20+BZ20)</f>
        <v>8924.4211875000001</v>
      </c>
      <c r="CC20" s="138">
        <f>(VLOOKUP(H20,INFRACASHshares2025,25,0)-CB20)</f>
        <v>1875.5788124999999</v>
      </c>
      <c r="CD20" s="143"/>
      <c r="CE20" s="140">
        <f t="shared" si="100"/>
        <v>8924.4211875000001</v>
      </c>
      <c r="CF20" s="145">
        <v>2500</v>
      </c>
      <c r="CG20" s="146"/>
      <c r="CH20" s="144">
        <v>592.48532289628179</v>
      </c>
      <c r="CI20" s="135">
        <f t="shared" si="73"/>
        <v>321.22105937500004</v>
      </c>
      <c r="CJ20" s="135">
        <f t="shared" si="26"/>
        <v>59.24853228962818</v>
      </c>
      <c r="CK20" s="135"/>
      <c r="CL20" s="142">
        <f t="shared" si="75"/>
        <v>6804.8907791646279</v>
      </c>
      <c r="CM20" s="138">
        <f>(VLOOKUP(H20,INFRACASHshares2025,25,0)-CL20)</f>
        <v>3995.1092208353721</v>
      </c>
      <c r="CN20" s="143"/>
      <c r="CO20" s="140">
        <f t="shared" si="77"/>
        <v>6804.8907791646279</v>
      </c>
      <c r="CP20" s="145">
        <v>2108</v>
      </c>
      <c r="CQ20" s="146"/>
      <c r="CR20" s="135">
        <f t="shared" si="28"/>
        <v>234.8445389582314</v>
      </c>
      <c r="CS20" s="135">
        <f>IF(CQ20&gt;0,CQ20*0.1,0)</f>
        <v>0</v>
      </c>
      <c r="CT20" s="135"/>
      <c r="CU20" s="142">
        <f t="shared" si="80"/>
        <v>4931.7353181228591</v>
      </c>
      <c r="CV20" s="138">
        <f>(VLOOKUP(H20,INFRACASHshares2025,25,0)-CU20)</f>
        <v>5868.2646818771409</v>
      </c>
      <c r="CW20" s="143"/>
      <c r="CX20" s="140">
        <f t="shared" si="101"/>
        <v>4931.7353181228591</v>
      </c>
      <c r="CY20" s="145"/>
      <c r="CZ20" s="146"/>
      <c r="DA20" s="135">
        <f t="shared" si="102"/>
        <v>246.58676590614297</v>
      </c>
      <c r="DB20" s="135">
        <f>IF(CZ20&gt;0,CZ20*0.1,0)</f>
        <v>0</v>
      </c>
      <c r="DC20" s="142">
        <f t="shared" si="85"/>
        <v>5178.3220840290023</v>
      </c>
      <c r="DD20" s="138">
        <f>(VLOOKUP(H20,INFRACASHshares2025,25,0)-DC20)</f>
        <v>5621.6779159709977</v>
      </c>
    </row>
    <row r="21" spans="2:108" ht="29" x14ac:dyDescent="0.45">
      <c r="B21" s="121" t="s">
        <v>103</v>
      </c>
      <c r="C21" s="121" t="s">
        <v>104</v>
      </c>
      <c r="D21" s="121" t="s">
        <v>105</v>
      </c>
      <c r="E21" s="121" t="s">
        <v>115</v>
      </c>
      <c r="G21" s="133">
        <v>16</v>
      </c>
      <c r="H21" s="134" t="s">
        <v>32</v>
      </c>
      <c r="I21" s="135"/>
      <c r="J21" s="145"/>
      <c r="K21" s="137"/>
      <c r="L21" s="135">
        <f t="shared" si="0"/>
        <v>0</v>
      </c>
      <c r="M21" s="135">
        <f t="shared" si="1"/>
        <v>0</v>
      </c>
      <c r="N21" s="137">
        <f t="shared" si="103"/>
        <v>0</v>
      </c>
      <c r="O21" s="138">
        <f t="shared" si="2"/>
        <v>75600</v>
      </c>
      <c r="P21" s="139"/>
      <c r="Q21" s="140">
        <f t="shared" si="87"/>
        <v>0</v>
      </c>
      <c r="R21" s="145"/>
      <c r="S21" s="146"/>
      <c r="T21" s="135">
        <f t="shared" si="3"/>
        <v>0</v>
      </c>
      <c r="U21" s="135">
        <f t="shared" si="4"/>
        <v>0</v>
      </c>
      <c r="V21" s="137">
        <f t="shared" si="39"/>
        <v>0</v>
      </c>
      <c r="W21" s="138">
        <f t="shared" si="5"/>
        <v>75600</v>
      </c>
      <c r="X21" s="141"/>
      <c r="Y21" s="140">
        <f t="shared" si="88"/>
        <v>0</v>
      </c>
      <c r="Z21" s="145"/>
      <c r="AA21" s="146">
        <v>3000</v>
      </c>
      <c r="AB21" s="135">
        <f t="shared" si="6"/>
        <v>0</v>
      </c>
      <c r="AC21" s="135">
        <f t="shared" si="7"/>
        <v>300</v>
      </c>
      <c r="AD21" s="142">
        <f t="shared" si="8"/>
        <v>3300</v>
      </c>
      <c r="AE21" s="138">
        <f t="shared" si="105"/>
        <v>72300</v>
      </c>
      <c r="AF21" s="143"/>
      <c r="AG21" s="140">
        <f t="shared" si="89"/>
        <v>3300</v>
      </c>
      <c r="AH21" s="145">
        <v>2000</v>
      </c>
      <c r="AI21" s="146"/>
      <c r="AJ21" s="135">
        <f t="shared" si="104"/>
        <v>65</v>
      </c>
      <c r="AK21" s="135">
        <f t="shared" si="11"/>
        <v>0</v>
      </c>
      <c r="AL21" s="142">
        <f t="shared" si="90"/>
        <v>1365</v>
      </c>
      <c r="AM21" s="138">
        <f t="shared" si="106"/>
        <v>74235</v>
      </c>
      <c r="AN21" s="143"/>
      <c r="AO21" s="140">
        <f t="shared" si="91"/>
        <v>1365</v>
      </c>
      <c r="AP21" s="145">
        <v>1365</v>
      </c>
      <c r="AQ21" s="146"/>
      <c r="AR21" s="135">
        <f t="shared" si="50"/>
        <v>0</v>
      </c>
      <c r="AS21" s="135">
        <f t="shared" si="13"/>
        <v>0</v>
      </c>
      <c r="AT21" s="142">
        <f t="shared" si="92"/>
        <v>0</v>
      </c>
      <c r="AU21" s="138">
        <f t="shared" ref="AU21:AU30" si="111">(VLOOKUP(H21,INFRACASHshares2025,25,0)-AT21)</f>
        <v>75600</v>
      </c>
      <c r="AV21" s="143"/>
      <c r="AW21" s="140">
        <f t="shared" si="93"/>
        <v>0</v>
      </c>
      <c r="AX21" s="145"/>
      <c r="AY21" s="146">
        <v>10000</v>
      </c>
      <c r="AZ21" s="135">
        <f t="shared" si="55"/>
        <v>0</v>
      </c>
      <c r="BA21" s="135">
        <f t="shared" si="15"/>
        <v>1000</v>
      </c>
      <c r="BB21" s="142">
        <f t="shared" si="94"/>
        <v>11000</v>
      </c>
      <c r="BC21" s="138">
        <f t="shared" si="16"/>
        <v>64600</v>
      </c>
      <c r="BD21" s="143"/>
      <c r="BE21" s="140">
        <f t="shared" si="95"/>
        <v>11000</v>
      </c>
      <c r="BF21" s="145">
        <v>2000</v>
      </c>
      <c r="BG21" s="146"/>
      <c r="BH21" s="135">
        <f t="shared" si="60"/>
        <v>450</v>
      </c>
      <c r="BI21" s="135">
        <f t="shared" si="17"/>
        <v>0</v>
      </c>
      <c r="BJ21" s="142">
        <f t="shared" si="96"/>
        <v>9450</v>
      </c>
      <c r="BK21" s="138">
        <f t="shared" si="18"/>
        <v>66150</v>
      </c>
      <c r="BL21" s="143"/>
      <c r="BM21" s="140">
        <f t="shared" si="97"/>
        <v>9450</v>
      </c>
      <c r="BN21" s="145">
        <v>2400</v>
      </c>
      <c r="BO21" s="146"/>
      <c r="BP21" s="135">
        <f t="shared" si="19"/>
        <v>352.5</v>
      </c>
      <c r="BQ21" s="135">
        <f t="shared" si="20"/>
        <v>0</v>
      </c>
      <c r="BR21" s="135"/>
      <c r="BS21" s="142">
        <f t="shared" si="98"/>
        <v>7402.5</v>
      </c>
      <c r="BT21" s="138">
        <f t="shared" si="107"/>
        <v>68197.5</v>
      </c>
      <c r="BU21" s="143"/>
      <c r="BV21" s="140">
        <f t="shared" si="22"/>
        <v>7402.5</v>
      </c>
      <c r="BW21" s="136">
        <v>2400</v>
      </c>
      <c r="BX21" s="137"/>
      <c r="BY21" s="135">
        <f t="shared" si="23"/>
        <v>250.125</v>
      </c>
      <c r="BZ21" s="135">
        <f t="shared" si="24"/>
        <v>0</v>
      </c>
      <c r="CA21" s="135"/>
      <c r="CB21" s="142">
        <f>(BV21-BW21+BX21+BY21+BZ21)</f>
        <v>5252.625</v>
      </c>
      <c r="CC21" s="138">
        <f t="shared" si="108"/>
        <v>70347.375</v>
      </c>
      <c r="CD21" s="143"/>
      <c r="CE21" s="140">
        <f t="shared" si="100"/>
        <v>5252.625</v>
      </c>
      <c r="CF21" s="145">
        <v>2400</v>
      </c>
      <c r="CG21" s="146"/>
      <c r="CH21" s="144">
        <v>4147.3972602739723</v>
      </c>
      <c r="CI21" s="135">
        <f t="shared" si="73"/>
        <v>142.63124999999999</v>
      </c>
      <c r="CJ21" s="135">
        <f t="shared" si="26"/>
        <v>414.73972602739724</v>
      </c>
      <c r="CK21" s="135"/>
      <c r="CL21" s="142">
        <f t="shared" si="75"/>
        <v>3409.9959760273973</v>
      </c>
      <c r="CM21" s="138">
        <f t="shared" si="109"/>
        <v>72190.004023972608</v>
      </c>
      <c r="CN21" s="143"/>
      <c r="CO21" s="140">
        <f t="shared" si="77"/>
        <v>3409.9959760273973</v>
      </c>
      <c r="CP21" s="145">
        <v>2500</v>
      </c>
      <c r="CQ21" s="146"/>
      <c r="CR21" s="135">
        <f t="shared" si="28"/>
        <v>45.49979880136987</v>
      </c>
      <c r="CS21" s="135">
        <f t="shared" si="29"/>
        <v>0</v>
      </c>
      <c r="CT21" s="135"/>
      <c r="CU21" s="142">
        <f t="shared" si="80"/>
        <v>955.49577482876714</v>
      </c>
      <c r="CV21" s="138">
        <f t="shared" si="110"/>
        <v>74644.504225171229</v>
      </c>
      <c r="CW21" s="143"/>
      <c r="CX21" s="140">
        <f t="shared" si="101"/>
        <v>955.49577482876714</v>
      </c>
      <c r="CY21" s="145"/>
      <c r="CZ21" s="146"/>
      <c r="DA21" s="135">
        <f t="shared" si="102"/>
        <v>47.774788741438357</v>
      </c>
      <c r="DB21" s="135">
        <f t="shared" si="31"/>
        <v>0</v>
      </c>
      <c r="DC21" s="142">
        <f t="shared" si="85"/>
        <v>1003.2705635702055</v>
      </c>
      <c r="DD21" s="138">
        <f t="shared" si="32"/>
        <v>74596.7294364298</v>
      </c>
    </row>
    <row r="22" spans="2:108" ht="29" x14ac:dyDescent="0.45">
      <c r="B22" s="121" t="s">
        <v>103</v>
      </c>
      <c r="C22" s="121" t="s">
        <v>104</v>
      </c>
      <c r="D22" s="121" t="s">
        <v>105</v>
      </c>
      <c r="E22" s="121" t="s">
        <v>115</v>
      </c>
      <c r="G22" s="133">
        <v>17</v>
      </c>
      <c r="H22" s="134" t="s">
        <v>33</v>
      </c>
      <c r="I22" s="135"/>
      <c r="J22" s="145"/>
      <c r="K22" s="137"/>
      <c r="L22" s="135">
        <f t="shared" si="0"/>
        <v>0</v>
      </c>
      <c r="M22" s="135">
        <f t="shared" si="1"/>
        <v>0</v>
      </c>
      <c r="N22" s="137">
        <f t="shared" si="103"/>
        <v>0</v>
      </c>
      <c r="O22" s="138">
        <f t="shared" si="2"/>
        <v>75600</v>
      </c>
      <c r="P22" s="139"/>
      <c r="Q22" s="140">
        <f t="shared" si="87"/>
        <v>0</v>
      </c>
      <c r="R22" s="145"/>
      <c r="S22" s="146"/>
      <c r="T22" s="135">
        <f t="shared" si="3"/>
        <v>0</v>
      </c>
      <c r="U22" s="135">
        <f t="shared" si="4"/>
        <v>0</v>
      </c>
      <c r="V22" s="137">
        <f t="shared" si="39"/>
        <v>0</v>
      </c>
      <c r="W22" s="138">
        <f t="shared" si="5"/>
        <v>75600</v>
      </c>
      <c r="X22" s="141"/>
      <c r="Y22" s="140">
        <f t="shared" si="88"/>
        <v>0</v>
      </c>
      <c r="Z22" s="145"/>
      <c r="AA22" s="146"/>
      <c r="AB22" s="135">
        <f t="shared" si="6"/>
        <v>0</v>
      </c>
      <c r="AC22" s="135">
        <f t="shared" si="7"/>
        <v>0</v>
      </c>
      <c r="AD22" s="142">
        <f t="shared" si="8"/>
        <v>0</v>
      </c>
      <c r="AE22" s="138">
        <f t="shared" si="105"/>
        <v>75600</v>
      </c>
      <c r="AF22" s="143"/>
      <c r="AG22" s="140">
        <f t="shared" si="89"/>
        <v>0</v>
      </c>
      <c r="AH22" s="145"/>
      <c r="AI22" s="146"/>
      <c r="AJ22" s="135">
        <f t="shared" si="104"/>
        <v>0</v>
      </c>
      <c r="AK22" s="135">
        <f t="shared" si="11"/>
        <v>0</v>
      </c>
      <c r="AL22" s="142">
        <f t="shared" si="90"/>
        <v>0</v>
      </c>
      <c r="AM22" s="138">
        <f t="shared" si="106"/>
        <v>75600</v>
      </c>
      <c r="AN22" s="143"/>
      <c r="AO22" s="140">
        <f t="shared" si="91"/>
        <v>0</v>
      </c>
      <c r="AP22" s="145"/>
      <c r="AQ22" s="146">
        <v>10000</v>
      </c>
      <c r="AR22" s="135">
        <f t="shared" si="50"/>
        <v>0</v>
      </c>
      <c r="AS22" s="135">
        <f t="shared" si="13"/>
        <v>1000</v>
      </c>
      <c r="AT22" s="142">
        <f t="shared" si="92"/>
        <v>11000</v>
      </c>
      <c r="AU22" s="138">
        <f t="shared" si="111"/>
        <v>64600</v>
      </c>
      <c r="AV22" s="143"/>
      <c r="AW22" s="140">
        <f t="shared" si="93"/>
        <v>11000</v>
      </c>
      <c r="AX22" s="145">
        <v>1000</v>
      </c>
      <c r="AY22" s="146"/>
      <c r="AZ22" s="135">
        <f t="shared" si="55"/>
        <v>500</v>
      </c>
      <c r="BA22" s="135">
        <f t="shared" si="15"/>
        <v>0</v>
      </c>
      <c r="BB22" s="142">
        <f t="shared" si="94"/>
        <v>10500</v>
      </c>
      <c r="BC22" s="138">
        <f t="shared" ref="BC22:BC30" si="112">(VLOOKUP(H22,INFRACASHshares2025,25,0)-BB22)</f>
        <v>65100</v>
      </c>
      <c r="BD22" s="143"/>
      <c r="BE22" s="140">
        <f t="shared" si="95"/>
        <v>10500</v>
      </c>
      <c r="BF22" s="145">
        <v>5500</v>
      </c>
      <c r="BG22" s="146"/>
      <c r="BH22" s="135">
        <f t="shared" si="60"/>
        <v>250</v>
      </c>
      <c r="BI22" s="135">
        <f t="shared" si="17"/>
        <v>0</v>
      </c>
      <c r="BJ22" s="142">
        <f t="shared" si="96"/>
        <v>5250</v>
      </c>
      <c r="BK22" s="138">
        <f t="shared" si="18"/>
        <v>70350</v>
      </c>
      <c r="BL22" s="143"/>
      <c r="BM22" s="140">
        <f t="shared" si="97"/>
        <v>5250</v>
      </c>
      <c r="BN22" s="145">
        <v>5250</v>
      </c>
      <c r="BO22" s="146"/>
      <c r="BP22" s="135">
        <f t="shared" si="19"/>
        <v>0</v>
      </c>
      <c r="BQ22" s="135">
        <f t="shared" si="20"/>
        <v>0</v>
      </c>
      <c r="BR22" s="135"/>
      <c r="BS22" s="142">
        <f t="shared" si="98"/>
        <v>0</v>
      </c>
      <c r="BT22" s="138">
        <f t="shared" si="107"/>
        <v>75600</v>
      </c>
      <c r="BU22" s="143"/>
      <c r="BV22" s="140">
        <f t="shared" si="22"/>
        <v>0</v>
      </c>
      <c r="BW22" s="136"/>
      <c r="BX22" s="137"/>
      <c r="BY22" s="135">
        <f t="shared" si="23"/>
        <v>0</v>
      </c>
      <c r="BZ22" s="135">
        <f t="shared" si="24"/>
        <v>0</v>
      </c>
      <c r="CA22" s="135"/>
      <c r="CB22" s="142">
        <f>(BV22-BW22+BX22+BY22+BZ22)</f>
        <v>0</v>
      </c>
      <c r="CC22" s="138">
        <f t="shared" si="108"/>
        <v>75600</v>
      </c>
      <c r="CD22" s="143"/>
      <c r="CE22" s="140">
        <f t="shared" si="100"/>
        <v>0</v>
      </c>
      <c r="CF22" s="145"/>
      <c r="CG22" s="146"/>
      <c r="CH22" s="144">
        <v>4147.3972602739723</v>
      </c>
      <c r="CI22" s="135">
        <f t="shared" si="73"/>
        <v>0</v>
      </c>
      <c r="CJ22" s="135">
        <f t="shared" si="26"/>
        <v>414.73972602739724</v>
      </c>
      <c r="CK22" s="135"/>
      <c r="CL22" s="142">
        <f t="shared" si="75"/>
        <v>414.73972602739724</v>
      </c>
      <c r="CM22" s="138">
        <f t="shared" si="109"/>
        <v>75185.260273972599</v>
      </c>
      <c r="CN22" s="143"/>
      <c r="CO22" s="140">
        <f t="shared" si="77"/>
        <v>414.73972602739724</v>
      </c>
      <c r="CP22" s="145">
        <v>414.74</v>
      </c>
      <c r="CQ22" s="146"/>
      <c r="CR22" s="135">
        <f t="shared" si="28"/>
        <v>-1.3698630138492264E-5</v>
      </c>
      <c r="CS22" s="135">
        <f t="shared" si="29"/>
        <v>0</v>
      </c>
      <c r="CT22" s="135"/>
      <c r="CU22" s="142">
        <f t="shared" si="80"/>
        <v>-2.876712329083375E-4</v>
      </c>
      <c r="CV22" s="138">
        <f t="shared" si="110"/>
        <v>75600.000287671239</v>
      </c>
      <c r="CW22" s="143"/>
      <c r="CX22" s="140">
        <f t="shared" si="101"/>
        <v>-2.876712329083375E-4</v>
      </c>
      <c r="CY22" s="145"/>
      <c r="CZ22" s="146"/>
      <c r="DA22" s="135">
        <f t="shared" si="102"/>
        <v>-1.4383561645416875E-5</v>
      </c>
      <c r="DB22" s="135">
        <f t="shared" si="31"/>
        <v>0</v>
      </c>
      <c r="DC22" s="142">
        <f t="shared" si="85"/>
        <v>-3.0205479455375439E-4</v>
      </c>
      <c r="DD22" s="138">
        <f t="shared" si="32"/>
        <v>75600.000302054788</v>
      </c>
    </row>
    <row r="23" spans="2:108" ht="26" customHeight="1" x14ac:dyDescent="0.45">
      <c r="B23" s="121"/>
      <c r="C23" s="121"/>
      <c r="D23" s="121"/>
      <c r="E23" s="121"/>
      <c r="G23" s="133">
        <v>18</v>
      </c>
      <c r="H23" s="134" t="s">
        <v>34</v>
      </c>
      <c r="I23" s="135"/>
      <c r="J23" s="145"/>
      <c r="K23" s="137"/>
      <c r="L23" s="135">
        <f t="shared" si="0"/>
        <v>0</v>
      </c>
      <c r="M23" s="135">
        <f t="shared" si="1"/>
        <v>0</v>
      </c>
      <c r="N23" s="137">
        <f t="shared" si="103"/>
        <v>0</v>
      </c>
      <c r="O23" s="138">
        <f t="shared" si="2"/>
        <v>81000</v>
      </c>
      <c r="P23" s="139"/>
      <c r="Q23" s="140">
        <f t="shared" si="87"/>
        <v>0</v>
      </c>
      <c r="R23" s="145"/>
      <c r="S23" s="148">
        <v>3000</v>
      </c>
      <c r="T23" s="135">
        <f t="shared" si="3"/>
        <v>0</v>
      </c>
      <c r="U23" s="135">
        <f t="shared" si="4"/>
        <v>300</v>
      </c>
      <c r="V23" s="137">
        <f t="shared" si="39"/>
        <v>3300</v>
      </c>
      <c r="W23" s="138">
        <f t="shared" si="5"/>
        <v>77700</v>
      </c>
      <c r="X23" s="141"/>
      <c r="Y23" s="140">
        <f t="shared" si="88"/>
        <v>3300</v>
      </c>
      <c r="Z23" s="145">
        <v>200</v>
      </c>
      <c r="AA23" s="148">
        <v>3000</v>
      </c>
      <c r="AB23" s="135">
        <f t="shared" si="6"/>
        <v>155</v>
      </c>
      <c r="AC23" s="135">
        <f t="shared" si="7"/>
        <v>300</v>
      </c>
      <c r="AD23" s="142">
        <f t="shared" si="8"/>
        <v>6555</v>
      </c>
      <c r="AE23" s="138">
        <f t="shared" si="105"/>
        <v>74445</v>
      </c>
      <c r="AF23" s="143"/>
      <c r="AG23" s="140">
        <f t="shared" si="89"/>
        <v>6555</v>
      </c>
      <c r="AH23" s="145"/>
      <c r="AI23" s="148"/>
      <c r="AJ23" s="135">
        <f t="shared" si="104"/>
        <v>327.75</v>
      </c>
      <c r="AK23" s="135">
        <f t="shared" si="11"/>
        <v>0</v>
      </c>
      <c r="AL23" s="142">
        <f t="shared" si="90"/>
        <v>6882.75</v>
      </c>
      <c r="AM23" s="138">
        <f t="shared" si="106"/>
        <v>74117.25</v>
      </c>
      <c r="AN23" s="143"/>
      <c r="AO23" s="140">
        <f t="shared" si="91"/>
        <v>6882.75</v>
      </c>
      <c r="AP23" s="145">
        <v>1000</v>
      </c>
      <c r="AQ23" s="148"/>
      <c r="AR23" s="135">
        <f t="shared" si="50"/>
        <v>294.13749999999999</v>
      </c>
      <c r="AS23" s="135">
        <f t="shared" si="13"/>
        <v>0</v>
      </c>
      <c r="AT23" s="142">
        <f t="shared" si="92"/>
        <v>6176.8874999999998</v>
      </c>
      <c r="AU23" s="138">
        <f t="shared" si="111"/>
        <v>74823.112500000003</v>
      </c>
      <c r="AV23" s="143"/>
      <c r="AW23" s="140">
        <f t="shared" si="93"/>
        <v>6176.8874999999998</v>
      </c>
      <c r="AX23" s="145">
        <v>1000</v>
      </c>
      <c r="AY23" s="148"/>
      <c r="AZ23" s="135">
        <f t="shared" si="55"/>
        <v>258.84437500000001</v>
      </c>
      <c r="BA23" s="135">
        <f t="shared" si="15"/>
        <v>0</v>
      </c>
      <c r="BB23" s="142">
        <f t="shared" si="94"/>
        <v>5435.7318749999995</v>
      </c>
      <c r="BC23" s="138">
        <f t="shared" si="112"/>
        <v>75564.268125000002</v>
      </c>
      <c r="BD23" s="143"/>
      <c r="BE23" s="140">
        <f t="shared" si="95"/>
        <v>5435.7318749999995</v>
      </c>
      <c r="BF23" s="145"/>
      <c r="BG23" s="148">
        <v>5000</v>
      </c>
      <c r="BH23" s="135">
        <f t="shared" si="60"/>
        <v>271.78659375000001</v>
      </c>
      <c r="BI23" s="135">
        <f t="shared" si="17"/>
        <v>500</v>
      </c>
      <c r="BJ23" s="142">
        <f t="shared" si="96"/>
        <v>11207.518468749999</v>
      </c>
      <c r="BK23" s="138">
        <f t="shared" ref="BK23:BK30" si="113">(VLOOKUP(H23,INFRACASHshares2025,25,0)-BJ23)</f>
        <v>69792.48153125</v>
      </c>
      <c r="BL23" s="143"/>
      <c r="BM23" s="140">
        <f t="shared" si="97"/>
        <v>11207.518468749999</v>
      </c>
      <c r="BN23" s="145"/>
      <c r="BO23" s="148"/>
      <c r="BP23" s="135">
        <f t="shared" si="19"/>
        <v>560.37592343749998</v>
      </c>
      <c r="BQ23" s="135">
        <f t="shared" si="20"/>
        <v>0</v>
      </c>
      <c r="BR23" s="135"/>
      <c r="BS23" s="142">
        <f t="shared" si="98"/>
        <v>11767.894392187498</v>
      </c>
      <c r="BT23" s="138">
        <f t="shared" si="107"/>
        <v>69232.105607812497</v>
      </c>
      <c r="BU23" s="143"/>
      <c r="BV23" s="140">
        <f t="shared" si="22"/>
        <v>11767.894392187498</v>
      </c>
      <c r="BW23" s="136">
        <v>300</v>
      </c>
      <c r="BX23" s="137"/>
      <c r="BY23" s="135">
        <f t="shared" si="23"/>
        <v>573.39471960937487</v>
      </c>
      <c r="BZ23" s="135">
        <f t="shared" si="24"/>
        <v>0</v>
      </c>
      <c r="CA23" s="135"/>
      <c r="CB23" s="142">
        <f t="shared" si="99"/>
        <v>12041.289111796872</v>
      </c>
      <c r="CC23" s="138">
        <f t="shared" si="108"/>
        <v>68958.710888203132</v>
      </c>
      <c r="CD23" s="143"/>
      <c r="CE23" s="140">
        <f t="shared" si="100"/>
        <v>12041.289111796872</v>
      </c>
      <c r="CF23" s="145">
        <v>4000</v>
      </c>
      <c r="CG23" s="148"/>
      <c r="CH23" s="149">
        <v>4443.6399217221133</v>
      </c>
      <c r="CI23" s="135">
        <f t="shared" si="73"/>
        <v>402.06445558984365</v>
      </c>
      <c r="CJ23" s="135">
        <f t="shared" si="26"/>
        <v>444.36399217221134</v>
      </c>
      <c r="CK23" s="135"/>
      <c r="CL23" s="142">
        <f t="shared" si="75"/>
        <v>8887.717559558927</v>
      </c>
      <c r="CM23" s="138">
        <f t="shared" si="109"/>
        <v>72112.282440441079</v>
      </c>
      <c r="CN23" s="143"/>
      <c r="CO23" s="140">
        <f t="shared" si="77"/>
        <v>8887.717559558927</v>
      </c>
      <c r="CP23" s="145">
        <v>3000</v>
      </c>
      <c r="CQ23" s="148"/>
      <c r="CR23" s="135">
        <f t="shared" si="28"/>
        <v>294.38587797794634</v>
      </c>
      <c r="CS23" s="135">
        <f t="shared" si="29"/>
        <v>0</v>
      </c>
      <c r="CT23" s="135"/>
      <c r="CU23" s="142">
        <f t="shared" si="80"/>
        <v>6182.1034375368736</v>
      </c>
      <c r="CV23" s="138">
        <f t="shared" si="110"/>
        <v>74817.896562463124</v>
      </c>
      <c r="CW23" s="143"/>
      <c r="CX23" s="140">
        <f t="shared" si="101"/>
        <v>6182.1034375368736</v>
      </c>
      <c r="CY23" s="145"/>
      <c r="CZ23" s="148"/>
      <c r="DA23" s="135">
        <f>((CX23-CY25)*0.05)</f>
        <v>309.10517187684371</v>
      </c>
      <c r="DB23" s="135">
        <f t="shared" si="31"/>
        <v>0</v>
      </c>
      <c r="DC23" s="142">
        <f t="shared" si="85"/>
        <v>6491.2086094137176</v>
      </c>
      <c r="DD23" s="138">
        <f t="shared" si="32"/>
        <v>74508.791390586281</v>
      </c>
    </row>
    <row r="24" spans="2:108" ht="29" x14ac:dyDescent="0.45">
      <c r="B24" s="121" t="s">
        <v>103</v>
      </c>
      <c r="C24" s="121" t="s">
        <v>104</v>
      </c>
      <c r="D24" s="121" t="s">
        <v>105</v>
      </c>
      <c r="E24" s="121" t="s">
        <v>115</v>
      </c>
      <c r="G24" s="133">
        <v>19</v>
      </c>
      <c r="H24" s="134" t="s">
        <v>48</v>
      </c>
      <c r="I24" s="135"/>
      <c r="J24" s="145"/>
      <c r="K24" s="137"/>
      <c r="L24" s="135"/>
      <c r="M24" s="135"/>
      <c r="N24" s="137"/>
      <c r="O24" s="138">
        <f t="shared" si="2"/>
        <v>101400</v>
      </c>
      <c r="P24" s="139"/>
      <c r="Q24" s="140">
        <f t="shared" si="87"/>
        <v>0</v>
      </c>
      <c r="R24" s="145"/>
      <c r="S24" s="148"/>
      <c r="T24" s="135">
        <f t="shared" si="3"/>
        <v>0</v>
      </c>
      <c r="U24" s="135">
        <f t="shared" si="4"/>
        <v>0</v>
      </c>
      <c r="V24" s="137">
        <f t="shared" si="39"/>
        <v>0</v>
      </c>
      <c r="W24" s="138">
        <f t="shared" si="5"/>
        <v>101400</v>
      </c>
      <c r="X24" s="141"/>
      <c r="Y24" s="140"/>
      <c r="Z24" s="145"/>
      <c r="AA24" s="148"/>
      <c r="AB24" s="135"/>
      <c r="AC24" s="135"/>
      <c r="AD24" s="142">
        <f t="shared" si="8"/>
        <v>0</v>
      </c>
      <c r="AE24" s="138"/>
      <c r="AF24" s="143"/>
      <c r="AG24" s="140"/>
      <c r="AH24" s="145"/>
      <c r="AI24" s="148"/>
      <c r="AJ24" s="135">
        <f t="shared" si="104"/>
        <v>0</v>
      </c>
      <c r="AK24" s="135"/>
      <c r="AL24" s="142"/>
      <c r="AM24" s="138"/>
      <c r="AN24" s="143"/>
      <c r="AO24" s="140"/>
      <c r="AP24" s="145"/>
      <c r="AQ24" s="148"/>
      <c r="AR24" s="135">
        <f t="shared" si="50"/>
        <v>0</v>
      </c>
      <c r="AS24" s="135"/>
      <c r="AT24" s="142"/>
      <c r="AU24" s="138"/>
      <c r="AV24" s="143"/>
      <c r="AW24" s="140"/>
      <c r="AX24" s="145"/>
      <c r="AY24" s="148"/>
      <c r="AZ24" s="135">
        <f t="shared" si="55"/>
        <v>0</v>
      </c>
      <c r="BA24" s="135">
        <f t="shared" si="15"/>
        <v>0</v>
      </c>
      <c r="BB24" s="142">
        <f t="shared" si="94"/>
        <v>0</v>
      </c>
      <c r="BC24" s="138">
        <f t="shared" si="112"/>
        <v>101400</v>
      </c>
      <c r="BD24" s="143"/>
      <c r="BE24" s="140">
        <f t="shared" si="95"/>
        <v>0</v>
      </c>
      <c r="BF24" s="145"/>
      <c r="BG24" s="148"/>
      <c r="BH24" s="135">
        <f t="shared" si="60"/>
        <v>0</v>
      </c>
      <c r="BI24" s="135">
        <f t="shared" si="17"/>
        <v>0</v>
      </c>
      <c r="BJ24" s="142">
        <f t="shared" si="96"/>
        <v>0</v>
      </c>
      <c r="BK24" s="138">
        <f t="shared" si="113"/>
        <v>101400</v>
      </c>
      <c r="BL24" s="143"/>
      <c r="BM24" s="140">
        <f t="shared" si="97"/>
        <v>0</v>
      </c>
      <c r="BN24" s="145"/>
      <c r="BO24" s="148"/>
      <c r="BP24" s="135">
        <f t="shared" si="19"/>
        <v>0</v>
      </c>
      <c r="BQ24" s="135"/>
      <c r="BR24" s="135"/>
      <c r="BS24" s="142"/>
      <c r="BT24" s="138">
        <f t="shared" si="107"/>
        <v>101400</v>
      </c>
      <c r="BU24" s="143"/>
      <c r="BV24" s="140">
        <f t="shared" si="22"/>
        <v>0</v>
      </c>
      <c r="BW24" s="136"/>
      <c r="BX24" s="137">
        <v>15000</v>
      </c>
      <c r="BY24" s="135"/>
      <c r="BZ24" s="135"/>
      <c r="CA24" s="135"/>
      <c r="CB24" s="142">
        <f t="shared" si="99"/>
        <v>15000</v>
      </c>
      <c r="CC24" s="138">
        <f t="shared" si="108"/>
        <v>86400</v>
      </c>
      <c r="CD24" s="143"/>
      <c r="CE24" s="140">
        <f t="shared" si="100"/>
        <v>15000</v>
      </c>
      <c r="CF24" s="145">
        <v>1000</v>
      </c>
      <c r="CG24" s="148"/>
      <c r="CH24" s="149">
        <v>5562.7788649706454</v>
      </c>
      <c r="CI24" s="135">
        <f>(CE24-CF24)*0.05</f>
        <v>700</v>
      </c>
      <c r="CJ24" s="135"/>
      <c r="CK24" s="135"/>
      <c r="CL24" s="142">
        <f t="shared" si="75"/>
        <v>14700</v>
      </c>
      <c r="CM24" s="138">
        <f t="shared" si="109"/>
        <v>86700</v>
      </c>
      <c r="CN24" s="143"/>
      <c r="CO24" s="140">
        <f t="shared" si="77"/>
        <v>14700</v>
      </c>
      <c r="CP24" s="145">
        <v>5556.28</v>
      </c>
      <c r="CQ24" s="148"/>
      <c r="CR24" s="135"/>
      <c r="CS24" s="135"/>
      <c r="CT24" s="135"/>
      <c r="CU24" s="142">
        <f t="shared" si="80"/>
        <v>9143.7200000000012</v>
      </c>
      <c r="CV24" s="138">
        <f t="shared" si="110"/>
        <v>92256.28</v>
      </c>
      <c r="CW24" s="143"/>
      <c r="CX24" s="140">
        <f t="shared" si="101"/>
        <v>9143.7200000000012</v>
      </c>
      <c r="CY24" s="145"/>
      <c r="CZ24" s="148"/>
      <c r="DA24" s="135"/>
      <c r="DB24" s="135">
        <f t="shared" si="31"/>
        <v>0</v>
      </c>
      <c r="DC24" s="142">
        <f t="shared" si="85"/>
        <v>9143.7200000000012</v>
      </c>
      <c r="DD24" s="138"/>
    </row>
    <row r="25" spans="2:108" ht="29" x14ac:dyDescent="0.45">
      <c r="B25" s="121" t="s">
        <v>103</v>
      </c>
      <c r="C25" s="121" t="s">
        <v>104</v>
      </c>
      <c r="D25" s="121" t="s">
        <v>105</v>
      </c>
      <c r="E25" s="121" t="s">
        <v>115</v>
      </c>
      <c r="G25" s="133">
        <v>20</v>
      </c>
      <c r="H25" s="134" t="s">
        <v>35</v>
      </c>
      <c r="I25" s="147"/>
      <c r="J25" s="145"/>
      <c r="K25" s="137"/>
      <c r="L25" s="135">
        <f t="shared" si="0"/>
        <v>0</v>
      </c>
      <c r="M25" s="135">
        <f t="shared" si="1"/>
        <v>0</v>
      </c>
      <c r="N25" s="137">
        <f t="shared" si="103"/>
        <v>0</v>
      </c>
      <c r="O25" s="138">
        <f t="shared" si="2"/>
        <v>75000</v>
      </c>
      <c r="P25" s="139"/>
      <c r="Q25" s="140">
        <f t="shared" si="87"/>
        <v>0</v>
      </c>
      <c r="R25" s="145"/>
      <c r="S25" s="146"/>
      <c r="T25" s="135">
        <f t="shared" si="3"/>
        <v>0</v>
      </c>
      <c r="U25" s="135">
        <f t="shared" si="4"/>
        <v>0</v>
      </c>
      <c r="V25" s="137">
        <f t="shared" si="39"/>
        <v>0</v>
      </c>
      <c r="W25" s="138">
        <f t="shared" si="5"/>
        <v>75000</v>
      </c>
      <c r="X25" s="141"/>
      <c r="Y25" s="140">
        <f t="shared" si="88"/>
        <v>0</v>
      </c>
      <c r="Z25" s="145"/>
      <c r="AA25" s="146"/>
      <c r="AB25" s="135">
        <f t="shared" si="6"/>
        <v>0</v>
      </c>
      <c r="AC25" s="135">
        <f t="shared" si="7"/>
        <v>0</v>
      </c>
      <c r="AD25" s="142">
        <f t="shared" si="8"/>
        <v>0</v>
      </c>
      <c r="AE25" s="138">
        <f t="shared" si="105"/>
        <v>75000</v>
      </c>
      <c r="AF25" s="143"/>
      <c r="AG25" s="140">
        <f t="shared" si="89"/>
        <v>0</v>
      </c>
      <c r="AH25" s="145"/>
      <c r="AI25" s="146">
        <v>51300</v>
      </c>
      <c r="AJ25" s="135">
        <f t="shared" si="104"/>
        <v>0</v>
      </c>
      <c r="AK25" s="135">
        <f t="shared" si="11"/>
        <v>5130</v>
      </c>
      <c r="AL25" s="142">
        <f t="shared" si="90"/>
        <v>56430</v>
      </c>
      <c r="AM25" s="138">
        <f t="shared" si="106"/>
        <v>18570</v>
      </c>
      <c r="AN25" s="143"/>
      <c r="AO25" s="140">
        <f t="shared" si="91"/>
        <v>56430</v>
      </c>
      <c r="AP25" s="145">
        <v>5000</v>
      </c>
      <c r="AQ25" s="146"/>
      <c r="AR25" s="135">
        <f t="shared" si="50"/>
        <v>2571.5</v>
      </c>
      <c r="AS25" s="135">
        <f t="shared" si="13"/>
        <v>0</v>
      </c>
      <c r="AT25" s="142">
        <f t="shared" si="92"/>
        <v>54001.5</v>
      </c>
      <c r="AU25" s="138">
        <f t="shared" si="111"/>
        <v>20998.5</v>
      </c>
      <c r="AV25" s="143"/>
      <c r="AW25" s="140">
        <f t="shared" si="93"/>
        <v>54001.5</v>
      </c>
      <c r="AX25" s="145">
        <v>4000</v>
      </c>
      <c r="AY25" s="146"/>
      <c r="AZ25" s="135">
        <f t="shared" si="55"/>
        <v>2500.0750000000003</v>
      </c>
      <c r="BA25" s="135">
        <f t="shared" si="15"/>
        <v>0</v>
      </c>
      <c r="BB25" s="142">
        <f t="shared" si="94"/>
        <v>52501.574999999997</v>
      </c>
      <c r="BC25" s="138">
        <f t="shared" si="112"/>
        <v>22498.425000000003</v>
      </c>
      <c r="BD25" s="143"/>
      <c r="BE25" s="140">
        <f t="shared" si="95"/>
        <v>52501.574999999997</v>
      </c>
      <c r="BF25" s="145">
        <v>5000</v>
      </c>
      <c r="BG25" s="146"/>
      <c r="BH25" s="135">
        <f t="shared" si="60"/>
        <v>2375.0787500000001</v>
      </c>
      <c r="BI25" s="135">
        <f t="shared" si="17"/>
        <v>0</v>
      </c>
      <c r="BJ25" s="142">
        <f t="shared" si="96"/>
        <v>49876.653749999998</v>
      </c>
      <c r="BK25" s="138">
        <f t="shared" si="113"/>
        <v>25123.346250000002</v>
      </c>
      <c r="BL25" s="143"/>
      <c r="BM25" s="140">
        <f t="shared" si="97"/>
        <v>49876.653749999998</v>
      </c>
      <c r="BN25" s="145">
        <v>13500</v>
      </c>
      <c r="BO25" s="146"/>
      <c r="BP25" s="135">
        <f t="shared" si="19"/>
        <v>1818.8326875</v>
      </c>
      <c r="BQ25" s="135">
        <f t="shared" si="20"/>
        <v>0</v>
      </c>
      <c r="BR25" s="135"/>
      <c r="BS25" s="142">
        <f t="shared" si="98"/>
        <v>38195.486437499996</v>
      </c>
      <c r="BT25" s="138">
        <f t="shared" si="107"/>
        <v>36804.513562500004</v>
      </c>
      <c r="BU25" s="143"/>
      <c r="BV25" s="140">
        <f t="shared" si="22"/>
        <v>38195.486437499996</v>
      </c>
      <c r="BW25" s="136">
        <v>2000</v>
      </c>
      <c r="BX25" s="137"/>
      <c r="BY25" s="135">
        <f t="shared" ref="BY25:BY30" si="114">IF(BW25&gt;0,(BV25-BW25)*0.05,0)</f>
        <v>1809.7743218749999</v>
      </c>
      <c r="BZ25" s="135">
        <f t="shared" si="24"/>
        <v>0</v>
      </c>
      <c r="CA25" s="135"/>
      <c r="CB25" s="142">
        <f t="shared" si="99"/>
        <v>38005.260759374993</v>
      </c>
      <c r="CC25" s="138">
        <f t="shared" si="108"/>
        <v>36994.739240625007</v>
      </c>
      <c r="CD25" s="143"/>
      <c r="CE25" s="140">
        <f t="shared" si="100"/>
        <v>38005.260759374993</v>
      </c>
      <c r="CF25" s="145">
        <v>1000</v>
      </c>
      <c r="CG25" s="146"/>
      <c r="CH25" s="144">
        <v>4114.4814090019563</v>
      </c>
      <c r="CI25" s="135">
        <f>(CE25-CF25)*0.05</f>
        <v>1850.2630379687498</v>
      </c>
      <c r="CJ25" s="135">
        <f t="shared" si="26"/>
        <v>411.44814090019565</v>
      </c>
      <c r="CK25" s="135"/>
      <c r="CL25" s="142">
        <f t="shared" si="75"/>
        <v>39266.971938243936</v>
      </c>
      <c r="CM25" s="138">
        <f t="shared" si="109"/>
        <v>35733.028061756064</v>
      </c>
      <c r="CN25" s="143"/>
      <c r="CO25" s="140">
        <f t="shared" si="77"/>
        <v>39266.971938243936</v>
      </c>
      <c r="CP25" s="145">
        <v>37412.449999999997</v>
      </c>
      <c r="CQ25" s="146"/>
      <c r="CR25" s="135">
        <f t="shared" si="28"/>
        <v>92.726096912196965</v>
      </c>
      <c r="CS25" s="135">
        <f t="shared" si="29"/>
        <v>0</v>
      </c>
      <c r="CT25" s="135"/>
      <c r="CU25" s="142">
        <f t="shared" si="80"/>
        <v>1947.248035156136</v>
      </c>
      <c r="CV25" s="138">
        <f t="shared" si="110"/>
        <v>73052.751964843861</v>
      </c>
      <c r="CW25" s="143"/>
      <c r="CX25" s="140">
        <f t="shared" si="101"/>
        <v>1947.248035156136</v>
      </c>
      <c r="CY25" s="145"/>
      <c r="CZ25" s="146"/>
      <c r="DA25" s="135">
        <f t="shared" si="102"/>
        <v>97.362401757806808</v>
      </c>
      <c r="DB25" s="135">
        <f t="shared" si="31"/>
        <v>0</v>
      </c>
      <c r="DC25" s="142">
        <f t="shared" si="85"/>
        <v>2044.6104369139427</v>
      </c>
      <c r="DD25" s="138">
        <f t="shared" si="32"/>
        <v>72955.389563086064</v>
      </c>
    </row>
    <row r="26" spans="2:108" ht="29" x14ac:dyDescent="0.45">
      <c r="B26" s="121" t="s">
        <v>103</v>
      </c>
      <c r="C26" s="121" t="s">
        <v>104</v>
      </c>
      <c r="D26" s="121" t="s">
        <v>105</v>
      </c>
      <c r="E26" s="121" t="s">
        <v>115</v>
      </c>
      <c r="G26" s="133">
        <v>21</v>
      </c>
      <c r="H26" s="134" t="s">
        <v>36</v>
      </c>
      <c r="I26" s="135"/>
      <c r="J26" s="145"/>
      <c r="K26" s="137"/>
      <c r="L26" s="135">
        <f t="shared" si="0"/>
        <v>0</v>
      </c>
      <c r="M26" s="135">
        <f t="shared" si="1"/>
        <v>0</v>
      </c>
      <c r="N26" s="137">
        <f t="shared" si="103"/>
        <v>0</v>
      </c>
      <c r="O26" s="138">
        <f t="shared" si="2"/>
        <v>42600</v>
      </c>
      <c r="P26" s="139"/>
      <c r="Q26" s="140">
        <f t="shared" si="87"/>
        <v>0</v>
      </c>
      <c r="R26" s="145"/>
      <c r="S26" s="146"/>
      <c r="T26" s="135">
        <f t="shared" si="3"/>
        <v>0</v>
      </c>
      <c r="U26" s="135">
        <f t="shared" si="4"/>
        <v>0</v>
      </c>
      <c r="V26" s="137">
        <f t="shared" si="39"/>
        <v>0</v>
      </c>
      <c r="W26" s="138">
        <f t="shared" si="5"/>
        <v>42600</v>
      </c>
      <c r="X26" s="141"/>
      <c r="Y26" s="140">
        <f t="shared" si="88"/>
        <v>0</v>
      </c>
      <c r="Z26" s="145"/>
      <c r="AA26" s="146"/>
      <c r="AB26" s="135">
        <f t="shared" si="6"/>
        <v>0</v>
      </c>
      <c r="AC26" s="135">
        <f t="shared" si="7"/>
        <v>0</v>
      </c>
      <c r="AD26" s="142">
        <f t="shared" si="8"/>
        <v>0</v>
      </c>
      <c r="AE26" s="138">
        <f t="shared" si="105"/>
        <v>42600</v>
      </c>
      <c r="AF26" s="143"/>
      <c r="AG26" s="140">
        <f t="shared" si="89"/>
        <v>0</v>
      </c>
      <c r="AH26" s="145"/>
      <c r="AI26" s="90"/>
      <c r="AJ26" s="135">
        <f t="shared" si="104"/>
        <v>0</v>
      </c>
      <c r="AK26" s="135">
        <f t="shared" si="11"/>
        <v>0</v>
      </c>
      <c r="AL26" s="142">
        <f t="shared" si="90"/>
        <v>0</v>
      </c>
      <c r="AM26" s="138">
        <f t="shared" si="106"/>
        <v>42600</v>
      </c>
      <c r="AN26" s="143"/>
      <c r="AO26" s="140">
        <f t="shared" si="91"/>
        <v>0</v>
      </c>
      <c r="AP26" s="145"/>
      <c r="AQ26" s="146">
        <v>30000</v>
      </c>
      <c r="AR26" s="135">
        <f t="shared" si="50"/>
        <v>0</v>
      </c>
      <c r="AS26" s="135">
        <f t="shared" si="13"/>
        <v>3000</v>
      </c>
      <c r="AT26" s="142">
        <f t="shared" si="92"/>
        <v>33000</v>
      </c>
      <c r="AU26" s="138">
        <f t="shared" si="111"/>
        <v>9600</v>
      </c>
      <c r="AV26" s="143"/>
      <c r="AW26" s="140">
        <f t="shared" si="93"/>
        <v>33000</v>
      </c>
      <c r="AX26" s="145">
        <v>4000</v>
      </c>
      <c r="AY26" s="146"/>
      <c r="AZ26" s="135">
        <f t="shared" si="55"/>
        <v>1450</v>
      </c>
      <c r="BA26" s="135">
        <f t="shared" si="15"/>
        <v>0</v>
      </c>
      <c r="BB26" s="142">
        <f t="shared" si="94"/>
        <v>30450</v>
      </c>
      <c r="BC26" s="138">
        <f t="shared" si="112"/>
        <v>12150</v>
      </c>
      <c r="BD26" s="143"/>
      <c r="BE26" s="140">
        <f t="shared" si="95"/>
        <v>30450</v>
      </c>
      <c r="BF26" s="145">
        <v>3000</v>
      </c>
      <c r="BG26" s="146"/>
      <c r="BH26" s="135">
        <f t="shared" si="60"/>
        <v>1372.5</v>
      </c>
      <c r="BI26" s="135">
        <f t="shared" si="17"/>
        <v>0</v>
      </c>
      <c r="BJ26" s="142">
        <f t="shared" si="96"/>
        <v>28822.5</v>
      </c>
      <c r="BK26" s="138">
        <f t="shared" si="113"/>
        <v>13777.5</v>
      </c>
      <c r="BL26" s="143"/>
      <c r="BM26" s="140">
        <f t="shared" si="97"/>
        <v>28822.5</v>
      </c>
      <c r="BN26" s="145">
        <v>2000</v>
      </c>
      <c r="BO26" s="146"/>
      <c r="BP26" s="135">
        <f t="shared" si="19"/>
        <v>1341.125</v>
      </c>
      <c r="BQ26" s="135">
        <f t="shared" si="20"/>
        <v>0</v>
      </c>
      <c r="BR26" s="135"/>
      <c r="BS26" s="142">
        <f t="shared" si="98"/>
        <v>28163.625</v>
      </c>
      <c r="BT26" s="138">
        <f t="shared" si="107"/>
        <v>14436.375</v>
      </c>
      <c r="BU26" s="143"/>
      <c r="BV26" s="140">
        <f t="shared" si="22"/>
        <v>28163.625</v>
      </c>
      <c r="BW26" s="136">
        <v>2000</v>
      </c>
      <c r="BX26" s="137"/>
      <c r="BY26" s="135">
        <f t="shared" si="114"/>
        <v>1308.1812500000001</v>
      </c>
      <c r="BZ26" s="135">
        <f t="shared" si="24"/>
        <v>0</v>
      </c>
      <c r="CA26" s="135"/>
      <c r="CB26" s="142">
        <f t="shared" si="99"/>
        <v>27471.806250000001</v>
      </c>
      <c r="CC26" s="138">
        <f t="shared" si="108"/>
        <v>15128.193749999999</v>
      </c>
      <c r="CD26" s="143"/>
      <c r="CE26" s="140">
        <f t="shared" si="100"/>
        <v>27471.806250000001</v>
      </c>
      <c r="CF26" s="145">
        <v>3000</v>
      </c>
      <c r="CG26" s="146"/>
      <c r="CH26" s="144">
        <v>2337.0254403131116</v>
      </c>
      <c r="CI26" s="135">
        <f t="shared" ref="CI26:CI29" si="115">(CE26-CF26)*0.05</f>
        <v>1223.5903125000002</v>
      </c>
      <c r="CJ26" s="135">
        <f t="shared" si="26"/>
        <v>233.70254403131116</v>
      </c>
      <c r="CK26" s="135"/>
      <c r="CL26" s="142">
        <f t="shared" si="75"/>
        <v>25929.099106531314</v>
      </c>
      <c r="CM26" s="138">
        <f t="shared" si="109"/>
        <v>16670.900893468686</v>
      </c>
      <c r="CN26" s="143"/>
      <c r="CO26" s="140">
        <f t="shared" si="77"/>
        <v>25929.099106531314</v>
      </c>
      <c r="CP26" s="145">
        <v>8504.2610009081545</v>
      </c>
      <c r="CQ26" s="146"/>
      <c r="CR26" s="135">
        <f t="shared" si="28"/>
        <v>871.24190528115798</v>
      </c>
      <c r="CS26" s="135">
        <f t="shared" si="29"/>
        <v>0</v>
      </c>
      <c r="CT26" s="135"/>
      <c r="CU26" s="142">
        <f t="shared" si="80"/>
        <v>18296.080010904316</v>
      </c>
      <c r="CV26" s="138">
        <f t="shared" si="110"/>
        <v>24303.919989095684</v>
      </c>
      <c r="CW26" s="143"/>
      <c r="CX26" s="140">
        <f t="shared" si="101"/>
        <v>18296.080010904316</v>
      </c>
      <c r="CY26" s="145"/>
      <c r="CZ26" s="146"/>
      <c r="DA26" s="135">
        <f t="shared" si="102"/>
        <v>914.80400054521579</v>
      </c>
      <c r="DB26" s="135">
        <f t="shared" si="31"/>
        <v>0</v>
      </c>
      <c r="DC26" s="142">
        <f t="shared" si="85"/>
        <v>19210.884011449532</v>
      </c>
      <c r="DD26" s="138">
        <f t="shared" si="32"/>
        <v>23389.115988550468</v>
      </c>
    </row>
    <row r="27" spans="2:108" ht="29" x14ac:dyDescent="0.45">
      <c r="B27" s="121" t="s">
        <v>103</v>
      </c>
      <c r="C27" s="121" t="s">
        <v>104</v>
      </c>
      <c r="D27" s="121" t="s">
        <v>105</v>
      </c>
      <c r="E27" s="121" t="s">
        <v>115</v>
      </c>
      <c r="G27" s="133">
        <v>22</v>
      </c>
      <c r="H27" s="134" t="s">
        <v>37</v>
      </c>
      <c r="I27" s="135"/>
      <c r="J27" s="145"/>
      <c r="K27" s="137"/>
      <c r="L27" s="135">
        <f t="shared" si="0"/>
        <v>0</v>
      </c>
      <c r="M27" s="135">
        <f t="shared" si="1"/>
        <v>0</v>
      </c>
      <c r="N27" s="137">
        <f t="shared" si="103"/>
        <v>0</v>
      </c>
      <c r="O27" s="138">
        <f t="shared" si="2"/>
        <v>96600</v>
      </c>
      <c r="P27" s="139"/>
      <c r="Q27" s="140">
        <f t="shared" si="87"/>
        <v>0</v>
      </c>
      <c r="R27" s="145"/>
      <c r="S27" s="146"/>
      <c r="T27" s="135">
        <f t="shared" si="3"/>
        <v>0</v>
      </c>
      <c r="U27" s="135">
        <f t="shared" si="4"/>
        <v>0</v>
      </c>
      <c r="V27" s="137">
        <f t="shared" si="39"/>
        <v>0</v>
      </c>
      <c r="W27" s="138">
        <f t="shared" si="5"/>
        <v>96600</v>
      </c>
      <c r="X27" s="141"/>
      <c r="Y27" s="140">
        <f t="shared" si="88"/>
        <v>0</v>
      </c>
      <c r="Z27" s="145"/>
      <c r="AA27" s="146"/>
      <c r="AB27" s="135">
        <f t="shared" si="6"/>
        <v>0</v>
      </c>
      <c r="AC27" s="135">
        <f t="shared" si="7"/>
        <v>0</v>
      </c>
      <c r="AD27" s="142">
        <f t="shared" si="8"/>
        <v>0</v>
      </c>
      <c r="AE27" s="138">
        <f t="shared" si="105"/>
        <v>96600</v>
      </c>
      <c r="AF27" s="143"/>
      <c r="AG27" s="140">
        <f t="shared" si="89"/>
        <v>0</v>
      </c>
      <c r="AH27" s="145"/>
      <c r="AI27" s="146"/>
      <c r="AJ27" s="135">
        <f t="shared" si="104"/>
        <v>0</v>
      </c>
      <c r="AK27" s="135">
        <f t="shared" si="11"/>
        <v>0</v>
      </c>
      <c r="AL27" s="142">
        <f t="shared" si="90"/>
        <v>0</v>
      </c>
      <c r="AM27" s="138">
        <f t="shared" si="106"/>
        <v>96600</v>
      </c>
      <c r="AN27" s="143"/>
      <c r="AO27" s="140">
        <f t="shared" si="91"/>
        <v>0</v>
      </c>
      <c r="AP27" s="145"/>
      <c r="AQ27" s="146"/>
      <c r="AR27" s="135">
        <f t="shared" si="50"/>
        <v>0</v>
      </c>
      <c r="AS27" s="135">
        <f t="shared" si="13"/>
        <v>0</v>
      </c>
      <c r="AT27" s="142">
        <f t="shared" si="92"/>
        <v>0</v>
      </c>
      <c r="AU27" s="138">
        <f t="shared" si="111"/>
        <v>96600</v>
      </c>
      <c r="AV27" s="143"/>
      <c r="AW27" s="140">
        <f t="shared" si="93"/>
        <v>0</v>
      </c>
      <c r="AX27" s="145"/>
      <c r="AY27" s="146"/>
      <c r="AZ27" s="135">
        <f t="shared" si="55"/>
        <v>0</v>
      </c>
      <c r="BA27" s="135">
        <f t="shared" si="15"/>
        <v>0</v>
      </c>
      <c r="BB27" s="142">
        <f t="shared" si="94"/>
        <v>0</v>
      </c>
      <c r="BC27" s="138">
        <f t="shared" si="112"/>
        <v>96600</v>
      </c>
      <c r="BD27" s="143"/>
      <c r="BE27" s="140">
        <f t="shared" si="95"/>
        <v>0</v>
      </c>
      <c r="BF27" s="145"/>
      <c r="BG27" s="146"/>
      <c r="BH27" s="135">
        <f t="shared" si="60"/>
        <v>0</v>
      </c>
      <c r="BI27" s="135">
        <f t="shared" si="17"/>
        <v>0</v>
      </c>
      <c r="BJ27" s="142">
        <f t="shared" si="96"/>
        <v>0</v>
      </c>
      <c r="BK27" s="138">
        <f t="shared" si="113"/>
        <v>96600</v>
      </c>
      <c r="BL27" s="143"/>
      <c r="BM27" s="140">
        <f t="shared" si="97"/>
        <v>0</v>
      </c>
      <c r="BN27" s="145"/>
      <c r="BO27" s="146"/>
      <c r="BP27" s="135">
        <f t="shared" si="19"/>
        <v>0</v>
      </c>
      <c r="BQ27" s="135">
        <f t="shared" si="20"/>
        <v>0</v>
      </c>
      <c r="BR27" s="135"/>
      <c r="BS27" s="142">
        <f t="shared" si="98"/>
        <v>0</v>
      </c>
      <c r="BT27" s="138">
        <f t="shared" si="107"/>
        <v>96600</v>
      </c>
      <c r="BU27" s="143"/>
      <c r="BV27" s="140">
        <f t="shared" si="22"/>
        <v>0</v>
      </c>
      <c r="BW27" s="136"/>
      <c r="BX27" s="137">
        <v>25000</v>
      </c>
      <c r="BY27" s="135">
        <f t="shared" si="114"/>
        <v>0</v>
      </c>
      <c r="BZ27" s="135">
        <f t="shared" si="24"/>
        <v>2500</v>
      </c>
      <c r="CA27" s="135"/>
      <c r="CB27" s="142">
        <f t="shared" si="99"/>
        <v>27500</v>
      </c>
      <c r="CC27" s="138">
        <f t="shared" si="108"/>
        <v>69100</v>
      </c>
      <c r="CD27" s="143"/>
      <c r="CE27" s="140">
        <f t="shared" si="100"/>
        <v>27500</v>
      </c>
      <c r="CF27" s="145">
        <v>1000</v>
      </c>
      <c r="CG27" s="146"/>
      <c r="CH27" s="144">
        <v>5299.4520547945203</v>
      </c>
      <c r="CI27" s="135">
        <f t="shared" si="115"/>
        <v>1325</v>
      </c>
      <c r="CJ27" s="135">
        <f t="shared" si="26"/>
        <v>529.94520547945206</v>
      </c>
      <c r="CK27" s="135"/>
      <c r="CL27" s="142">
        <f t="shared" si="75"/>
        <v>28354.945205479453</v>
      </c>
      <c r="CM27" s="138">
        <f t="shared" si="109"/>
        <v>68245.054794520547</v>
      </c>
      <c r="CN27" s="143"/>
      <c r="CO27" s="140">
        <f t="shared" si="77"/>
        <v>28354.945205479453</v>
      </c>
      <c r="CP27" s="145">
        <v>1529.95</v>
      </c>
      <c r="CQ27" s="146"/>
      <c r="CR27" s="135">
        <f t="shared" si="28"/>
        <v>1341.2497602739727</v>
      </c>
      <c r="CS27" s="135">
        <f t="shared" si="29"/>
        <v>0</v>
      </c>
      <c r="CT27" s="135"/>
      <c r="CU27" s="142">
        <f t="shared" si="80"/>
        <v>28166.244965753423</v>
      </c>
      <c r="CV27" s="138">
        <f t="shared" si="110"/>
        <v>68433.755034246569</v>
      </c>
      <c r="CW27" s="143"/>
      <c r="CX27" s="140">
        <f t="shared" si="101"/>
        <v>28166.244965753423</v>
      </c>
      <c r="CY27" s="145"/>
      <c r="CZ27" s="146"/>
      <c r="DA27" s="135">
        <f t="shared" si="102"/>
        <v>1408.3122482876713</v>
      </c>
      <c r="DB27" s="135">
        <f t="shared" si="31"/>
        <v>0</v>
      </c>
      <c r="DC27" s="142">
        <f t="shared" si="85"/>
        <v>29574.557214041095</v>
      </c>
      <c r="DD27" s="138">
        <f t="shared" si="32"/>
        <v>67025.442785958905</v>
      </c>
    </row>
    <row r="28" spans="2:108" ht="29" x14ac:dyDescent="0.45">
      <c r="B28" s="121" t="s">
        <v>103</v>
      </c>
      <c r="C28" s="121" t="s">
        <v>104</v>
      </c>
      <c r="D28" s="121" t="s">
        <v>105</v>
      </c>
      <c r="E28" s="121" t="s">
        <v>115</v>
      </c>
      <c r="G28" s="133">
        <v>23</v>
      </c>
      <c r="H28" s="134" t="s">
        <v>38</v>
      </c>
      <c r="I28" s="135"/>
      <c r="J28" s="145"/>
      <c r="K28" s="137"/>
      <c r="L28" s="135">
        <f t="shared" si="0"/>
        <v>0</v>
      </c>
      <c r="M28" s="135">
        <f t="shared" si="1"/>
        <v>0</v>
      </c>
      <c r="N28" s="137">
        <f t="shared" si="103"/>
        <v>0</v>
      </c>
      <c r="O28" s="138">
        <f t="shared" si="2"/>
        <v>33000</v>
      </c>
      <c r="P28" s="139"/>
      <c r="Q28" s="140">
        <f t="shared" si="87"/>
        <v>0</v>
      </c>
      <c r="R28" s="145"/>
      <c r="S28" s="146"/>
      <c r="T28" s="135">
        <f t="shared" si="3"/>
        <v>0</v>
      </c>
      <c r="U28" s="135">
        <f t="shared" si="4"/>
        <v>0</v>
      </c>
      <c r="V28" s="137">
        <f t="shared" si="39"/>
        <v>0</v>
      </c>
      <c r="W28" s="138">
        <f t="shared" si="5"/>
        <v>33000</v>
      </c>
      <c r="X28" s="141"/>
      <c r="Y28" s="140">
        <f t="shared" si="88"/>
        <v>0</v>
      </c>
      <c r="Z28" s="145"/>
      <c r="AA28" s="146"/>
      <c r="AB28" s="135">
        <f t="shared" si="6"/>
        <v>0</v>
      </c>
      <c r="AC28" s="135">
        <f t="shared" si="7"/>
        <v>0</v>
      </c>
      <c r="AD28" s="142">
        <f t="shared" si="8"/>
        <v>0</v>
      </c>
      <c r="AE28" s="138">
        <f t="shared" si="105"/>
        <v>33000</v>
      </c>
      <c r="AF28" s="143"/>
      <c r="AG28" s="140">
        <f t="shared" si="89"/>
        <v>0</v>
      </c>
      <c r="AH28" s="145"/>
      <c r="AI28" s="146"/>
      <c r="AJ28" s="135">
        <f t="shared" si="104"/>
        <v>0</v>
      </c>
      <c r="AK28" s="135">
        <f t="shared" si="11"/>
        <v>0</v>
      </c>
      <c r="AL28" s="142">
        <f t="shared" si="90"/>
        <v>0</v>
      </c>
      <c r="AM28" s="138">
        <f t="shared" si="106"/>
        <v>33000</v>
      </c>
      <c r="AN28" s="143"/>
      <c r="AO28" s="140">
        <f t="shared" si="91"/>
        <v>0</v>
      </c>
      <c r="AP28" s="145"/>
      <c r="AQ28" s="146">
        <v>13265</v>
      </c>
      <c r="AR28" s="135">
        <f t="shared" si="50"/>
        <v>0</v>
      </c>
      <c r="AS28" s="135">
        <f t="shared" si="13"/>
        <v>1326.5</v>
      </c>
      <c r="AT28" s="142">
        <f t="shared" si="92"/>
        <v>14591.5</v>
      </c>
      <c r="AU28" s="138">
        <f t="shared" si="111"/>
        <v>18408.5</v>
      </c>
      <c r="AV28" s="143"/>
      <c r="AW28" s="140">
        <f t="shared" si="93"/>
        <v>14591.5</v>
      </c>
      <c r="AX28" s="145">
        <v>200</v>
      </c>
      <c r="AY28" s="146"/>
      <c r="AZ28" s="135">
        <f t="shared" si="55"/>
        <v>719.57500000000005</v>
      </c>
      <c r="BA28" s="135">
        <f t="shared" si="15"/>
        <v>0</v>
      </c>
      <c r="BB28" s="142">
        <f t="shared" si="94"/>
        <v>15111.075000000001</v>
      </c>
      <c r="BC28" s="138">
        <f t="shared" si="112"/>
        <v>17888.924999999999</v>
      </c>
      <c r="BD28" s="143"/>
      <c r="BE28" s="140">
        <f t="shared" si="95"/>
        <v>15111.075000000001</v>
      </c>
      <c r="BF28" s="145">
        <v>1300</v>
      </c>
      <c r="BG28" s="146"/>
      <c r="BH28" s="135">
        <f t="shared" si="60"/>
        <v>690.55375000000004</v>
      </c>
      <c r="BI28" s="135">
        <f t="shared" si="17"/>
        <v>0</v>
      </c>
      <c r="BJ28" s="142">
        <f t="shared" si="96"/>
        <v>14501.62875</v>
      </c>
      <c r="BK28" s="138">
        <f t="shared" si="113"/>
        <v>18498.37125</v>
      </c>
      <c r="BL28" s="143"/>
      <c r="BM28" s="140">
        <f t="shared" si="97"/>
        <v>14501.62875</v>
      </c>
      <c r="BN28" s="145"/>
      <c r="BO28" s="146"/>
      <c r="BP28" s="135">
        <f t="shared" si="19"/>
        <v>725.08143749999999</v>
      </c>
      <c r="BQ28" s="135">
        <f t="shared" si="20"/>
        <v>0</v>
      </c>
      <c r="BR28" s="135"/>
      <c r="BS28" s="142">
        <f t="shared" si="98"/>
        <v>15226.710187500001</v>
      </c>
      <c r="BT28" s="138">
        <f t="shared" si="107"/>
        <v>17773.289812499999</v>
      </c>
      <c r="BU28" s="143"/>
      <c r="BV28" s="140">
        <f t="shared" si="22"/>
        <v>15226.710187500001</v>
      </c>
      <c r="BW28" s="136">
        <v>800</v>
      </c>
      <c r="BX28" s="137"/>
      <c r="BY28" s="135">
        <f t="shared" si="114"/>
        <v>721.33550937500013</v>
      </c>
      <c r="BZ28" s="135">
        <f t="shared" si="24"/>
        <v>0</v>
      </c>
      <c r="CA28" s="135"/>
      <c r="CB28" s="142">
        <f t="shared" si="99"/>
        <v>15148.045696875</v>
      </c>
      <c r="CC28" s="138">
        <f t="shared" si="108"/>
        <v>17851.954303125</v>
      </c>
      <c r="CD28" s="143"/>
      <c r="CE28" s="140">
        <f t="shared" si="100"/>
        <v>15148.045696875</v>
      </c>
      <c r="CF28" s="145">
        <v>1000</v>
      </c>
      <c r="CG28" s="146"/>
      <c r="CH28" s="144">
        <v>1810.3718199608609</v>
      </c>
      <c r="CI28" s="135">
        <f t="shared" si="115"/>
        <v>707.40228484375007</v>
      </c>
      <c r="CJ28" s="135">
        <f t="shared" si="26"/>
        <v>181.0371819960861</v>
      </c>
      <c r="CK28" s="135"/>
      <c r="CL28" s="142">
        <f t="shared" si="75"/>
        <v>15036.485163714837</v>
      </c>
      <c r="CM28" s="138">
        <f t="shared" si="109"/>
        <v>17963.514836285161</v>
      </c>
      <c r="CN28" s="143"/>
      <c r="CO28" s="140">
        <f t="shared" si="77"/>
        <v>15036.485163714837</v>
      </c>
      <c r="CP28" s="145">
        <v>0</v>
      </c>
      <c r="CQ28" s="146"/>
      <c r="CR28" s="135">
        <f t="shared" si="28"/>
        <v>751.82425818574188</v>
      </c>
      <c r="CS28" s="135">
        <f t="shared" si="29"/>
        <v>0</v>
      </c>
      <c r="CT28" s="135"/>
      <c r="CU28" s="142">
        <f t="shared" si="80"/>
        <v>15788.309421900578</v>
      </c>
      <c r="CV28" s="138">
        <f t="shared" si="110"/>
        <v>17211.69057809942</v>
      </c>
      <c r="CW28" s="143"/>
      <c r="CX28" s="140">
        <f t="shared" si="101"/>
        <v>15788.309421900578</v>
      </c>
      <c r="CY28" s="145"/>
      <c r="CZ28" s="146"/>
      <c r="DA28" s="135">
        <f t="shared" si="102"/>
        <v>789.41547109502892</v>
      </c>
      <c r="DB28" s="135">
        <f t="shared" si="31"/>
        <v>0</v>
      </c>
      <c r="DC28" s="142">
        <f t="shared" si="85"/>
        <v>16577.724892995608</v>
      </c>
      <c r="DD28" s="138">
        <f t="shared" si="32"/>
        <v>16422.275107004392</v>
      </c>
    </row>
    <row r="29" spans="2:108" ht="29" x14ac:dyDescent="0.45">
      <c r="B29" s="121" t="s">
        <v>103</v>
      </c>
      <c r="C29" s="121" t="s">
        <v>104</v>
      </c>
      <c r="D29" s="121" t="s">
        <v>105</v>
      </c>
      <c r="E29" s="121" t="s">
        <v>115</v>
      </c>
      <c r="G29" s="133">
        <v>24</v>
      </c>
      <c r="H29" s="134" t="s">
        <v>39</v>
      </c>
      <c r="I29" s="135"/>
      <c r="J29" s="145"/>
      <c r="K29" s="137"/>
      <c r="L29" s="135">
        <f t="shared" si="0"/>
        <v>0</v>
      </c>
      <c r="M29" s="135">
        <f t="shared" si="1"/>
        <v>0</v>
      </c>
      <c r="N29" s="137">
        <f t="shared" si="103"/>
        <v>0</v>
      </c>
      <c r="O29" s="138">
        <f t="shared" si="2"/>
        <v>28200</v>
      </c>
      <c r="P29" s="139"/>
      <c r="Q29" s="140">
        <f t="shared" si="87"/>
        <v>0</v>
      </c>
      <c r="R29" s="145"/>
      <c r="S29" s="146"/>
      <c r="T29" s="135">
        <f t="shared" si="3"/>
        <v>0</v>
      </c>
      <c r="U29" s="135">
        <f t="shared" si="4"/>
        <v>0</v>
      </c>
      <c r="V29" s="137">
        <f t="shared" si="39"/>
        <v>0</v>
      </c>
      <c r="W29" s="138">
        <f t="shared" si="5"/>
        <v>28200</v>
      </c>
      <c r="X29" s="141"/>
      <c r="Y29" s="140">
        <f t="shared" si="88"/>
        <v>0</v>
      </c>
      <c r="Z29" s="145"/>
      <c r="AA29" s="146"/>
      <c r="AB29" s="135">
        <f t="shared" si="6"/>
        <v>0</v>
      </c>
      <c r="AC29" s="135">
        <f t="shared" si="7"/>
        <v>0</v>
      </c>
      <c r="AD29" s="142">
        <f t="shared" si="8"/>
        <v>0</v>
      </c>
      <c r="AE29" s="138">
        <f t="shared" si="105"/>
        <v>28200</v>
      </c>
      <c r="AF29" s="143"/>
      <c r="AG29" s="140">
        <f t="shared" si="89"/>
        <v>0</v>
      </c>
      <c r="AH29" s="145"/>
      <c r="AI29" s="146"/>
      <c r="AJ29" s="135">
        <f t="shared" si="104"/>
        <v>0</v>
      </c>
      <c r="AK29" s="135">
        <f t="shared" si="11"/>
        <v>0</v>
      </c>
      <c r="AL29" s="142">
        <f t="shared" si="90"/>
        <v>0</v>
      </c>
      <c r="AM29" s="138">
        <f t="shared" si="106"/>
        <v>28200</v>
      </c>
      <c r="AN29" s="143"/>
      <c r="AO29" s="140">
        <f t="shared" si="91"/>
        <v>0</v>
      </c>
      <c r="AP29" s="145"/>
      <c r="AQ29" s="146"/>
      <c r="AR29" s="135">
        <f t="shared" si="50"/>
        <v>0</v>
      </c>
      <c r="AS29" s="135">
        <f t="shared" si="13"/>
        <v>0</v>
      </c>
      <c r="AT29" s="142">
        <f t="shared" si="92"/>
        <v>0</v>
      </c>
      <c r="AU29" s="138">
        <f t="shared" si="111"/>
        <v>28200</v>
      </c>
      <c r="AV29" s="143"/>
      <c r="AW29" s="140">
        <f t="shared" si="93"/>
        <v>0</v>
      </c>
      <c r="AX29" s="145"/>
      <c r="AY29" s="146"/>
      <c r="AZ29" s="135">
        <f t="shared" si="55"/>
        <v>0</v>
      </c>
      <c r="BA29" s="135">
        <f t="shared" si="15"/>
        <v>0</v>
      </c>
      <c r="BB29" s="142">
        <f t="shared" si="94"/>
        <v>0</v>
      </c>
      <c r="BC29" s="138">
        <f t="shared" si="112"/>
        <v>28200</v>
      </c>
      <c r="BD29" s="143"/>
      <c r="BE29" s="140">
        <f t="shared" si="95"/>
        <v>0</v>
      </c>
      <c r="BF29" s="145"/>
      <c r="BG29" s="146"/>
      <c r="BH29" s="135">
        <f t="shared" si="60"/>
        <v>0</v>
      </c>
      <c r="BI29" s="135">
        <f t="shared" si="17"/>
        <v>0</v>
      </c>
      <c r="BJ29" s="142">
        <f t="shared" si="96"/>
        <v>0</v>
      </c>
      <c r="BK29" s="138">
        <f t="shared" si="113"/>
        <v>28200</v>
      </c>
      <c r="BL29" s="143"/>
      <c r="BM29" s="140">
        <f t="shared" si="97"/>
        <v>0</v>
      </c>
      <c r="BN29" s="145"/>
      <c r="BO29" s="146"/>
      <c r="BP29" s="135">
        <f t="shared" si="19"/>
        <v>0</v>
      </c>
      <c r="BQ29" s="135">
        <f t="shared" si="20"/>
        <v>0</v>
      </c>
      <c r="BR29" s="135"/>
      <c r="BS29" s="142">
        <f t="shared" si="98"/>
        <v>0</v>
      </c>
      <c r="BT29" s="138">
        <f t="shared" si="107"/>
        <v>28200</v>
      </c>
      <c r="BU29" s="143"/>
      <c r="BV29" s="140">
        <f t="shared" si="22"/>
        <v>0</v>
      </c>
      <c r="BW29" s="136"/>
      <c r="BX29" s="137"/>
      <c r="BY29" s="135">
        <f t="shared" si="114"/>
        <v>0</v>
      </c>
      <c r="BZ29" s="135">
        <f t="shared" si="24"/>
        <v>0</v>
      </c>
      <c r="CA29" s="135"/>
      <c r="CB29" s="142">
        <f t="shared" si="99"/>
        <v>0</v>
      </c>
      <c r="CC29" s="138">
        <f t="shared" si="108"/>
        <v>28200</v>
      </c>
      <c r="CD29" s="143"/>
      <c r="CE29" s="140">
        <f t="shared" si="100"/>
        <v>0</v>
      </c>
      <c r="CF29" s="145">
        <v>0</v>
      </c>
      <c r="CG29" s="146">
        <v>200</v>
      </c>
      <c r="CH29" s="144">
        <v>15000</v>
      </c>
      <c r="CI29" s="135">
        <f t="shared" si="115"/>
        <v>0</v>
      </c>
      <c r="CJ29" s="135">
        <f t="shared" si="26"/>
        <v>1520</v>
      </c>
      <c r="CK29" s="135"/>
      <c r="CL29" s="142">
        <f t="shared" si="75"/>
        <v>1720</v>
      </c>
      <c r="CM29" s="138">
        <f t="shared" si="109"/>
        <v>26480</v>
      </c>
      <c r="CN29" s="143"/>
      <c r="CO29" s="140">
        <f t="shared" si="77"/>
        <v>1720</v>
      </c>
      <c r="CP29" s="145">
        <f>1720</f>
        <v>1720</v>
      </c>
      <c r="CQ29" s="146"/>
      <c r="CR29" s="135">
        <f t="shared" si="28"/>
        <v>0</v>
      </c>
      <c r="CS29" s="135">
        <f t="shared" si="29"/>
        <v>0</v>
      </c>
      <c r="CT29" s="135"/>
      <c r="CU29" s="142">
        <f t="shared" si="80"/>
        <v>0</v>
      </c>
      <c r="CV29" s="138">
        <f t="shared" si="110"/>
        <v>28200</v>
      </c>
      <c r="CW29" s="143"/>
      <c r="CX29" s="140">
        <f t="shared" si="101"/>
        <v>0</v>
      </c>
      <c r="CY29" s="145"/>
      <c r="CZ29" s="146"/>
      <c r="DA29" s="135">
        <f t="shared" si="102"/>
        <v>0</v>
      </c>
      <c r="DB29" s="135">
        <f t="shared" si="31"/>
        <v>0</v>
      </c>
      <c r="DC29" s="142">
        <f t="shared" si="85"/>
        <v>0</v>
      </c>
      <c r="DD29" s="138">
        <f t="shared" si="32"/>
        <v>28200</v>
      </c>
    </row>
    <row r="30" spans="2:108" ht="18.5" x14ac:dyDescent="0.45">
      <c r="G30" s="133">
        <v>25</v>
      </c>
      <c r="H30" s="134" t="s">
        <v>40</v>
      </c>
      <c r="I30" s="147"/>
      <c r="J30" s="145"/>
      <c r="K30" s="137"/>
      <c r="L30" s="135">
        <f t="shared" si="0"/>
        <v>0</v>
      </c>
      <c r="M30" s="135">
        <f t="shared" si="1"/>
        <v>0</v>
      </c>
      <c r="N30" s="137">
        <f t="shared" si="103"/>
        <v>0</v>
      </c>
      <c r="O30" s="138">
        <f t="shared" si="2"/>
        <v>600</v>
      </c>
      <c r="P30" s="139"/>
      <c r="Q30" s="140">
        <f t="shared" si="87"/>
        <v>0</v>
      </c>
      <c r="R30" s="145"/>
      <c r="S30" s="146"/>
      <c r="T30" s="135">
        <f t="shared" si="3"/>
        <v>0</v>
      </c>
      <c r="U30" s="135">
        <f t="shared" si="4"/>
        <v>0</v>
      </c>
      <c r="V30" s="137">
        <f t="shared" si="39"/>
        <v>0</v>
      </c>
      <c r="W30" s="138">
        <f t="shared" si="5"/>
        <v>600</v>
      </c>
      <c r="X30" s="141"/>
      <c r="Y30" s="140">
        <f t="shared" si="88"/>
        <v>0</v>
      </c>
      <c r="Z30" s="145"/>
      <c r="AA30" s="146"/>
      <c r="AB30" s="135">
        <f t="shared" si="6"/>
        <v>0</v>
      </c>
      <c r="AC30" s="135">
        <f t="shared" si="7"/>
        <v>0</v>
      </c>
      <c r="AD30" s="142">
        <f t="shared" si="8"/>
        <v>0</v>
      </c>
      <c r="AE30" s="138">
        <f t="shared" si="105"/>
        <v>600</v>
      </c>
      <c r="AF30" s="143"/>
      <c r="AG30" s="140">
        <f t="shared" si="89"/>
        <v>0</v>
      </c>
      <c r="AH30" s="145"/>
      <c r="AI30" s="146"/>
      <c r="AJ30" s="135">
        <f t="shared" ref="AJ30" si="116">IF(AH30&gt;0,(AG30-AH30)*0.05,0)</f>
        <v>0</v>
      </c>
      <c r="AK30" s="135">
        <f t="shared" si="11"/>
        <v>0</v>
      </c>
      <c r="AL30" s="142">
        <f t="shared" si="90"/>
        <v>0</v>
      </c>
      <c r="AM30" s="138">
        <f t="shared" si="106"/>
        <v>600</v>
      </c>
      <c r="AN30" s="143"/>
      <c r="AO30" s="140">
        <f t="shared" si="91"/>
        <v>0</v>
      </c>
      <c r="AP30" s="145"/>
      <c r="AQ30" s="146"/>
      <c r="AR30" s="135">
        <f t="shared" si="50"/>
        <v>0</v>
      </c>
      <c r="AS30" s="135">
        <f t="shared" si="13"/>
        <v>0</v>
      </c>
      <c r="AT30" s="142">
        <f t="shared" si="92"/>
        <v>0</v>
      </c>
      <c r="AU30" s="138">
        <f t="shared" si="111"/>
        <v>600</v>
      </c>
      <c r="AV30" s="143"/>
      <c r="AW30" s="140">
        <f t="shared" si="93"/>
        <v>0</v>
      </c>
      <c r="AX30" s="145"/>
      <c r="AY30" s="146"/>
      <c r="AZ30" s="135">
        <f t="shared" si="55"/>
        <v>0</v>
      </c>
      <c r="BA30" s="135">
        <f t="shared" si="15"/>
        <v>0</v>
      </c>
      <c r="BB30" s="142">
        <f>(AW30-AX30+AY30+AZ30+BA30)</f>
        <v>0</v>
      </c>
      <c r="BC30" s="138">
        <f t="shared" si="112"/>
        <v>600</v>
      </c>
      <c r="BD30" s="143"/>
      <c r="BE30" s="140">
        <f t="shared" si="95"/>
        <v>0</v>
      </c>
      <c r="BF30" s="145"/>
      <c r="BG30" s="146"/>
      <c r="BH30" s="135">
        <f t="shared" si="60"/>
        <v>0</v>
      </c>
      <c r="BI30" s="135">
        <f t="shared" si="17"/>
        <v>0</v>
      </c>
      <c r="BJ30" s="142">
        <f t="shared" si="96"/>
        <v>0</v>
      </c>
      <c r="BK30" s="138">
        <f t="shared" si="113"/>
        <v>600</v>
      </c>
      <c r="BL30" s="143"/>
      <c r="BM30" s="140">
        <f t="shared" si="97"/>
        <v>0</v>
      </c>
      <c r="BN30" s="145"/>
      <c r="BO30" s="146"/>
      <c r="BP30" s="135">
        <f t="shared" si="19"/>
        <v>0</v>
      </c>
      <c r="BQ30" s="135">
        <f t="shared" si="20"/>
        <v>0</v>
      </c>
      <c r="BR30" s="135"/>
      <c r="BS30" s="142">
        <f t="shared" si="98"/>
        <v>0</v>
      </c>
      <c r="BT30" s="138">
        <f t="shared" si="107"/>
        <v>600</v>
      </c>
      <c r="BU30" s="143"/>
      <c r="BV30" s="140">
        <f t="shared" si="22"/>
        <v>0</v>
      </c>
      <c r="BW30" s="136"/>
      <c r="BX30" s="137"/>
      <c r="BY30" s="135">
        <f t="shared" si="114"/>
        <v>0</v>
      </c>
      <c r="BZ30" s="135">
        <f t="shared" si="24"/>
        <v>0</v>
      </c>
      <c r="CA30" s="135"/>
      <c r="CB30" s="142">
        <f t="shared" si="99"/>
        <v>0</v>
      </c>
      <c r="CC30" s="138">
        <f t="shared" si="108"/>
        <v>600</v>
      </c>
      <c r="CD30" s="143"/>
      <c r="CE30" s="140">
        <f t="shared" si="100"/>
        <v>0</v>
      </c>
      <c r="CF30" s="145"/>
      <c r="CG30" s="146"/>
      <c r="CH30" s="144"/>
      <c r="CI30" s="135">
        <f t="shared" ref="CI30" si="117">IF(CG30&gt;0,(CF30-CG30)*0.05,0)</f>
        <v>0</v>
      </c>
      <c r="CJ30" s="135">
        <f t="shared" si="26"/>
        <v>0</v>
      </c>
      <c r="CK30" s="135"/>
      <c r="CL30" s="142">
        <f t="shared" ref="CL30" si="118">(CE30-CF30+CG30+CI30+CJ30)</f>
        <v>0</v>
      </c>
      <c r="CM30" s="138">
        <f t="shared" si="109"/>
        <v>600</v>
      </c>
      <c r="CN30" s="143"/>
      <c r="CO30" s="140">
        <f t="shared" si="77"/>
        <v>0</v>
      </c>
      <c r="CP30" s="145"/>
      <c r="CQ30" s="146"/>
      <c r="CR30" s="135">
        <f t="shared" si="28"/>
        <v>0</v>
      </c>
      <c r="CS30" s="135">
        <f t="shared" si="29"/>
        <v>0</v>
      </c>
      <c r="CT30" s="135"/>
      <c r="CU30" s="142">
        <f t="shared" si="80"/>
        <v>0</v>
      </c>
      <c r="CV30" s="138">
        <f t="shared" si="110"/>
        <v>600</v>
      </c>
      <c r="CW30" s="143"/>
      <c r="CX30" s="140">
        <f t="shared" si="101"/>
        <v>0</v>
      </c>
      <c r="CY30" s="145"/>
      <c r="CZ30" s="146"/>
      <c r="DA30" s="135"/>
      <c r="DB30" s="135">
        <f t="shared" si="31"/>
        <v>0</v>
      </c>
      <c r="DC30" s="142">
        <f t="shared" ref="DC30" si="119">(CX30-CY30+CZ30+DA30+DB30)</f>
        <v>0</v>
      </c>
      <c r="DD30" s="138">
        <f t="shared" si="32"/>
        <v>600</v>
      </c>
    </row>
    <row r="31" spans="2:108" x14ac:dyDescent="0.35">
      <c r="H31" s="154"/>
      <c r="I31" s="155">
        <f>SUM(I6:I30)</f>
        <v>0</v>
      </c>
      <c r="J31" s="156"/>
      <c r="K31" s="155">
        <f>SUM(K6:K30)</f>
        <v>48100</v>
      </c>
      <c r="L31" s="155"/>
      <c r="M31" s="155"/>
      <c r="N31" s="155">
        <f>SUM(N6:N30)</f>
        <v>51410</v>
      </c>
      <c r="O31" s="155"/>
      <c r="P31" s="143"/>
      <c r="Q31" s="143">
        <f>SUM(Q6:Q30)</f>
        <v>51410</v>
      </c>
      <c r="R31" s="143">
        <f>SUM(R6:R30)</f>
        <v>7941</v>
      </c>
      <c r="S31" s="143">
        <f>SUM(S6:S30)</f>
        <v>68640</v>
      </c>
      <c r="T31" s="143"/>
      <c r="U31" s="143"/>
      <c r="V31" s="143">
        <f>SUM(V6:V30)</f>
        <v>120296.45</v>
      </c>
      <c r="W31" s="143"/>
      <c r="X31" s="143"/>
      <c r="Y31" s="143">
        <f>SUM(Y6:Y30)</f>
        <v>120296.45</v>
      </c>
      <c r="Z31" s="143">
        <f>SUM(Z6:Z30)</f>
        <v>8550</v>
      </c>
      <c r="AA31" s="143">
        <f>SUM(AA6:AA30)</f>
        <v>43650</v>
      </c>
      <c r="AB31" s="143"/>
      <c r="AC31" s="143"/>
      <c r="AD31" s="143">
        <f>SUM(AD6:AD30)</f>
        <v>162817.57250000001</v>
      </c>
      <c r="AE31" s="143"/>
      <c r="AF31" s="143"/>
      <c r="AG31" s="143">
        <f>SUM(AG6:AG30)</f>
        <v>162817.57250000001</v>
      </c>
      <c r="AH31" s="143">
        <f>SUM(AH6:AH30)</f>
        <v>21000</v>
      </c>
      <c r="AI31" s="143">
        <f>SUM(AI6:AI30)</f>
        <v>72300</v>
      </c>
      <c r="AJ31" s="143"/>
      <c r="AK31" s="143"/>
      <c r="AL31" s="143">
        <f>SUM(AL6:AL30)</f>
        <v>228438.45112499999</v>
      </c>
      <c r="AM31" s="143"/>
      <c r="AN31" s="143"/>
      <c r="AO31" s="143">
        <f>SUM(AO6:AO30)</f>
        <v>228438.45112499999</v>
      </c>
      <c r="AP31" s="143">
        <f>SUM(AP6:AP30)</f>
        <v>31565</v>
      </c>
      <c r="AQ31" s="143">
        <f>SUM(AQ6:AQ30)</f>
        <v>177265</v>
      </c>
      <c r="AR31" s="143"/>
      <c r="AS31" s="143"/>
      <c r="AT31" s="143">
        <f>SUM(AT6:AT30)</f>
        <v>401708.62368125003</v>
      </c>
      <c r="AU31" s="143"/>
      <c r="AV31" s="143"/>
      <c r="AW31" s="143">
        <f>SUM(AW6:AW30)</f>
        <v>401708.62368125003</v>
      </c>
      <c r="AX31" s="143">
        <f>SUM(AX6:AX30)</f>
        <v>40467.81</v>
      </c>
      <c r="AY31" s="143">
        <f>SUM(AY6:AY30)</f>
        <v>60467.81</v>
      </c>
      <c r="AZ31" s="143"/>
      <c r="BA31" s="143"/>
      <c r="BB31" s="143">
        <f>SUM(BB6:BB30)</f>
        <v>445817.44536531251</v>
      </c>
      <c r="BC31" s="143"/>
      <c r="BD31" s="143"/>
      <c r="BE31" s="150">
        <f>SUM(BE6:BE30)</f>
        <v>445817.44536531251</v>
      </c>
      <c r="BF31" s="150">
        <f>SUM(BF6:BF30)</f>
        <v>46448.392500000002</v>
      </c>
      <c r="BG31" s="150">
        <f>SUM(BG6:BG30)</f>
        <v>77748.39</v>
      </c>
      <c r="BH31" s="151">
        <f t="shared" ref="BH31" si="120">IF(BF31&gt;0,(BE31-BF31)*0.05,0)</f>
        <v>19968.452643265628</v>
      </c>
      <c r="BI31" s="151">
        <f t="shared" si="17"/>
        <v>7774.8389999999999</v>
      </c>
      <c r="BJ31" s="150">
        <f>SUM(BJ6:BJ30)</f>
        <v>504860.73450857808</v>
      </c>
      <c r="BK31" s="150"/>
      <c r="BL31" s="143"/>
      <c r="BM31" s="143">
        <f>SUM(BM6:BM30)</f>
        <v>504860.73450857808</v>
      </c>
      <c r="BN31" s="143">
        <f>SUM(BN6:BN30)</f>
        <v>72725</v>
      </c>
      <c r="BO31" s="143">
        <f>SUM(BO6:BO30)</f>
        <v>91025</v>
      </c>
      <c r="BP31" s="143"/>
      <c r="BQ31" s="143"/>
      <c r="BR31" s="143"/>
      <c r="BS31" s="143">
        <f>SUM(BS6:BS30)</f>
        <v>553870.02123400697</v>
      </c>
      <c r="BT31" s="143"/>
      <c r="BU31" s="143"/>
      <c r="BV31" s="143">
        <f>SUM(BV6:BV30)</f>
        <v>553870.02123400697</v>
      </c>
      <c r="BW31" s="143">
        <f>SUM(BW6:BW30)</f>
        <v>59990</v>
      </c>
      <c r="BX31" s="143">
        <f>SUM(BX6:BX30)</f>
        <v>76090</v>
      </c>
      <c r="BY31" s="143"/>
      <c r="BZ31" s="143"/>
      <c r="CA31" s="143"/>
      <c r="CB31" s="143">
        <f>SUM(CB6:CB30)</f>
        <v>600773.02229570737</v>
      </c>
      <c r="CC31" s="143"/>
      <c r="CD31" s="143"/>
      <c r="CE31" s="143">
        <f>SUM(CE6:CE30)</f>
        <v>600773.02229570737</v>
      </c>
      <c r="CF31" s="143">
        <f>SUM(CF6:CF30)</f>
        <v>80180</v>
      </c>
      <c r="CG31" s="143">
        <f>SUM(CG6:CG30)</f>
        <v>11200</v>
      </c>
      <c r="CH31" s="143">
        <f>SUM(CH6:CH30)</f>
        <v>82279.999999999985</v>
      </c>
      <c r="CI31" s="143"/>
      <c r="CJ31" s="143"/>
      <c r="CK31" s="143"/>
      <c r="CL31" s="143">
        <f>SUM(CL6:CL30)</f>
        <v>566614.39552399574</v>
      </c>
      <c r="CM31" s="143"/>
      <c r="CN31" s="143"/>
      <c r="CO31" s="143">
        <f>SUM(CO6:CO30)</f>
        <v>566614.39552399574</v>
      </c>
      <c r="CP31" s="143">
        <f>SUM(CP6:CP30)</f>
        <v>263433.1218683339</v>
      </c>
      <c r="CQ31" s="143">
        <f>SUM(CQ6:CQ30)</f>
        <v>0</v>
      </c>
      <c r="CR31" s="143"/>
      <c r="CS31" s="143"/>
      <c r="CT31" s="143"/>
      <c r="CU31" s="143">
        <f>SUM(CU6:CU30)</f>
        <v>317883.15133844491</v>
      </c>
      <c r="CV31" s="143"/>
      <c r="CW31" s="143"/>
      <c r="CX31" s="143">
        <f>SUM(CX6:CX30)</f>
        <v>317883.15133844491</v>
      </c>
      <c r="CY31" s="143">
        <f>SUM(CY8:CY30)</f>
        <v>0</v>
      </c>
      <c r="CZ31" s="143">
        <f>SUM(CZ6:CZ30)</f>
        <v>0</v>
      </c>
      <c r="DA31" s="143">
        <f>SUM(DA6:DA30)</f>
        <v>15436.971566922248</v>
      </c>
      <c r="DB31" s="143"/>
      <c r="DC31" s="143">
        <f>SUM(DC6:DC30)</f>
        <v>333320.12290536711</v>
      </c>
      <c r="DD31" s="143"/>
    </row>
    <row r="32" spans="2:108" x14ac:dyDescent="0.35">
      <c r="I32" s="152"/>
      <c r="J32" s="153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</row>
    <row r="33" spans="9:86" x14ac:dyDescent="0.35">
      <c r="I33" s="152"/>
      <c r="J33" s="153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CH33" s="405">
        <f>CG12+CH31</f>
        <v>93279.999999999985</v>
      </c>
    </row>
  </sheetData>
  <mergeCells count="12">
    <mergeCell ref="CX4:DD4"/>
    <mergeCell ref="I4:O4"/>
    <mergeCell ref="Q4:W4"/>
    <mergeCell ref="Y4:AE4"/>
    <mergeCell ref="AG4:AM4"/>
    <mergeCell ref="AO4:AU4"/>
    <mergeCell ref="AW4:BC4"/>
    <mergeCell ref="BE4:BK4"/>
    <mergeCell ref="BM4:BT4"/>
    <mergeCell ref="BV4:CC4"/>
    <mergeCell ref="CE4:CM4"/>
    <mergeCell ref="CO4:CV4"/>
  </mergeCells>
  <conditionalFormatting sqref="P6">
    <cfRule type="iconSet" priority="13">
      <iconSet>
        <cfvo type="percent" val="0"/>
        <cfvo type="percent" val="33"/>
        <cfvo type="percent" val="67"/>
      </iconSet>
    </cfRule>
  </conditionalFormatting>
  <conditionalFormatting sqref="X27">
    <cfRule type="iconSet" priority="10">
      <iconSet showValue="0">
        <cfvo type="percent" val="0"/>
        <cfvo type="num" val="0"/>
        <cfvo type="num" val="0"/>
      </iconSet>
    </cfRule>
    <cfRule type="iconSet" priority="11">
      <iconSet>
        <cfvo type="percent" val="0"/>
        <cfvo type="percent" val="0" gte="0"/>
        <cfvo type="percent" val="0"/>
      </iconSet>
    </cfRule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AN19:AN20">
    <cfRule type="iconSet" priority="9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I4:O4 Q4:W4 Y4:AE4 AG4:AM4 AO4:AU4 AW4:BC4 BV4:CC4 BM4:BT4 BE4:BK4 CE4:CM4 CO4:CV4 CX4:DD4" xr:uid="{86EA2A4A-87B2-424B-A340-DE0A15BF1FF7}">
      <formula1>#REF!</formula1>
    </dataValidation>
  </dataValidations>
  <pageMargins left="0.7" right="0.7" top="0.75" bottom="0.75" header="0.3" footer="0.3"/>
  <pageSetup paperSize="9"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42"/>
  <sheetViews>
    <sheetView zoomScale="70" zoomScaleNormal="7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A6" sqref="A6:XFD6"/>
    </sheetView>
  </sheetViews>
  <sheetFormatPr defaultRowHeight="14.5" x14ac:dyDescent="0.35"/>
  <cols>
    <col min="1" max="1" width="10" bestFit="1" customWidth="1"/>
    <col min="2" max="2" width="20.7265625" customWidth="1"/>
    <col min="3" max="3" width="19.54296875" customWidth="1"/>
    <col min="4" max="4" width="17.1796875" customWidth="1"/>
    <col min="5" max="5" width="17.54296875" customWidth="1"/>
    <col min="6" max="6" width="13.54296875" bestFit="1" customWidth="1"/>
    <col min="7" max="7" width="14.453125" bestFit="1" customWidth="1"/>
    <col min="8" max="8" width="22" bestFit="1" customWidth="1"/>
    <col min="9" max="9" width="13.1796875" bestFit="1" customWidth="1"/>
    <col min="10" max="10" width="14.453125" bestFit="1" customWidth="1"/>
    <col min="11" max="11" width="22" bestFit="1" customWidth="1"/>
    <col min="12" max="12" width="13.1796875" bestFit="1" customWidth="1"/>
    <col min="13" max="13" width="14.453125" bestFit="1" customWidth="1"/>
    <col min="14" max="14" width="22" bestFit="1" customWidth="1"/>
    <col min="15" max="15" width="13.1796875" bestFit="1" customWidth="1"/>
    <col min="16" max="16" width="13.81640625" bestFit="1" customWidth="1"/>
    <col min="17" max="17" width="22" bestFit="1" customWidth="1"/>
    <col min="18" max="20" width="13.453125" bestFit="1" customWidth="1"/>
    <col min="21" max="21" width="12.7265625" bestFit="1" customWidth="1"/>
    <col min="22" max="23" width="13.453125" bestFit="1" customWidth="1"/>
    <col min="24" max="24" width="12.7265625" bestFit="1" customWidth="1"/>
    <col min="25" max="26" width="13.453125" bestFit="1" customWidth="1"/>
    <col min="27" max="27" width="12.7265625" bestFit="1" customWidth="1"/>
    <col min="28" max="29" width="13.453125" bestFit="1" customWidth="1"/>
    <col min="30" max="30" width="12.7265625" bestFit="1" customWidth="1"/>
    <col min="31" max="32" width="13.453125" bestFit="1" customWidth="1"/>
    <col min="34" max="35" width="13.453125" bestFit="1" customWidth="1"/>
    <col min="36" max="36" width="12.7265625" bestFit="1" customWidth="1"/>
    <col min="37" max="38" width="13.453125" bestFit="1" customWidth="1"/>
  </cols>
  <sheetData>
    <row r="1" spans="1:38" s="3" customFormat="1" ht="15.75" customHeight="1" x14ac:dyDescent="0.35">
      <c r="A1" s="426" t="s">
        <v>116</v>
      </c>
      <c r="B1" s="427"/>
      <c r="C1" s="427"/>
      <c r="D1" s="427"/>
      <c r="E1" s="428"/>
      <c r="F1" s="429" t="s">
        <v>117</v>
      </c>
      <c r="G1" s="429"/>
      <c r="H1" s="429"/>
      <c r="I1" s="429" t="s">
        <v>118</v>
      </c>
      <c r="J1" s="429"/>
      <c r="K1" s="429"/>
      <c r="L1" s="429" t="s">
        <v>119</v>
      </c>
      <c r="M1" s="429"/>
      <c r="N1" s="429"/>
      <c r="O1" s="429" t="s">
        <v>120</v>
      </c>
      <c r="P1" s="429"/>
      <c r="Q1" s="429"/>
      <c r="R1" s="429" t="s">
        <v>121</v>
      </c>
      <c r="S1" s="429"/>
      <c r="T1" s="429"/>
      <c r="U1" s="429" t="s">
        <v>122</v>
      </c>
      <c r="V1" s="429"/>
      <c r="W1" s="429"/>
      <c r="X1" s="429" t="s">
        <v>123</v>
      </c>
      <c r="Y1" s="429"/>
      <c r="Z1" s="429"/>
      <c r="AA1" s="429" t="s">
        <v>80</v>
      </c>
      <c r="AB1" s="429"/>
      <c r="AC1" s="429"/>
      <c r="AD1" s="429" t="s">
        <v>81</v>
      </c>
      <c r="AE1" s="429"/>
      <c r="AF1" s="429"/>
      <c r="AG1" s="429" t="s">
        <v>82</v>
      </c>
      <c r="AH1" s="429"/>
      <c r="AI1" s="429"/>
      <c r="AJ1" s="429" t="s">
        <v>83</v>
      </c>
      <c r="AK1" s="429"/>
      <c r="AL1" s="429"/>
    </row>
    <row r="2" spans="1:38" s="1" customFormat="1" ht="46.5" x14ac:dyDescent="0.35">
      <c r="A2" s="9" t="s">
        <v>11</v>
      </c>
      <c r="B2" s="9" t="s">
        <v>12</v>
      </c>
      <c r="C2" s="9" t="s">
        <v>124</v>
      </c>
      <c r="D2" s="9" t="s">
        <v>125</v>
      </c>
      <c r="E2" s="9" t="s">
        <v>126</v>
      </c>
      <c r="F2" s="60" t="s">
        <v>127</v>
      </c>
      <c r="G2" s="60" t="s">
        <v>128</v>
      </c>
      <c r="H2" s="60" t="s">
        <v>129</v>
      </c>
      <c r="I2" s="60" t="s">
        <v>127</v>
      </c>
      <c r="J2" s="60" t="s">
        <v>128</v>
      </c>
      <c r="K2" s="60" t="s">
        <v>129</v>
      </c>
      <c r="L2" s="60" t="s">
        <v>127</v>
      </c>
      <c r="M2" s="60" t="s">
        <v>128</v>
      </c>
      <c r="N2" s="60" t="s">
        <v>129</v>
      </c>
      <c r="O2" s="60" t="s">
        <v>127</v>
      </c>
      <c r="P2" s="60" t="s">
        <v>128</v>
      </c>
      <c r="Q2" s="60" t="s">
        <v>129</v>
      </c>
      <c r="R2" s="60" t="s">
        <v>127</v>
      </c>
      <c r="S2" s="60" t="s">
        <v>128</v>
      </c>
      <c r="T2" s="60" t="s">
        <v>129</v>
      </c>
      <c r="U2" s="60" t="s">
        <v>127</v>
      </c>
      <c r="V2" s="60" t="s">
        <v>128</v>
      </c>
      <c r="W2" s="60" t="s">
        <v>129</v>
      </c>
      <c r="X2" s="60" t="s">
        <v>127</v>
      </c>
      <c r="Y2" s="60" t="s">
        <v>128</v>
      </c>
      <c r="Z2" s="60" t="s">
        <v>129</v>
      </c>
      <c r="AA2" s="60" t="s">
        <v>127</v>
      </c>
      <c r="AB2" s="60" t="s">
        <v>128</v>
      </c>
      <c r="AC2" s="60" t="s">
        <v>129</v>
      </c>
      <c r="AD2" s="60" t="s">
        <v>127</v>
      </c>
      <c r="AE2" s="60" t="s">
        <v>128</v>
      </c>
      <c r="AF2" s="60" t="s">
        <v>129</v>
      </c>
      <c r="AG2" s="60" t="s">
        <v>127</v>
      </c>
      <c r="AH2" s="60" t="s">
        <v>128</v>
      </c>
      <c r="AI2" s="60" t="s">
        <v>129</v>
      </c>
      <c r="AJ2" s="60" t="s">
        <v>127</v>
      </c>
      <c r="AK2" s="60" t="s">
        <v>128</v>
      </c>
      <c r="AL2" s="60" t="s">
        <v>129</v>
      </c>
    </row>
    <row r="3" spans="1:38" s="1" customFormat="1" ht="17" x14ac:dyDescent="0.45">
      <c r="A3" s="6"/>
      <c r="B3" s="53" t="s">
        <v>18</v>
      </c>
      <c r="C3" s="34">
        <v>20000</v>
      </c>
      <c r="D3" s="34">
        <f>C3*0.1</f>
        <v>2000</v>
      </c>
      <c r="E3" s="34">
        <f>C3+D3</f>
        <v>22000</v>
      </c>
      <c r="F3" s="61">
        <v>12000</v>
      </c>
      <c r="G3" s="61">
        <f>E3-F3</f>
        <v>10000</v>
      </c>
      <c r="H3" s="61">
        <f>G3+(0.05*G3)</f>
        <v>10500</v>
      </c>
      <c r="I3" s="61">
        <v>5500</v>
      </c>
      <c r="J3" s="61">
        <f>H3-I3</f>
        <v>5000</v>
      </c>
      <c r="K3" s="61">
        <f>J3+(0.05*J3)</f>
        <v>5250</v>
      </c>
      <c r="L3" s="61">
        <v>1250</v>
      </c>
      <c r="M3" s="61">
        <f>IF(L3&gt;0,K3-L3,0)</f>
        <v>4000</v>
      </c>
      <c r="N3" s="61">
        <f>M3+(0.05*M3)</f>
        <v>4200</v>
      </c>
      <c r="O3" s="61">
        <v>1200</v>
      </c>
      <c r="P3" s="61">
        <f>IF(O3&gt;0,N3-O3,0)</f>
        <v>3000</v>
      </c>
      <c r="Q3" s="61">
        <f>P3+(0.05*P3)</f>
        <v>3150</v>
      </c>
      <c r="R3" s="61">
        <v>3150</v>
      </c>
      <c r="S3" s="422" t="s">
        <v>130</v>
      </c>
      <c r="T3" s="423"/>
      <c r="U3" s="61"/>
      <c r="V3" s="61">
        <f>IF(U3&gt;0,T3-U3,0)</f>
        <v>0</v>
      </c>
      <c r="W3" s="61">
        <f>V3+(0.05*V3)</f>
        <v>0</v>
      </c>
      <c r="X3" s="61"/>
      <c r="Y3" s="61">
        <f>IF(X3&gt;0,W3-X3,0)</f>
        <v>0</v>
      </c>
      <c r="Z3" s="61">
        <f>Y3+(0.05*Y3)</f>
        <v>0</v>
      </c>
      <c r="AA3" s="61"/>
      <c r="AB3" s="61">
        <f>Z3-AA3</f>
        <v>0</v>
      </c>
      <c r="AC3" s="61">
        <f>AB3+(0.05*AB3)</f>
        <v>0</v>
      </c>
      <c r="AD3" s="61"/>
      <c r="AE3" s="61">
        <f>AC3-AD3</f>
        <v>0</v>
      </c>
      <c r="AF3" s="61">
        <f>AE3+(0.05*AE3)</f>
        <v>0</v>
      </c>
      <c r="AG3" s="61"/>
      <c r="AH3" s="61">
        <f>AF3-AG3</f>
        <v>0</v>
      </c>
      <c r="AI3" s="61">
        <f>AH3</f>
        <v>0</v>
      </c>
      <c r="AJ3" s="61"/>
      <c r="AK3" s="61">
        <f>AI3-AJ3</f>
        <v>0</v>
      </c>
      <c r="AL3" s="61">
        <f>AK3+(0.05*AK3)</f>
        <v>0</v>
      </c>
    </row>
    <row r="4" spans="1:38" s="1" customFormat="1" ht="17" x14ac:dyDescent="0.35">
      <c r="A4" s="6"/>
      <c r="B4" s="52" t="s">
        <v>131</v>
      </c>
      <c r="C4" s="34">
        <v>13000</v>
      </c>
      <c r="D4" s="34">
        <f>C4*0.1</f>
        <v>1300</v>
      </c>
      <c r="E4" s="34">
        <f>C4+D4</f>
        <v>14300</v>
      </c>
      <c r="F4" s="62">
        <v>1500</v>
      </c>
      <c r="G4" s="61">
        <f>E4-F4</f>
        <v>12800</v>
      </c>
      <c r="H4" s="61">
        <f>G4+(0.05*G4)</f>
        <v>13440</v>
      </c>
      <c r="I4" s="62">
        <v>3800</v>
      </c>
      <c r="J4" s="61">
        <f>H4-I4</f>
        <v>9640</v>
      </c>
      <c r="K4" s="61">
        <f>J4+(0.05*J4)</f>
        <v>10122</v>
      </c>
      <c r="L4" s="62">
        <v>3000</v>
      </c>
      <c r="M4" s="61">
        <f>IF(L4&gt;0,K4-L4,0)</f>
        <v>7122</v>
      </c>
      <c r="N4" s="61">
        <f>M4+(0.05*M4)</f>
        <v>7478.1</v>
      </c>
      <c r="O4" s="62">
        <v>1500</v>
      </c>
      <c r="P4" s="61">
        <f>IF(O4&gt;0,N4-O4,0)</f>
        <v>5978.1</v>
      </c>
      <c r="Q4" s="61">
        <f>P4+(0.05*P4)</f>
        <v>6277.0050000000001</v>
      </c>
      <c r="R4" s="62">
        <v>1500</v>
      </c>
      <c r="S4" s="61">
        <f>IF(R4&gt;0,Q4-R4,0)</f>
        <v>4777.0050000000001</v>
      </c>
      <c r="T4" s="61">
        <f>S4+(0.05*S4)</f>
        <v>5015.8552500000005</v>
      </c>
      <c r="U4" s="62">
        <v>1000</v>
      </c>
      <c r="V4" s="61">
        <f>IF(U4&gt;0,T4-U4,0)</f>
        <v>4015.8552500000005</v>
      </c>
      <c r="W4" s="61">
        <f>V4+(0.05*V4)</f>
        <v>4216.6480125000007</v>
      </c>
      <c r="X4" s="62">
        <v>4217</v>
      </c>
      <c r="Y4" s="422" t="s">
        <v>130</v>
      </c>
      <c r="Z4" s="423"/>
      <c r="AA4" s="62"/>
      <c r="AB4" s="61">
        <f>Z4-AA4</f>
        <v>0</v>
      </c>
      <c r="AC4" s="61">
        <f>AB4+(0.05*AB4)</f>
        <v>0</v>
      </c>
      <c r="AD4" s="62"/>
      <c r="AE4" s="61">
        <f>AC4-AD4</f>
        <v>0</v>
      </c>
      <c r="AF4" s="61">
        <f>AE4+(0.05*AE4)</f>
        <v>0</v>
      </c>
      <c r="AG4" s="62"/>
      <c r="AH4" s="61">
        <f>AF4-AG4</f>
        <v>0</v>
      </c>
      <c r="AI4" s="61">
        <f>AH4</f>
        <v>0</v>
      </c>
      <c r="AJ4" s="62"/>
      <c r="AK4" s="61">
        <f>AI4-AJ4</f>
        <v>0</v>
      </c>
      <c r="AL4" s="61">
        <f>AK4+(0.05*AK4)</f>
        <v>0</v>
      </c>
    </row>
    <row r="5" spans="1:38" s="1" customFormat="1" ht="17" x14ac:dyDescent="0.35">
      <c r="A5" s="6"/>
      <c r="B5" s="52" t="s">
        <v>132</v>
      </c>
      <c r="C5" s="34">
        <v>4800</v>
      </c>
      <c r="D5" s="34">
        <f>C5*0.1</f>
        <v>480</v>
      </c>
      <c r="E5" s="34">
        <f>C5+D5</f>
        <v>5280</v>
      </c>
      <c r="F5" s="61">
        <v>1000</v>
      </c>
      <c r="G5" s="61">
        <f>E5-F5</f>
        <v>4280</v>
      </c>
      <c r="H5" s="61">
        <f>G5+(0.05*G5)</f>
        <v>4494</v>
      </c>
      <c r="I5" s="61">
        <v>1400</v>
      </c>
      <c r="J5" s="61">
        <f>H5-I5</f>
        <v>3094</v>
      </c>
      <c r="K5" s="61">
        <f>J5+(0.05*J5)</f>
        <v>3248.7</v>
      </c>
      <c r="L5" s="61">
        <v>1000</v>
      </c>
      <c r="M5" s="61">
        <f>IF(L5&gt;0,K5-L5,0)</f>
        <v>2248.6999999999998</v>
      </c>
      <c r="N5" s="61">
        <f>M5+(0.05*M5)</f>
        <v>2361.1349999999998</v>
      </c>
      <c r="O5" s="61">
        <v>1000</v>
      </c>
      <c r="P5" s="61">
        <f>IF(O5&gt;0,N5-O5,0)</f>
        <v>1361.1349999999998</v>
      </c>
      <c r="Q5" s="61">
        <f>P5+(0.05*P5)</f>
        <v>1429.1917499999997</v>
      </c>
      <c r="R5" s="61">
        <v>500</v>
      </c>
      <c r="S5" s="61">
        <f>IF(R5&gt;0,Q5-R5,0)</f>
        <v>929.19174999999973</v>
      </c>
      <c r="T5" s="61">
        <f>S5+(0.05*S5)</f>
        <v>975.65133749999973</v>
      </c>
      <c r="U5" s="61">
        <v>975.65</v>
      </c>
      <c r="V5" s="422" t="s">
        <v>130</v>
      </c>
      <c r="W5" s="423"/>
      <c r="X5" s="61"/>
      <c r="Y5" s="61">
        <f>IF(X5&gt;0,W5-X5,0)</f>
        <v>0</v>
      </c>
      <c r="Z5" s="61">
        <f>Y5+(0.05*Y5)</f>
        <v>0</v>
      </c>
      <c r="AA5" s="61"/>
      <c r="AB5" s="61">
        <f>Z5-AA5</f>
        <v>0</v>
      </c>
      <c r="AC5" s="61">
        <f>AB5+(0.05*AB5)</f>
        <v>0</v>
      </c>
      <c r="AD5" s="61"/>
      <c r="AE5" s="61">
        <f>AC5-AD5</f>
        <v>0</v>
      </c>
      <c r="AF5" s="61">
        <f>AE5+(0.05*AE5)</f>
        <v>0</v>
      </c>
      <c r="AG5" s="61"/>
      <c r="AH5" s="61">
        <f>AF5-AG5</f>
        <v>0</v>
      </c>
      <c r="AI5" s="61">
        <f>AH5</f>
        <v>0</v>
      </c>
      <c r="AJ5" s="61"/>
      <c r="AK5" s="61">
        <f>AI5-AJ5</f>
        <v>0</v>
      </c>
      <c r="AL5" s="61">
        <f>AK5+(0.05*AK5)</f>
        <v>0</v>
      </c>
    </row>
    <row r="6" spans="1:38" s="1" customFormat="1" ht="17" x14ac:dyDescent="0.35">
      <c r="A6" s="6"/>
      <c r="B6" s="52" t="s">
        <v>49</v>
      </c>
      <c r="C6" s="34">
        <v>15000</v>
      </c>
      <c r="D6" s="34">
        <f>C6*0.1</f>
        <v>1500</v>
      </c>
      <c r="E6" s="34">
        <f>C6+D6</f>
        <v>16500</v>
      </c>
      <c r="F6" s="62">
        <v>1000</v>
      </c>
      <c r="G6" s="62">
        <f>E6-F6</f>
        <v>15500</v>
      </c>
      <c r="H6" s="62">
        <f>G6+(0.05*G6)</f>
        <v>16275</v>
      </c>
      <c r="I6" s="62">
        <v>1000</v>
      </c>
      <c r="J6" s="62">
        <f>H6-I6</f>
        <v>15275</v>
      </c>
      <c r="K6" s="62">
        <f>J6+(0.05*J6)</f>
        <v>16038.75</v>
      </c>
      <c r="L6" s="62">
        <v>1300</v>
      </c>
      <c r="M6" s="62">
        <f>IF(L6&gt;0,K6-L6,0)</f>
        <v>14738.75</v>
      </c>
      <c r="N6" s="62">
        <f>M6+(0.05*M6)</f>
        <v>15475.6875</v>
      </c>
      <c r="O6" s="62">
        <v>3000</v>
      </c>
      <c r="P6" s="62">
        <f>IF(O6&gt;0,N6-O6,0)</f>
        <v>12475.6875</v>
      </c>
      <c r="Q6" s="62">
        <f>P6+(0.05*P6)</f>
        <v>13099.471874999999</v>
      </c>
      <c r="R6" s="62">
        <v>1000</v>
      </c>
      <c r="S6" s="62">
        <f>IF(R6&gt;0,Q6-R6,0)</f>
        <v>12099.471874999999</v>
      </c>
      <c r="T6" s="62">
        <f>S6+(0.05*S6)</f>
        <v>12704.44546875</v>
      </c>
      <c r="U6" s="62">
        <v>2000</v>
      </c>
      <c r="V6" s="62">
        <f>IF(U6&gt;0,T6-U6,0)</f>
        <v>10704.44546875</v>
      </c>
      <c r="W6" s="62">
        <f>V6+(0.05*V6)</f>
        <v>11239.667742187499</v>
      </c>
      <c r="X6" s="62">
        <v>2000</v>
      </c>
      <c r="Y6" s="62">
        <f>IF(X6&gt;0,W6-X6,0)</f>
        <v>9239.6677421874992</v>
      </c>
      <c r="Z6" s="62">
        <f>Y6+(0.05*Y6)</f>
        <v>9701.6511292968735</v>
      </c>
      <c r="AA6" s="62">
        <v>1000</v>
      </c>
      <c r="AB6" s="62">
        <f>IF(AA6&gt;0,Z6-AA6,0)</f>
        <v>8701.6511292968735</v>
      </c>
      <c r="AC6" s="62">
        <f>AB6+(0.05*AB6)</f>
        <v>9136.7336857617174</v>
      </c>
      <c r="AD6" s="62">
        <v>800</v>
      </c>
      <c r="AE6" s="62">
        <f>IF(AD6&gt;0,AC6-AD6,0)</f>
        <v>8336.7336857617174</v>
      </c>
      <c r="AF6" s="62">
        <f>AE6+(0.05*AE6)</f>
        <v>8753.5703700498034</v>
      </c>
      <c r="AG6" s="62"/>
      <c r="AH6" s="62">
        <f>AF6-AG6</f>
        <v>8753.5703700498034</v>
      </c>
      <c r="AI6" s="62">
        <f>AH6</f>
        <v>8753.5703700498034</v>
      </c>
      <c r="AJ6" s="62"/>
      <c r="AK6" s="62">
        <f>AI6-AJ6</f>
        <v>8753.5703700498034</v>
      </c>
      <c r="AL6" s="62">
        <f>AK6+(0.05*AK6)</f>
        <v>9191.2488885522944</v>
      </c>
    </row>
    <row r="7" spans="1:38" s="1" customFormat="1" ht="17" x14ac:dyDescent="0.35">
      <c r="A7" s="6"/>
      <c r="B7" s="52" t="s">
        <v>26</v>
      </c>
      <c r="C7" s="34">
        <v>4800</v>
      </c>
      <c r="D7" s="34">
        <f>C7*0.1</f>
        <v>480</v>
      </c>
      <c r="E7" s="34">
        <f>C7+D7</f>
        <v>5280</v>
      </c>
      <c r="F7" s="8">
        <v>0</v>
      </c>
      <c r="G7" s="61">
        <f>E7-F7</f>
        <v>5280</v>
      </c>
      <c r="H7" s="61">
        <f>G7+(0.05*G7)</f>
        <v>5544</v>
      </c>
      <c r="I7" s="8">
        <v>1760</v>
      </c>
      <c r="J7" s="61">
        <f>H7-I7</f>
        <v>3784</v>
      </c>
      <c r="K7" s="61">
        <f>J7+(0.05*J7)</f>
        <v>3973.2</v>
      </c>
      <c r="L7" s="8">
        <v>2100</v>
      </c>
      <c r="M7" s="61">
        <f>IF(L7&gt;0,K7-L7,0)</f>
        <v>1873.1999999999998</v>
      </c>
      <c r="N7" s="61">
        <f>M7+(0.05*M7)</f>
        <v>1966.86</v>
      </c>
      <c r="O7" s="8">
        <v>1966.86</v>
      </c>
      <c r="P7" s="422" t="s">
        <v>130</v>
      </c>
      <c r="Q7" s="423"/>
      <c r="R7" s="8"/>
      <c r="S7" s="61">
        <f>IF(R7&gt;0,Q7-R7,0)</f>
        <v>0</v>
      </c>
      <c r="T7" s="61">
        <f>S7+(0.05*S7)</f>
        <v>0</v>
      </c>
      <c r="U7" s="8"/>
      <c r="V7" s="61">
        <f>IF(U7&gt;0,T7-U7,0)</f>
        <v>0</v>
      </c>
      <c r="W7" s="61">
        <f>V7+(0.05*V7)</f>
        <v>0</v>
      </c>
      <c r="X7" s="8"/>
      <c r="Y7" s="61">
        <f>IF(X7&gt;0,W7-X7,0)</f>
        <v>0</v>
      </c>
      <c r="Z7" s="61">
        <f>Y7+(0.05*Y7)</f>
        <v>0</v>
      </c>
      <c r="AA7" s="8"/>
      <c r="AB7" s="61">
        <f>Z7-AA7</f>
        <v>0</v>
      </c>
      <c r="AC7" s="61">
        <f>AB7+(0.05*AB7)</f>
        <v>0</v>
      </c>
      <c r="AD7" s="8"/>
      <c r="AE7" s="61">
        <f>AC7-AD7</f>
        <v>0</v>
      </c>
      <c r="AF7" s="61">
        <f>AE7+(0.05*AE7)</f>
        <v>0</v>
      </c>
      <c r="AG7" s="8"/>
      <c r="AH7" s="61">
        <f>AF7-AG7</f>
        <v>0</v>
      </c>
      <c r="AI7" s="61">
        <f>AH7</f>
        <v>0</v>
      </c>
      <c r="AJ7" s="8"/>
      <c r="AK7" s="61">
        <f>AI7-AJ7</f>
        <v>0</v>
      </c>
      <c r="AL7" s="61">
        <f>AK7+(0.05*AK7)</f>
        <v>0</v>
      </c>
    </row>
    <row r="8" spans="1:38" s="1" customFormat="1" ht="15.5" x14ac:dyDescent="0.35">
      <c r="A8" s="424"/>
      <c r="B8" s="425"/>
      <c r="C8" s="80">
        <f t="shared" ref="C8:P8" si="0">SUM(C3:C7)</f>
        <v>57600</v>
      </c>
      <c r="D8" s="80">
        <f t="shared" si="0"/>
        <v>5760</v>
      </c>
      <c r="E8" s="80">
        <f t="shared" si="0"/>
        <v>63360</v>
      </c>
      <c r="F8" s="80">
        <f t="shared" si="0"/>
        <v>15500</v>
      </c>
      <c r="G8" s="80">
        <f t="shared" si="0"/>
        <v>47860</v>
      </c>
      <c r="H8" s="80">
        <f t="shared" si="0"/>
        <v>50253</v>
      </c>
      <c r="I8" s="80">
        <f t="shared" si="0"/>
        <v>13460</v>
      </c>
      <c r="J8" s="80">
        <f t="shared" si="0"/>
        <v>36793</v>
      </c>
      <c r="K8" s="80">
        <f t="shared" si="0"/>
        <v>38632.649999999994</v>
      </c>
      <c r="L8" s="80">
        <f t="shared" si="0"/>
        <v>8650</v>
      </c>
      <c r="M8" s="80">
        <f t="shared" si="0"/>
        <v>29982.65</v>
      </c>
      <c r="N8" s="80">
        <f t="shared" si="0"/>
        <v>31481.782500000001</v>
      </c>
      <c r="O8" s="80">
        <f t="shared" si="0"/>
        <v>8666.86</v>
      </c>
      <c r="P8" s="80">
        <f t="shared" si="0"/>
        <v>22814.922500000001</v>
      </c>
      <c r="Q8" s="80">
        <f t="shared" ref="Q8:AI8" si="1">SUM(Q3:Q7)</f>
        <v>23955.668624999998</v>
      </c>
      <c r="R8" s="80">
        <f t="shared" si="1"/>
        <v>6150</v>
      </c>
      <c r="S8" s="80">
        <f t="shared" si="1"/>
        <v>17805.668624999998</v>
      </c>
      <c r="T8" s="80">
        <f t="shared" si="1"/>
        <v>18695.95205625</v>
      </c>
      <c r="U8" s="80">
        <f t="shared" si="1"/>
        <v>3975.65</v>
      </c>
      <c r="V8" s="80">
        <f t="shared" si="1"/>
        <v>14720.300718750001</v>
      </c>
      <c r="W8" s="80">
        <f t="shared" si="1"/>
        <v>15456.315754687501</v>
      </c>
      <c r="X8" s="80">
        <f t="shared" si="1"/>
        <v>6217</v>
      </c>
      <c r="Y8" s="80">
        <f t="shared" si="1"/>
        <v>9239.6677421874992</v>
      </c>
      <c r="Z8" s="80">
        <f t="shared" si="1"/>
        <v>9701.6511292968735</v>
      </c>
      <c r="AA8" s="80">
        <f t="shared" si="1"/>
        <v>1000</v>
      </c>
      <c r="AB8" s="80">
        <f t="shared" si="1"/>
        <v>8701.6511292968735</v>
      </c>
      <c r="AC8" s="80">
        <f t="shared" si="1"/>
        <v>9136.7336857617174</v>
      </c>
      <c r="AD8" s="80">
        <f t="shared" si="1"/>
        <v>800</v>
      </c>
      <c r="AE8" s="80">
        <f t="shared" si="1"/>
        <v>8336.7336857617174</v>
      </c>
      <c r="AF8" s="80">
        <f t="shared" si="1"/>
        <v>8753.5703700498034</v>
      </c>
      <c r="AG8" s="80">
        <f t="shared" si="1"/>
        <v>0</v>
      </c>
      <c r="AH8" s="80">
        <f t="shared" si="1"/>
        <v>8753.5703700498034</v>
      </c>
      <c r="AI8" s="80">
        <f t="shared" si="1"/>
        <v>8753.5703700498034</v>
      </c>
      <c r="AJ8" s="80">
        <f>SUM(AJ3:AJ7)</f>
        <v>0</v>
      </c>
      <c r="AK8" s="80">
        <f>SUM(AK3:AK7)</f>
        <v>8753.5703700498034</v>
      </c>
      <c r="AL8" s="80">
        <f>SUM(AL3:AL7)</f>
        <v>9191.2488885522944</v>
      </c>
    </row>
    <row r="11" spans="1:38" ht="15.5" x14ac:dyDescent="0.35">
      <c r="A11" s="426" t="s">
        <v>133</v>
      </c>
      <c r="B11" s="427"/>
      <c r="C11" s="427"/>
      <c r="D11" s="427"/>
      <c r="E11" s="428"/>
      <c r="F11" s="430" t="s">
        <v>118</v>
      </c>
      <c r="G11" s="430"/>
      <c r="H11" s="430"/>
      <c r="I11" s="429" t="s">
        <v>119</v>
      </c>
      <c r="J11" s="429"/>
      <c r="K11" s="429"/>
      <c r="L11" s="429" t="s">
        <v>120</v>
      </c>
      <c r="M11" s="429"/>
      <c r="N11" s="429"/>
      <c r="O11" s="429" t="s">
        <v>121</v>
      </c>
      <c r="P11" s="429"/>
      <c r="Q11" s="429"/>
      <c r="R11" s="429" t="s">
        <v>122</v>
      </c>
      <c r="S11" s="429"/>
      <c r="T11" s="429"/>
      <c r="U11" s="429" t="s">
        <v>123</v>
      </c>
      <c r="V11" s="429"/>
      <c r="W11" s="429"/>
      <c r="X11" s="429" t="s">
        <v>80</v>
      </c>
      <c r="Y11" s="429"/>
      <c r="Z11" s="429"/>
      <c r="AA11" s="429" t="s">
        <v>81</v>
      </c>
      <c r="AB11" s="429"/>
      <c r="AC11" s="429"/>
      <c r="AD11" s="429" t="s">
        <v>82</v>
      </c>
      <c r="AE11" s="429"/>
      <c r="AF11" s="429"/>
      <c r="AG11" s="429" t="s">
        <v>83</v>
      </c>
      <c r="AH11" s="429"/>
      <c r="AI11" s="429"/>
    </row>
    <row r="12" spans="1:38" ht="46.5" x14ac:dyDescent="0.35">
      <c r="A12" s="9" t="s">
        <v>11</v>
      </c>
      <c r="B12" s="9" t="s">
        <v>12</v>
      </c>
      <c r="C12" s="9" t="s">
        <v>124</v>
      </c>
      <c r="D12" s="9" t="s">
        <v>125</v>
      </c>
      <c r="E12" s="9" t="s">
        <v>126</v>
      </c>
      <c r="F12" s="60" t="s">
        <v>127</v>
      </c>
      <c r="G12" s="60" t="s">
        <v>128</v>
      </c>
      <c r="H12" s="60" t="s">
        <v>129</v>
      </c>
      <c r="I12" s="60" t="s">
        <v>127</v>
      </c>
      <c r="J12" s="60" t="s">
        <v>128</v>
      </c>
      <c r="K12" s="60" t="s">
        <v>129</v>
      </c>
      <c r="L12" s="60" t="s">
        <v>127</v>
      </c>
      <c r="M12" s="60" t="s">
        <v>128</v>
      </c>
      <c r="N12" s="60" t="s">
        <v>129</v>
      </c>
      <c r="O12" s="60" t="s">
        <v>127</v>
      </c>
      <c r="P12" s="60" t="s">
        <v>128</v>
      </c>
      <c r="Q12" s="60" t="s">
        <v>129</v>
      </c>
      <c r="R12" s="60" t="s">
        <v>127</v>
      </c>
      <c r="S12" s="60" t="s">
        <v>128</v>
      </c>
      <c r="T12" s="60" t="s">
        <v>129</v>
      </c>
      <c r="U12" s="60" t="s">
        <v>127</v>
      </c>
      <c r="V12" s="60" t="s">
        <v>128</v>
      </c>
      <c r="W12" s="60" t="s">
        <v>129</v>
      </c>
      <c r="X12" s="60" t="s">
        <v>127</v>
      </c>
      <c r="Y12" s="60" t="s">
        <v>128</v>
      </c>
      <c r="Z12" s="60" t="s">
        <v>129</v>
      </c>
      <c r="AA12" s="60" t="s">
        <v>127</v>
      </c>
      <c r="AB12" s="60" t="s">
        <v>128</v>
      </c>
      <c r="AC12" s="60" t="s">
        <v>129</v>
      </c>
      <c r="AD12" s="60" t="s">
        <v>127</v>
      </c>
      <c r="AE12" s="60" t="s">
        <v>128</v>
      </c>
      <c r="AF12" s="60" t="s">
        <v>129</v>
      </c>
      <c r="AG12" s="60" t="s">
        <v>127</v>
      </c>
      <c r="AH12" s="60" t="s">
        <v>128</v>
      </c>
      <c r="AI12" s="60" t="s">
        <v>129</v>
      </c>
    </row>
    <row r="13" spans="1:38" ht="16.5" customHeight="1" x14ac:dyDescent="0.45">
      <c r="A13" s="6">
        <v>1</v>
      </c>
      <c r="B13" s="64" t="s">
        <v>134</v>
      </c>
      <c r="C13" s="34">
        <v>4200</v>
      </c>
      <c r="D13" s="34">
        <f>0.1*C13</f>
        <v>420</v>
      </c>
      <c r="E13" s="34">
        <f>D13+C13</f>
        <v>4620</v>
      </c>
      <c r="F13" s="61">
        <v>1540</v>
      </c>
      <c r="G13" s="61">
        <f>E13-F13</f>
        <v>3080</v>
      </c>
      <c r="H13" s="61">
        <f>G13+(0.05*G13)</f>
        <v>3234</v>
      </c>
      <c r="I13" s="61">
        <v>1700</v>
      </c>
      <c r="J13" s="61">
        <f>IF(I13&gt;0,H13-I13,0)</f>
        <v>1534</v>
      </c>
      <c r="K13" s="61">
        <f>J13+(0.05*J13)</f>
        <v>1610.7</v>
      </c>
      <c r="L13" s="61">
        <v>1610.7</v>
      </c>
      <c r="M13" s="422" t="s">
        <v>130</v>
      </c>
      <c r="N13" s="423"/>
      <c r="O13" s="61"/>
      <c r="P13" s="61">
        <f>IF(O13&gt;0,N13-O13,0)</f>
        <v>0</v>
      </c>
      <c r="Q13" s="61">
        <f>P13+(0.05*P13)</f>
        <v>0</v>
      </c>
      <c r="R13" s="61"/>
      <c r="S13" s="61">
        <f>IF(R13&gt;0,Q13-R13,0)</f>
        <v>0</v>
      </c>
      <c r="T13" s="61">
        <f>S13+(0.05*S13)</f>
        <v>0</v>
      </c>
      <c r="U13" s="61"/>
      <c r="V13" s="61">
        <f>IF(U13&gt;0,T13-U13,0)</f>
        <v>0</v>
      </c>
      <c r="W13" s="61">
        <f>V13+(0.05*V13)</f>
        <v>0</v>
      </c>
      <c r="X13" s="61"/>
      <c r="Y13" s="61">
        <f>IF(X13&gt;0,W13-X13,0)</f>
        <v>0</v>
      </c>
      <c r="Z13" s="61">
        <f>Y13+(0.05*Y13)</f>
        <v>0</v>
      </c>
      <c r="AA13" s="61"/>
      <c r="AB13" s="61">
        <f>IF(AA13&gt;0,Z13-AA13,0)</f>
        <v>0</v>
      </c>
      <c r="AC13" s="61">
        <f>AB13+(0.05*AB13)</f>
        <v>0</v>
      </c>
      <c r="AD13" s="61"/>
      <c r="AE13" s="61">
        <f>IF(AD13&gt;0,AC13-AD13,0)</f>
        <v>0</v>
      </c>
      <c r="AF13" s="61">
        <f>AE13</f>
        <v>0</v>
      </c>
      <c r="AG13" s="61"/>
      <c r="AH13" s="61">
        <f>IF(AG13&gt;0,AF13-AG13,0)</f>
        <v>0</v>
      </c>
      <c r="AI13" s="61">
        <f>AH13+(0.05*AH13)</f>
        <v>0</v>
      </c>
    </row>
    <row r="14" spans="1:38" ht="15.75" customHeight="1" x14ac:dyDescent="0.35">
      <c r="A14" s="6">
        <v>2</v>
      </c>
      <c r="B14" s="63" t="s">
        <v>39</v>
      </c>
      <c r="C14" s="34">
        <v>15000</v>
      </c>
      <c r="D14" s="34">
        <f t="shared" ref="D14:D26" si="2">0.1*C14</f>
        <v>1500</v>
      </c>
      <c r="E14" s="34">
        <f t="shared" ref="E14:E26" si="3">D14+C14</f>
        <v>16500</v>
      </c>
      <c r="F14" s="62">
        <v>4000</v>
      </c>
      <c r="G14" s="61">
        <f>E14-F14</f>
        <v>12500</v>
      </c>
      <c r="H14" s="61">
        <f>G14+(0.05*G14)</f>
        <v>13125</v>
      </c>
      <c r="I14" s="62">
        <v>4000</v>
      </c>
      <c r="J14" s="61">
        <f t="shared" ref="J14:J26" si="4">IF(I14&gt;0,H14-I14,0)</f>
        <v>9125</v>
      </c>
      <c r="K14" s="61">
        <f>J14+(0.05*J14)</f>
        <v>9581.25</v>
      </c>
      <c r="L14" s="62">
        <v>2000</v>
      </c>
      <c r="M14" s="61">
        <f t="shared" ref="M14:M26" si="5">IF(L14&gt;0,K14-L14,0)</f>
        <v>7581.25</v>
      </c>
      <c r="N14" s="61">
        <f>M14+(0.05*M14)</f>
        <v>7960.3125</v>
      </c>
      <c r="O14" s="62">
        <v>4000</v>
      </c>
      <c r="P14" s="61">
        <f t="shared" ref="P14:P25" si="6">IF(O14&gt;0,N14-O14,0)</f>
        <v>3960.3125</v>
      </c>
      <c r="Q14" s="61">
        <f>P14+(0.05*P14)</f>
        <v>4158.328125</v>
      </c>
      <c r="R14" s="62">
        <v>3000</v>
      </c>
      <c r="S14" s="61">
        <f t="shared" ref="S14:S26" si="7">IF(R14&gt;0,Q14-R14,0)</f>
        <v>1158.328125</v>
      </c>
      <c r="T14" s="61">
        <f>S14+(0.05*S14)</f>
        <v>1216.2445312499999</v>
      </c>
      <c r="U14" s="62">
        <v>600</v>
      </c>
      <c r="V14" s="61">
        <f t="shared" ref="V14:V26" si="8">IF(U14&gt;0,T14-U14,0)</f>
        <v>616.24453124999991</v>
      </c>
      <c r="W14" s="61">
        <f>V14+(0.05*V14)</f>
        <v>647.05675781249988</v>
      </c>
      <c r="X14" s="62">
        <v>300</v>
      </c>
      <c r="Y14" s="61">
        <f t="shared" ref="Y14:Y26" si="9">IF(X14&gt;0,W14-X14,0)</f>
        <v>347.05675781249988</v>
      </c>
      <c r="Z14" s="61">
        <f>Y14+(0.05*Y14)</f>
        <v>364.40959570312486</v>
      </c>
      <c r="AA14" s="62">
        <v>364.41</v>
      </c>
      <c r="AB14" s="422" t="s">
        <v>130</v>
      </c>
      <c r="AC14" s="423"/>
      <c r="AD14" s="62"/>
      <c r="AE14" s="61">
        <f t="shared" ref="AE14:AE26" si="10">IF(AD14&gt;0,AC14-AD14,0)</f>
        <v>0</v>
      </c>
      <c r="AF14" s="61">
        <f t="shared" ref="AF14:AF26" si="11">AE14</f>
        <v>0</v>
      </c>
      <c r="AG14" s="62"/>
      <c r="AH14" s="61">
        <f t="shared" ref="AH14:AH26" si="12">IF(AG14&gt;0,AF14-AG14,0)</f>
        <v>0</v>
      </c>
      <c r="AI14" s="61">
        <f>AH14+(0.05*AH14)</f>
        <v>0</v>
      </c>
    </row>
    <row r="15" spans="1:38" ht="15.5" x14ac:dyDescent="0.35">
      <c r="A15" s="6">
        <v>3</v>
      </c>
      <c r="B15" s="33" t="s">
        <v>38</v>
      </c>
      <c r="C15" s="34">
        <v>6000</v>
      </c>
      <c r="D15" s="34">
        <f t="shared" si="2"/>
        <v>600</v>
      </c>
      <c r="E15" s="34">
        <f t="shared" si="3"/>
        <v>6600</v>
      </c>
      <c r="F15" s="61">
        <v>1000</v>
      </c>
      <c r="G15" s="61">
        <f>E15-F15</f>
        <v>5600</v>
      </c>
      <c r="H15" s="61">
        <f>G15+(0.05*G15)</f>
        <v>5880</v>
      </c>
      <c r="I15" s="61">
        <v>500</v>
      </c>
      <c r="J15" s="61">
        <f t="shared" si="4"/>
        <v>5380</v>
      </c>
      <c r="K15" s="61">
        <f>J15+(0.05*J15)</f>
        <v>5649</v>
      </c>
      <c r="L15" s="61">
        <v>500</v>
      </c>
      <c r="M15" s="61">
        <f t="shared" si="5"/>
        <v>5149</v>
      </c>
      <c r="N15" s="61">
        <f>M15+(0.05*M15)</f>
        <v>5406.45</v>
      </c>
      <c r="O15" s="61">
        <v>500</v>
      </c>
      <c r="P15" s="61">
        <f t="shared" si="6"/>
        <v>4906.45</v>
      </c>
      <c r="Q15" s="61">
        <f>P15+(0.05*P15)</f>
        <v>5151.7725</v>
      </c>
      <c r="R15" s="61">
        <v>500</v>
      </c>
      <c r="S15" s="61">
        <f t="shared" si="7"/>
        <v>4651.7725</v>
      </c>
      <c r="T15" s="61">
        <f>S15+(0.05*S15)</f>
        <v>4884.3611250000004</v>
      </c>
      <c r="U15" s="61">
        <v>1000</v>
      </c>
      <c r="V15" s="61">
        <f t="shared" si="8"/>
        <v>3884.3611250000004</v>
      </c>
      <c r="W15" s="61">
        <f>V15+(0.05*V15)</f>
        <v>4078.5791812500001</v>
      </c>
      <c r="X15" s="61">
        <v>1100</v>
      </c>
      <c r="Y15" s="61">
        <f t="shared" si="9"/>
        <v>2978.5791812500001</v>
      </c>
      <c r="Z15" s="61">
        <f>Y15+(0.05*Y15)</f>
        <v>3127.5081403125</v>
      </c>
      <c r="AA15" s="61">
        <v>500</v>
      </c>
      <c r="AB15" s="61">
        <f t="shared" ref="AB15:AB26" si="13">IF(AA15&gt;0,Z15-AA15,0)</f>
        <v>2627.5081403125</v>
      </c>
      <c r="AC15" s="61">
        <f>AB15+(0.05*AB15)</f>
        <v>2758.8835473281251</v>
      </c>
      <c r="AD15" s="61"/>
      <c r="AE15" s="61">
        <f>AC15-AD15</f>
        <v>2758.8835473281251</v>
      </c>
      <c r="AF15" s="61">
        <f t="shared" si="11"/>
        <v>2758.8835473281251</v>
      </c>
      <c r="AG15" s="61"/>
      <c r="AH15" s="61">
        <f t="shared" si="12"/>
        <v>0</v>
      </c>
      <c r="AI15" s="61">
        <f>AH15+(0.05*AH15)</f>
        <v>0</v>
      </c>
    </row>
    <row r="16" spans="1:38" ht="15.5" x14ac:dyDescent="0.35">
      <c r="A16" s="6">
        <v>4</v>
      </c>
      <c r="B16" s="33" t="s">
        <v>55</v>
      </c>
      <c r="C16" s="34">
        <v>3000</v>
      </c>
      <c r="D16" s="34">
        <f t="shared" si="2"/>
        <v>300</v>
      </c>
      <c r="E16" s="34">
        <f t="shared" si="3"/>
        <v>3300</v>
      </c>
      <c r="F16" s="61">
        <v>1500</v>
      </c>
      <c r="G16" s="61">
        <f>E16-F16</f>
        <v>1800</v>
      </c>
      <c r="H16" s="61">
        <f>G16+(0.05*G16)</f>
        <v>1890</v>
      </c>
      <c r="I16" s="61">
        <v>1600</v>
      </c>
      <c r="J16" s="61">
        <f t="shared" si="4"/>
        <v>290</v>
      </c>
      <c r="K16" s="61">
        <f>J16+(0.05*J16)</f>
        <v>304.5</v>
      </c>
      <c r="L16" s="61">
        <v>304.5</v>
      </c>
      <c r="M16" s="422" t="s">
        <v>130</v>
      </c>
      <c r="N16" s="423"/>
      <c r="O16" s="61"/>
      <c r="P16" s="61">
        <f t="shared" si="6"/>
        <v>0</v>
      </c>
      <c r="Q16" s="61">
        <f>P16+(0.05*P16)</f>
        <v>0</v>
      </c>
      <c r="R16" s="61"/>
      <c r="S16" s="61">
        <f t="shared" si="7"/>
        <v>0</v>
      </c>
      <c r="T16" s="61">
        <f>S16+(0.05*S16)</f>
        <v>0</v>
      </c>
      <c r="U16" s="61"/>
      <c r="V16" s="61">
        <f t="shared" si="8"/>
        <v>0</v>
      </c>
      <c r="W16" s="61">
        <f>V16+(0.05*V16)</f>
        <v>0</v>
      </c>
      <c r="X16" s="61"/>
      <c r="Y16" s="61">
        <f t="shared" si="9"/>
        <v>0</v>
      </c>
      <c r="Z16" s="61">
        <f>Y16+(0.05*Y16)</f>
        <v>0</v>
      </c>
      <c r="AA16" s="61"/>
      <c r="AB16" s="61">
        <f t="shared" si="13"/>
        <v>0</v>
      </c>
      <c r="AC16" s="61">
        <f>AB16+(0.05*AB16)</f>
        <v>0</v>
      </c>
      <c r="AD16" s="61"/>
      <c r="AE16" s="61">
        <f t="shared" si="10"/>
        <v>0</v>
      </c>
      <c r="AF16" s="61">
        <f t="shared" si="11"/>
        <v>0</v>
      </c>
      <c r="AG16" s="61"/>
      <c r="AH16" s="61">
        <f t="shared" si="12"/>
        <v>0</v>
      </c>
      <c r="AI16" s="61">
        <f>AH16+(0.05*AH16)</f>
        <v>0</v>
      </c>
    </row>
    <row r="17" spans="1:38" ht="15.5" x14ac:dyDescent="0.35">
      <c r="A17" s="6">
        <v>5</v>
      </c>
      <c r="B17" s="33" t="s">
        <v>21</v>
      </c>
      <c r="C17" s="34">
        <v>11000</v>
      </c>
      <c r="D17" s="34">
        <f t="shared" si="2"/>
        <v>1100</v>
      </c>
      <c r="E17" s="34">
        <f t="shared" si="3"/>
        <v>12100</v>
      </c>
      <c r="F17" s="61">
        <v>2000</v>
      </c>
      <c r="G17" s="61">
        <f t="shared" ref="G17:G26" si="14">E17-F17</f>
        <v>10100</v>
      </c>
      <c r="H17" s="61">
        <f t="shared" ref="H17:H26" si="15">G17+(0.05*G17)</f>
        <v>10605</v>
      </c>
      <c r="I17" s="8">
        <v>3500</v>
      </c>
      <c r="J17" s="61">
        <f t="shared" si="4"/>
        <v>7105</v>
      </c>
      <c r="K17" s="61">
        <f>J17+(0.05*J17)</f>
        <v>7460.25</v>
      </c>
      <c r="L17" s="8">
        <v>2500</v>
      </c>
      <c r="M17" s="61">
        <f t="shared" si="5"/>
        <v>4960.25</v>
      </c>
      <c r="N17" s="61">
        <f>M17+(0.05*M17)</f>
        <v>5208.2624999999998</v>
      </c>
      <c r="O17" s="8">
        <v>500</v>
      </c>
      <c r="P17" s="61">
        <f t="shared" si="6"/>
        <v>4708.2624999999998</v>
      </c>
      <c r="Q17" s="61">
        <f>P17+(0.05*P17)</f>
        <v>4943.6756249999999</v>
      </c>
      <c r="R17" s="8">
        <v>1000</v>
      </c>
      <c r="S17" s="61">
        <f t="shared" si="7"/>
        <v>3943.6756249999999</v>
      </c>
      <c r="T17" s="61">
        <f>S17+(0.05*S17)</f>
        <v>4140.8594062499997</v>
      </c>
      <c r="U17" s="8">
        <v>1000</v>
      </c>
      <c r="V17" s="61">
        <f t="shared" si="8"/>
        <v>3140.8594062499997</v>
      </c>
      <c r="W17" s="61">
        <f>V17+(0.05*V17)</f>
        <v>3297.9023765624997</v>
      </c>
      <c r="X17" s="8">
        <v>1000</v>
      </c>
      <c r="Y17" s="61">
        <f t="shared" si="9"/>
        <v>2297.9023765624997</v>
      </c>
      <c r="Z17" s="61">
        <f>Y17+(0.05*Y17)</f>
        <v>2412.7974953906246</v>
      </c>
      <c r="AA17" s="8">
        <v>500</v>
      </c>
      <c r="AB17" s="61">
        <f t="shared" si="13"/>
        <v>1912.7974953906246</v>
      </c>
      <c r="AC17" s="61">
        <f>AB17+(0.05*AB17)</f>
        <v>2008.4373701601558</v>
      </c>
      <c r="AD17" s="8"/>
      <c r="AE17" s="61">
        <f>AC17-AD17</f>
        <v>2008.4373701601558</v>
      </c>
      <c r="AF17" s="61">
        <f t="shared" si="11"/>
        <v>2008.4373701601558</v>
      </c>
      <c r="AG17" s="8"/>
      <c r="AH17" s="61">
        <f t="shared" si="12"/>
        <v>0</v>
      </c>
      <c r="AI17" s="61">
        <f>AH17+(0.05*AH17)</f>
        <v>0</v>
      </c>
    </row>
    <row r="18" spans="1:38" ht="15.5" x14ac:dyDescent="0.35">
      <c r="A18" s="6">
        <v>6</v>
      </c>
      <c r="B18" s="33" t="s">
        <v>52</v>
      </c>
      <c r="C18" s="34">
        <v>9000</v>
      </c>
      <c r="D18" s="34">
        <f t="shared" si="2"/>
        <v>900</v>
      </c>
      <c r="E18" s="34">
        <f t="shared" si="3"/>
        <v>9900</v>
      </c>
      <c r="F18" s="61">
        <v>3300</v>
      </c>
      <c r="G18" s="61">
        <f t="shared" si="14"/>
        <v>6600</v>
      </c>
      <c r="H18" s="61">
        <f t="shared" si="15"/>
        <v>6930</v>
      </c>
      <c r="I18" s="8">
        <v>500</v>
      </c>
      <c r="J18" s="61">
        <f t="shared" si="4"/>
        <v>6430</v>
      </c>
      <c r="K18" s="61">
        <f t="shared" ref="K18:K26" si="16">J18+(0.05*J18)</f>
        <v>6751.5</v>
      </c>
      <c r="L18" s="8">
        <v>3000</v>
      </c>
      <c r="M18" s="61">
        <f t="shared" si="5"/>
        <v>3751.5</v>
      </c>
      <c r="N18" s="61">
        <f t="shared" ref="N18:N26" si="17">M18+(0.05*M18)</f>
        <v>3939.0749999999998</v>
      </c>
      <c r="O18" s="8">
        <v>3940</v>
      </c>
      <c r="P18" s="422" t="s">
        <v>130</v>
      </c>
      <c r="Q18" s="423"/>
      <c r="R18" s="8"/>
      <c r="S18" s="61">
        <f t="shared" si="7"/>
        <v>0</v>
      </c>
      <c r="T18" s="61">
        <f t="shared" ref="T18:T26" si="18">S18+(0.05*S18)</f>
        <v>0</v>
      </c>
      <c r="U18" s="8"/>
      <c r="V18" s="61">
        <f t="shared" si="8"/>
        <v>0</v>
      </c>
      <c r="W18" s="61">
        <f t="shared" ref="W18:W26" si="19">V18+(0.05*V18)</f>
        <v>0</v>
      </c>
      <c r="X18" s="8"/>
      <c r="Y18" s="61">
        <f t="shared" si="9"/>
        <v>0</v>
      </c>
      <c r="Z18" s="61">
        <f t="shared" ref="Z18:Z26" si="20">Y18+(0.05*Y18)</f>
        <v>0</v>
      </c>
      <c r="AA18" s="8"/>
      <c r="AB18" s="61">
        <f t="shared" si="13"/>
        <v>0</v>
      </c>
      <c r="AC18" s="61">
        <f t="shared" ref="AC18:AC26" si="21">AB18+(0.05*AB18)</f>
        <v>0</v>
      </c>
      <c r="AD18" s="8"/>
      <c r="AE18" s="61">
        <f t="shared" si="10"/>
        <v>0</v>
      </c>
      <c r="AF18" s="61">
        <f t="shared" si="11"/>
        <v>0</v>
      </c>
      <c r="AG18" s="8"/>
      <c r="AH18" s="61">
        <f t="shared" si="12"/>
        <v>0</v>
      </c>
      <c r="AI18" s="61">
        <f t="shared" ref="AI18:AI26" si="22">AH18+(0.05*AH18)</f>
        <v>0</v>
      </c>
    </row>
    <row r="19" spans="1:38" ht="15.5" x14ac:dyDescent="0.35">
      <c r="A19" s="6">
        <v>7</v>
      </c>
      <c r="B19" s="33" t="s">
        <v>31</v>
      </c>
      <c r="C19" s="34">
        <v>8000</v>
      </c>
      <c r="D19" s="34">
        <f t="shared" si="2"/>
        <v>800</v>
      </c>
      <c r="E19" s="34">
        <f t="shared" si="3"/>
        <v>8800</v>
      </c>
      <c r="F19" s="61">
        <v>3000</v>
      </c>
      <c r="G19" s="61">
        <f t="shared" si="14"/>
        <v>5800</v>
      </c>
      <c r="H19" s="61">
        <f t="shared" si="15"/>
        <v>6090</v>
      </c>
      <c r="I19" s="8">
        <v>2200</v>
      </c>
      <c r="J19" s="61">
        <f t="shared" si="4"/>
        <v>3890</v>
      </c>
      <c r="K19" s="61">
        <f t="shared" si="16"/>
        <v>4084.5</v>
      </c>
      <c r="L19" s="8">
        <v>2085</v>
      </c>
      <c r="M19" s="61">
        <f t="shared" si="5"/>
        <v>1999.5</v>
      </c>
      <c r="N19" s="61">
        <f t="shared" si="17"/>
        <v>2099.4749999999999</v>
      </c>
      <c r="O19" s="8">
        <v>2100</v>
      </c>
      <c r="P19" s="422" t="s">
        <v>130</v>
      </c>
      <c r="Q19" s="423"/>
      <c r="R19" s="8"/>
      <c r="S19" s="61">
        <f t="shared" si="7"/>
        <v>0</v>
      </c>
      <c r="T19" s="61">
        <f t="shared" si="18"/>
        <v>0</v>
      </c>
      <c r="U19" s="8"/>
      <c r="V19" s="61">
        <f t="shared" si="8"/>
        <v>0</v>
      </c>
      <c r="W19" s="61">
        <f t="shared" si="19"/>
        <v>0</v>
      </c>
      <c r="X19" s="8"/>
      <c r="Y19" s="61">
        <f t="shared" si="9"/>
        <v>0</v>
      </c>
      <c r="Z19" s="61">
        <f t="shared" si="20"/>
        <v>0</v>
      </c>
      <c r="AA19" s="8"/>
      <c r="AB19" s="61">
        <f t="shared" si="13"/>
        <v>0</v>
      </c>
      <c r="AC19" s="61">
        <f t="shared" si="21"/>
        <v>0</v>
      </c>
      <c r="AD19" s="8"/>
      <c r="AE19" s="61">
        <f t="shared" si="10"/>
        <v>0</v>
      </c>
      <c r="AF19" s="61">
        <f t="shared" si="11"/>
        <v>0</v>
      </c>
      <c r="AG19" s="8"/>
      <c r="AH19" s="61">
        <f t="shared" si="12"/>
        <v>0</v>
      </c>
      <c r="AI19" s="61">
        <f t="shared" si="22"/>
        <v>0</v>
      </c>
    </row>
    <row r="20" spans="1:38" ht="15.5" x14ac:dyDescent="0.35">
      <c r="A20" s="6">
        <v>8</v>
      </c>
      <c r="B20" s="33" t="s">
        <v>135</v>
      </c>
      <c r="C20" s="34">
        <v>1800</v>
      </c>
      <c r="D20" s="34">
        <f t="shared" si="2"/>
        <v>180</v>
      </c>
      <c r="E20" s="34">
        <f t="shared" si="3"/>
        <v>1980</v>
      </c>
      <c r="F20" s="61">
        <v>1980</v>
      </c>
      <c r="G20" s="422" t="s">
        <v>130</v>
      </c>
      <c r="H20" s="423"/>
      <c r="I20" s="8"/>
      <c r="J20" s="61">
        <f t="shared" si="4"/>
        <v>0</v>
      </c>
      <c r="K20" s="61">
        <f t="shared" si="16"/>
        <v>0</v>
      </c>
      <c r="L20" s="8"/>
      <c r="M20" s="61">
        <f t="shared" si="5"/>
        <v>0</v>
      </c>
      <c r="N20" s="61">
        <f t="shared" si="17"/>
        <v>0</v>
      </c>
      <c r="O20" s="8"/>
      <c r="P20" s="61">
        <f t="shared" si="6"/>
        <v>0</v>
      </c>
      <c r="Q20" s="61">
        <f t="shared" ref="Q20:Q25" si="23">P20+(0.05*P20)</f>
        <v>0</v>
      </c>
      <c r="R20" s="8"/>
      <c r="S20" s="61">
        <f t="shared" si="7"/>
        <v>0</v>
      </c>
      <c r="T20" s="61">
        <f t="shared" si="18"/>
        <v>0</v>
      </c>
      <c r="U20" s="8"/>
      <c r="V20" s="61">
        <f t="shared" si="8"/>
        <v>0</v>
      </c>
      <c r="W20" s="61">
        <f t="shared" si="19"/>
        <v>0</v>
      </c>
      <c r="X20" s="8"/>
      <c r="Y20" s="61">
        <f t="shared" si="9"/>
        <v>0</v>
      </c>
      <c r="Z20" s="61">
        <f t="shared" si="20"/>
        <v>0</v>
      </c>
      <c r="AA20" s="8"/>
      <c r="AB20" s="61">
        <f t="shared" si="13"/>
        <v>0</v>
      </c>
      <c r="AC20" s="61">
        <f t="shared" si="21"/>
        <v>0</v>
      </c>
      <c r="AD20" s="8"/>
      <c r="AE20" s="61">
        <f t="shared" si="10"/>
        <v>0</v>
      </c>
      <c r="AF20" s="61">
        <f t="shared" si="11"/>
        <v>0</v>
      </c>
      <c r="AG20" s="8"/>
      <c r="AH20" s="61">
        <f t="shared" si="12"/>
        <v>0</v>
      </c>
      <c r="AI20" s="61">
        <f t="shared" si="22"/>
        <v>0</v>
      </c>
    </row>
    <row r="21" spans="1:38" ht="15.5" x14ac:dyDescent="0.35">
      <c r="A21" s="6">
        <v>9</v>
      </c>
      <c r="B21" s="33" t="s">
        <v>32</v>
      </c>
      <c r="C21" s="34">
        <v>4000</v>
      </c>
      <c r="D21" s="34">
        <f t="shared" si="2"/>
        <v>400</v>
      </c>
      <c r="E21" s="34">
        <f t="shared" si="3"/>
        <v>4400</v>
      </c>
      <c r="F21" s="61">
        <v>1000</v>
      </c>
      <c r="G21" s="61">
        <f t="shared" si="14"/>
        <v>3400</v>
      </c>
      <c r="H21" s="61">
        <f t="shared" si="15"/>
        <v>3570</v>
      </c>
      <c r="I21" s="8">
        <v>1600</v>
      </c>
      <c r="J21" s="61">
        <f t="shared" si="4"/>
        <v>1970</v>
      </c>
      <c r="K21" s="61">
        <f t="shared" si="16"/>
        <v>2068.5</v>
      </c>
      <c r="L21" s="8">
        <v>500</v>
      </c>
      <c r="M21" s="61">
        <f t="shared" si="5"/>
        <v>1568.5</v>
      </c>
      <c r="N21" s="61">
        <f t="shared" si="17"/>
        <v>1646.925</v>
      </c>
      <c r="O21" s="8">
        <v>1646.93</v>
      </c>
      <c r="P21" s="422" t="s">
        <v>130</v>
      </c>
      <c r="Q21" s="423"/>
      <c r="R21" s="8"/>
      <c r="S21" s="61">
        <f t="shared" si="7"/>
        <v>0</v>
      </c>
      <c r="T21" s="61">
        <f t="shared" si="18"/>
        <v>0</v>
      </c>
      <c r="U21" s="8"/>
      <c r="V21" s="61">
        <f t="shared" si="8"/>
        <v>0</v>
      </c>
      <c r="W21" s="61">
        <f t="shared" si="19"/>
        <v>0</v>
      </c>
      <c r="X21" s="8"/>
      <c r="Y21" s="61">
        <f t="shared" si="9"/>
        <v>0</v>
      </c>
      <c r="Z21" s="61">
        <f t="shared" si="20"/>
        <v>0</v>
      </c>
      <c r="AA21" s="8"/>
      <c r="AB21" s="61">
        <f t="shared" si="13"/>
        <v>0</v>
      </c>
      <c r="AC21" s="61">
        <f t="shared" si="21"/>
        <v>0</v>
      </c>
      <c r="AD21" s="8"/>
      <c r="AE21" s="61">
        <f t="shared" si="10"/>
        <v>0</v>
      </c>
      <c r="AF21" s="61">
        <f t="shared" si="11"/>
        <v>0</v>
      </c>
      <c r="AG21" s="8"/>
      <c r="AH21" s="61">
        <f t="shared" si="12"/>
        <v>0</v>
      </c>
      <c r="AI21" s="61">
        <f t="shared" si="22"/>
        <v>0</v>
      </c>
    </row>
    <row r="22" spans="1:38" ht="15.5" x14ac:dyDescent="0.35">
      <c r="A22" s="6">
        <v>10</v>
      </c>
      <c r="B22" s="33" t="s">
        <v>50</v>
      </c>
      <c r="C22" s="34">
        <v>3000</v>
      </c>
      <c r="D22" s="34">
        <f t="shared" si="2"/>
        <v>300</v>
      </c>
      <c r="E22" s="34">
        <f t="shared" si="3"/>
        <v>3300</v>
      </c>
      <c r="F22" s="61">
        <v>1650</v>
      </c>
      <c r="G22" s="61">
        <f t="shared" si="14"/>
        <v>1650</v>
      </c>
      <c r="H22" s="61">
        <f t="shared" si="15"/>
        <v>1732.5</v>
      </c>
      <c r="I22" s="8">
        <v>1732.5</v>
      </c>
      <c r="J22" s="422" t="s">
        <v>130</v>
      </c>
      <c r="K22" s="423"/>
      <c r="L22" s="8"/>
      <c r="M22" s="61">
        <f t="shared" si="5"/>
        <v>0</v>
      </c>
      <c r="N22" s="61">
        <f t="shared" si="17"/>
        <v>0</v>
      </c>
      <c r="O22" s="8"/>
      <c r="P22" s="61">
        <f t="shared" si="6"/>
        <v>0</v>
      </c>
      <c r="Q22" s="61">
        <f t="shared" si="23"/>
        <v>0</v>
      </c>
      <c r="R22" s="8"/>
      <c r="S22" s="61">
        <f t="shared" si="7"/>
        <v>0</v>
      </c>
      <c r="T22" s="61">
        <f t="shared" si="18"/>
        <v>0</v>
      </c>
      <c r="U22" s="8"/>
      <c r="V22" s="61">
        <f t="shared" si="8"/>
        <v>0</v>
      </c>
      <c r="W22" s="61">
        <f t="shared" si="19"/>
        <v>0</v>
      </c>
      <c r="X22" s="8"/>
      <c r="Y22" s="61">
        <f t="shared" si="9"/>
        <v>0</v>
      </c>
      <c r="Z22" s="61">
        <f t="shared" si="20"/>
        <v>0</v>
      </c>
      <c r="AA22" s="8"/>
      <c r="AB22" s="61">
        <f t="shared" si="13"/>
        <v>0</v>
      </c>
      <c r="AC22" s="61">
        <f t="shared" si="21"/>
        <v>0</v>
      </c>
      <c r="AD22" s="8"/>
      <c r="AE22" s="61">
        <f t="shared" si="10"/>
        <v>0</v>
      </c>
      <c r="AF22" s="61">
        <f t="shared" si="11"/>
        <v>0</v>
      </c>
      <c r="AG22" s="8"/>
      <c r="AH22" s="61">
        <f t="shared" si="12"/>
        <v>0</v>
      </c>
      <c r="AI22" s="61">
        <f t="shared" si="22"/>
        <v>0</v>
      </c>
    </row>
    <row r="23" spans="1:38" ht="15.5" x14ac:dyDescent="0.35">
      <c r="A23" s="6">
        <v>11</v>
      </c>
      <c r="B23" s="33" t="s">
        <v>136</v>
      </c>
      <c r="C23" s="34">
        <v>3300</v>
      </c>
      <c r="D23" s="34">
        <f t="shared" si="2"/>
        <v>330</v>
      </c>
      <c r="E23" s="34">
        <f t="shared" si="3"/>
        <v>3630</v>
      </c>
      <c r="F23" s="61">
        <v>2530</v>
      </c>
      <c r="G23" s="61">
        <f t="shared" si="14"/>
        <v>1100</v>
      </c>
      <c r="H23" s="61">
        <f t="shared" si="15"/>
        <v>1155</v>
      </c>
      <c r="I23" s="8">
        <v>1155</v>
      </c>
      <c r="J23" s="422" t="s">
        <v>130</v>
      </c>
      <c r="K23" s="423"/>
      <c r="L23" s="8"/>
      <c r="M23" s="61">
        <f t="shared" si="5"/>
        <v>0</v>
      </c>
      <c r="N23" s="61">
        <f t="shared" si="17"/>
        <v>0</v>
      </c>
      <c r="O23" s="8"/>
      <c r="P23" s="61">
        <f t="shared" si="6"/>
        <v>0</v>
      </c>
      <c r="Q23" s="61">
        <f t="shared" si="23"/>
        <v>0</v>
      </c>
      <c r="R23" s="8"/>
      <c r="S23" s="61">
        <f t="shared" si="7"/>
        <v>0</v>
      </c>
      <c r="T23" s="61">
        <f t="shared" si="18"/>
        <v>0</v>
      </c>
      <c r="U23" s="8"/>
      <c r="V23" s="61">
        <f t="shared" si="8"/>
        <v>0</v>
      </c>
      <c r="W23" s="61">
        <f t="shared" si="19"/>
        <v>0</v>
      </c>
      <c r="X23" s="8"/>
      <c r="Y23" s="61">
        <f t="shared" si="9"/>
        <v>0</v>
      </c>
      <c r="Z23" s="61">
        <f t="shared" si="20"/>
        <v>0</v>
      </c>
      <c r="AA23" s="8"/>
      <c r="AB23" s="61">
        <f t="shared" si="13"/>
        <v>0</v>
      </c>
      <c r="AC23" s="61">
        <f t="shared" si="21"/>
        <v>0</v>
      </c>
      <c r="AD23" s="8"/>
      <c r="AE23" s="61">
        <f t="shared" si="10"/>
        <v>0</v>
      </c>
      <c r="AF23" s="61">
        <f t="shared" si="11"/>
        <v>0</v>
      </c>
      <c r="AG23" s="8"/>
      <c r="AH23" s="61">
        <f t="shared" si="12"/>
        <v>0</v>
      </c>
      <c r="AI23" s="61">
        <f t="shared" si="22"/>
        <v>0</v>
      </c>
    </row>
    <row r="24" spans="1:38" ht="15.5" x14ac:dyDescent="0.35">
      <c r="A24" s="6">
        <v>12</v>
      </c>
      <c r="B24" s="33" t="s">
        <v>132</v>
      </c>
      <c r="C24" s="34">
        <v>4800</v>
      </c>
      <c r="D24" s="34">
        <f t="shared" si="2"/>
        <v>480</v>
      </c>
      <c r="E24" s="34">
        <f t="shared" si="3"/>
        <v>5280</v>
      </c>
      <c r="F24" s="61">
        <v>1000</v>
      </c>
      <c r="G24" s="61">
        <f t="shared" si="14"/>
        <v>4280</v>
      </c>
      <c r="H24" s="61">
        <f t="shared" si="15"/>
        <v>4494</v>
      </c>
      <c r="I24" s="8">
        <v>1000</v>
      </c>
      <c r="J24" s="61">
        <f t="shared" si="4"/>
        <v>3494</v>
      </c>
      <c r="K24" s="61">
        <f t="shared" si="16"/>
        <v>3668.7</v>
      </c>
      <c r="L24" s="8">
        <v>1000</v>
      </c>
      <c r="M24" s="61">
        <f t="shared" si="5"/>
        <v>2668.7</v>
      </c>
      <c r="N24" s="61">
        <f t="shared" si="17"/>
        <v>2802.1349999999998</v>
      </c>
      <c r="O24" s="8">
        <v>1800</v>
      </c>
      <c r="P24" s="61">
        <f t="shared" si="6"/>
        <v>1002.1349999999998</v>
      </c>
      <c r="Q24" s="61">
        <f t="shared" si="23"/>
        <v>1052.2417499999997</v>
      </c>
      <c r="R24" s="8">
        <v>1052.24</v>
      </c>
      <c r="S24" s="422" t="s">
        <v>130</v>
      </c>
      <c r="T24" s="423"/>
      <c r="U24" s="8"/>
      <c r="V24" s="61">
        <f t="shared" si="8"/>
        <v>0</v>
      </c>
      <c r="W24" s="61">
        <f t="shared" si="19"/>
        <v>0</v>
      </c>
      <c r="X24" s="8"/>
      <c r="Y24" s="61">
        <f t="shared" si="9"/>
        <v>0</v>
      </c>
      <c r="Z24" s="61">
        <f t="shared" si="20"/>
        <v>0</v>
      </c>
      <c r="AA24" s="8"/>
      <c r="AB24" s="61">
        <f t="shared" si="13"/>
        <v>0</v>
      </c>
      <c r="AC24" s="61">
        <f t="shared" si="21"/>
        <v>0</v>
      </c>
      <c r="AD24" s="8"/>
      <c r="AE24" s="61">
        <f t="shared" si="10"/>
        <v>0</v>
      </c>
      <c r="AF24" s="61">
        <f t="shared" si="11"/>
        <v>0</v>
      </c>
      <c r="AG24" s="8"/>
      <c r="AH24" s="61">
        <f t="shared" si="12"/>
        <v>0</v>
      </c>
      <c r="AI24" s="61">
        <f t="shared" si="22"/>
        <v>0</v>
      </c>
    </row>
    <row r="25" spans="1:38" ht="15.5" x14ac:dyDescent="0.35">
      <c r="A25" s="6">
        <v>13</v>
      </c>
      <c r="B25" s="33" t="s">
        <v>20</v>
      </c>
      <c r="C25" s="34">
        <v>2200</v>
      </c>
      <c r="D25" s="34">
        <f t="shared" si="2"/>
        <v>220</v>
      </c>
      <c r="E25" s="34">
        <f t="shared" si="3"/>
        <v>2420</v>
      </c>
      <c r="F25" s="61">
        <v>1100</v>
      </c>
      <c r="G25" s="61">
        <f t="shared" si="14"/>
        <v>1320</v>
      </c>
      <c r="H25" s="61">
        <f t="shared" si="15"/>
        <v>1386</v>
      </c>
      <c r="I25" s="8">
        <v>1386</v>
      </c>
      <c r="J25" s="422" t="s">
        <v>130</v>
      </c>
      <c r="K25" s="423"/>
      <c r="L25" s="8"/>
      <c r="M25" s="61">
        <f t="shared" si="5"/>
        <v>0</v>
      </c>
      <c r="N25" s="61">
        <f t="shared" si="17"/>
        <v>0</v>
      </c>
      <c r="O25" s="8"/>
      <c r="P25" s="61">
        <f t="shared" si="6"/>
        <v>0</v>
      </c>
      <c r="Q25" s="61">
        <f t="shared" si="23"/>
        <v>0</v>
      </c>
      <c r="R25" s="8"/>
      <c r="S25" s="61">
        <f t="shared" si="7"/>
        <v>0</v>
      </c>
      <c r="T25" s="61">
        <f t="shared" si="18"/>
        <v>0</v>
      </c>
      <c r="U25" s="8"/>
      <c r="V25" s="61">
        <f t="shared" si="8"/>
        <v>0</v>
      </c>
      <c r="W25" s="61">
        <f t="shared" si="19"/>
        <v>0</v>
      </c>
      <c r="X25" s="8"/>
      <c r="Y25" s="61">
        <f t="shared" si="9"/>
        <v>0</v>
      </c>
      <c r="Z25" s="61">
        <f t="shared" si="20"/>
        <v>0</v>
      </c>
      <c r="AA25" s="8"/>
      <c r="AB25" s="61">
        <f t="shared" si="13"/>
        <v>0</v>
      </c>
      <c r="AC25" s="61">
        <f t="shared" si="21"/>
        <v>0</v>
      </c>
      <c r="AD25" s="8"/>
      <c r="AE25" s="61">
        <f t="shared" si="10"/>
        <v>0</v>
      </c>
      <c r="AF25" s="61">
        <f t="shared" si="11"/>
        <v>0</v>
      </c>
      <c r="AG25" s="8"/>
      <c r="AH25" s="61">
        <f t="shared" si="12"/>
        <v>0</v>
      </c>
      <c r="AI25" s="61">
        <f t="shared" si="22"/>
        <v>0</v>
      </c>
    </row>
    <row r="26" spans="1:38" ht="15.5" x14ac:dyDescent="0.35">
      <c r="A26" s="6">
        <v>14</v>
      </c>
      <c r="B26" s="33" t="s">
        <v>137</v>
      </c>
      <c r="C26" s="34">
        <v>5000</v>
      </c>
      <c r="D26" s="34">
        <f t="shared" si="2"/>
        <v>500</v>
      </c>
      <c r="E26" s="34">
        <f t="shared" si="3"/>
        <v>5500</v>
      </c>
      <c r="F26" s="61">
        <v>1000</v>
      </c>
      <c r="G26" s="61">
        <f t="shared" si="14"/>
        <v>4500</v>
      </c>
      <c r="H26" s="61">
        <f t="shared" si="15"/>
        <v>4725</v>
      </c>
      <c r="I26" s="8">
        <v>800</v>
      </c>
      <c r="J26" s="61">
        <f t="shared" si="4"/>
        <v>3925</v>
      </c>
      <c r="K26" s="61">
        <f t="shared" si="16"/>
        <v>4121.25</v>
      </c>
      <c r="L26" s="8">
        <v>1000</v>
      </c>
      <c r="M26" s="61">
        <f t="shared" si="5"/>
        <v>3121.25</v>
      </c>
      <c r="N26" s="61">
        <f t="shared" si="17"/>
        <v>3277.3125</v>
      </c>
      <c r="O26" s="8">
        <v>3277.31</v>
      </c>
      <c r="P26" s="422" t="s">
        <v>130</v>
      </c>
      <c r="Q26" s="423"/>
      <c r="R26" s="8"/>
      <c r="S26" s="61">
        <f t="shared" si="7"/>
        <v>0</v>
      </c>
      <c r="T26" s="61">
        <f t="shared" si="18"/>
        <v>0</v>
      </c>
      <c r="U26" s="8"/>
      <c r="V26" s="61">
        <f t="shared" si="8"/>
        <v>0</v>
      </c>
      <c r="W26" s="61">
        <f t="shared" si="19"/>
        <v>0</v>
      </c>
      <c r="X26" s="8"/>
      <c r="Y26" s="61">
        <f t="shared" si="9"/>
        <v>0</v>
      </c>
      <c r="Z26" s="61">
        <f t="shared" si="20"/>
        <v>0</v>
      </c>
      <c r="AA26" s="8"/>
      <c r="AB26" s="61">
        <f t="shared" si="13"/>
        <v>0</v>
      </c>
      <c r="AC26" s="61">
        <f t="shared" si="21"/>
        <v>0</v>
      </c>
      <c r="AD26" s="8"/>
      <c r="AE26" s="61">
        <f t="shared" si="10"/>
        <v>0</v>
      </c>
      <c r="AF26" s="61">
        <f t="shared" si="11"/>
        <v>0</v>
      </c>
      <c r="AG26" s="8"/>
      <c r="AH26" s="61">
        <f t="shared" si="12"/>
        <v>0</v>
      </c>
      <c r="AI26" s="61">
        <f t="shared" si="22"/>
        <v>0</v>
      </c>
    </row>
    <row r="27" spans="1:38" ht="15.5" x14ac:dyDescent="0.35">
      <c r="A27" s="424" t="s">
        <v>71</v>
      </c>
      <c r="B27" s="425"/>
      <c r="C27" s="80">
        <f t="shared" ref="C27:AI27" si="24">SUM(C13:C26)</f>
        <v>80300</v>
      </c>
      <c r="D27" s="80">
        <f t="shared" si="24"/>
        <v>8030</v>
      </c>
      <c r="E27" s="80">
        <f t="shared" si="24"/>
        <v>88330</v>
      </c>
      <c r="F27" s="80">
        <f t="shared" si="24"/>
        <v>26600</v>
      </c>
      <c r="G27" s="80">
        <f t="shared" si="24"/>
        <v>61730</v>
      </c>
      <c r="H27" s="80">
        <f t="shared" si="24"/>
        <v>64816.5</v>
      </c>
      <c r="I27" s="80">
        <f t="shared" si="24"/>
        <v>21673.5</v>
      </c>
      <c r="J27" s="80">
        <f t="shared" si="24"/>
        <v>43143</v>
      </c>
      <c r="K27" s="80">
        <f t="shared" si="24"/>
        <v>45300.149999999994</v>
      </c>
      <c r="L27" s="80">
        <f t="shared" si="24"/>
        <v>14500.2</v>
      </c>
      <c r="M27" s="80">
        <f t="shared" si="24"/>
        <v>30799.95</v>
      </c>
      <c r="N27" s="80">
        <f t="shared" si="24"/>
        <v>32339.947499999998</v>
      </c>
      <c r="O27" s="80">
        <f t="shared" si="24"/>
        <v>17764.240000000002</v>
      </c>
      <c r="P27" s="80">
        <f t="shared" si="24"/>
        <v>14577.160000000002</v>
      </c>
      <c r="Q27" s="80">
        <f t="shared" si="24"/>
        <v>15306.017999999998</v>
      </c>
      <c r="R27" s="80">
        <f t="shared" si="24"/>
        <v>5552.24</v>
      </c>
      <c r="S27" s="80">
        <f t="shared" si="24"/>
        <v>9753.776249999999</v>
      </c>
      <c r="T27" s="80">
        <f t="shared" si="24"/>
        <v>10241.465062499999</v>
      </c>
      <c r="U27" s="80">
        <f t="shared" si="24"/>
        <v>2600</v>
      </c>
      <c r="V27" s="80">
        <f t="shared" si="24"/>
        <v>7641.4650624999995</v>
      </c>
      <c r="W27" s="80">
        <f t="shared" si="24"/>
        <v>8023.538315625</v>
      </c>
      <c r="X27" s="80">
        <f t="shared" si="24"/>
        <v>2400</v>
      </c>
      <c r="Y27" s="80">
        <f t="shared" si="24"/>
        <v>5623.538315625</v>
      </c>
      <c r="Z27" s="80">
        <f t="shared" si="24"/>
        <v>5904.7152314062496</v>
      </c>
      <c r="AA27" s="80">
        <f t="shared" si="24"/>
        <v>1364.41</v>
      </c>
      <c r="AB27" s="80">
        <f t="shared" si="24"/>
        <v>4540.3056357031246</v>
      </c>
      <c r="AC27" s="80">
        <f t="shared" si="24"/>
        <v>4767.3209174882813</v>
      </c>
      <c r="AD27" s="80">
        <f t="shared" si="24"/>
        <v>0</v>
      </c>
      <c r="AE27" s="80">
        <f t="shared" si="24"/>
        <v>4767.3209174882813</v>
      </c>
      <c r="AF27" s="80">
        <f t="shared" si="24"/>
        <v>4767.3209174882813</v>
      </c>
      <c r="AG27" s="80">
        <f t="shared" si="24"/>
        <v>0</v>
      </c>
      <c r="AH27" s="80">
        <f t="shared" si="24"/>
        <v>0</v>
      </c>
      <c r="AI27" s="80">
        <f t="shared" si="24"/>
        <v>0</v>
      </c>
      <c r="AJ27" s="79"/>
      <c r="AK27" s="79"/>
      <c r="AL27" s="79"/>
    </row>
    <row r="31" spans="1:38" ht="15.5" x14ac:dyDescent="0.35">
      <c r="A31" s="426" t="s">
        <v>138</v>
      </c>
      <c r="B31" s="427"/>
      <c r="C31" s="427"/>
      <c r="D31" s="427"/>
      <c r="E31" s="428"/>
      <c r="F31" s="429" t="s">
        <v>119</v>
      </c>
      <c r="G31" s="429"/>
      <c r="H31" s="429"/>
      <c r="I31" s="429" t="s">
        <v>120</v>
      </c>
      <c r="J31" s="429"/>
      <c r="K31" s="429"/>
      <c r="L31" s="429" t="s">
        <v>121</v>
      </c>
      <c r="M31" s="429"/>
      <c r="N31" s="429"/>
      <c r="O31" s="429" t="s">
        <v>122</v>
      </c>
      <c r="P31" s="429"/>
      <c r="Q31" s="429"/>
      <c r="R31" s="429" t="s">
        <v>123</v>
      </c>
      <c r="S31" s="429"/>
      <c r="T31" s="429"/>
      <c r="U31" s="429" t="s">
        <v>80</v>
      </c>
      <c r="V31" s="429"/>
      <c r="W31" s="429"/>
      <c r="X31" s="429" t="s">
        <v>81</v>
      </c>
      <c r="Y31" s="429"/>
      <c r="Z31" s="429"/>
      <c r="AA31" s="429" t="s">
        <v>82</v>
      </c>
      <c r="AB31" s="429"/>
      <c r="AC31" s="429"/>
      <c r="AD31" s="429" t="s">
        <v>83</v>
      </c>
      <c r="AE31" s="429"/>
      <c r="AF31" s="429"/>
    </row>
    <row r="32" spans="1:38" ht="46.5" x14ac:dyDescent="0.35">
      <c r="A32" s="9" t="s">
        <v>11</v>
      </c>
      <c r="B32" s="9" t="s">
        <v>12</v>
      </c>
      <c r="C32" s="9" t="s">
        <v>124</v>
      </c>
      <c r="D32" s="9" t="s">
        <v>125</v>
      </c>
      <c r="E32" s="9" t="s">
        <v>126</v>
      </c>
      <c r="F32" s="60" t="s">
        <v>127</v>
      </c>
      <c r="G32" s="60" t="s">
        <v>128</v>
      </c>
      <c r="H32" s="60" t="s">
        <v>129</v>
      </c>
      <c r="I32" s="60" t="s">
        <v>127</v>
      </c>
      <c r="J32" s="60" t="s">
        <v>128</v>
      </c>
      <c r="K32" s="60" t="s">
        <v>129</v>
      </c>
      <c r="L32" s="60" t="s">
        <v>127</v>
      </c>
      <c r="M32" s="60" t="s">
        <v>128</v>
      </c>
      <c r="N32" s="60" t="s">
        <v>129</v>
      </c>
      <c r="O32" s="60" t="s">
        <v>127</v>
      </c>
      <c r="P32" s="60" t="s">
        <v>128</v>
      </c>
      <c r="Q32" s="60" t="s">
        <v>129</v>
      </c>
      <c r="R32" s="60" t="s">
        <v>127</v>
      </c>
      <c r="S32" s="60" t="s">
        <v>128</v>
      </c>
      <c r="T32" s="60" t="s">
        <v>129</v>
      </c>
      <c r="U32" s="60" t="s">
        <v>127</v>
      </c>
      <c r="V32" s="60" t="s">
        <v>128</v>
      </c>
      <c r="W32" s="60" t="s">
        <v>129</v>
      </c>
      <c r="X32" s="60" t="s">
        <v>127</v>
      </c>
      <c r="Y32" s="60" t="s">
        <v>128</v>
      </c>
      <c r="Z32" s="60" t="s">
        <v>129</v>
      </c>
      <c r="AA32" s="60" t="s">
        <v>127</v>
      </c>
      <c r="AB32" s="60" t="s">
        <v>128</v>
      </c>
      <c r="AC32" s="60" t="s">
        <v>129</v>
      </c>
      <c r="AD32" s="60" t="s">
        <v>127</v>
      </c>
      <c r="AE32" s="60" t="s">
        <v>128</v>
      </c>
      <c r="AF32" s="60" t="s">
        <v>129</v>
      </c>
    </row>
    <row r="33" spans="1:32" ht="17" x14ac:dyDescent="0.45">
      <c r="A33" s="6"/>
      <c r="B33" s="64" t="s">
        <v>52</v>
      </c>
      <c r="C33" s="34">
        <v>7200</v>
      </c>
      <c r="D33" s="34">
        <f>0.1*C33</f>
        <v>720</v>
      </c>
      <c r="E33" s="34">
        <f>D33+C33</f>
        <v>7920</v>
      </c>
      <c r="F33" s="61">
        <v>500</v>
      </c>
      <c r="G33" s="61">
        <f>E33-F33</f>
        <v>7420</v>
      </c>
      <c r="H33" s="61">
        <f>G33+(0.05*G33)</f>
        <v>7791</v>
      </c>
      <c r="I33" s="61">
        <v>1500</v>
      </c>
      <c r="J33" s="61">
        <f>IF(I33&gt;0,H33-I33,0)</f>
        <v>6291</v>
      </c>
      <c r="K33" s="61">
        <f>J33+(0.05*J33)</f>
        <v>6605.55</v>
      </c>
      <c r="L33" s="61">
        <v>2000</v>
      </c>
      <c r="M33" s="61">
        <f>IF(L33&gt;0,K33-L33,0)</f>
        <v>4605.55</v>
      </c>
      <c r="N33" s="61">
        <f>M33+(0.05*M33)</f>
        <v>4835.8275000000003</v>
      </c>
      <c r="O33" s="61">
        <v>4835.83</v>
      </c>
      <c r="P33" s="422" t="s">
        <v>130</v>
      </c>
      <c r="Q33" s="423"/>
      <c r="R33" s="61"/>
      <c r="S33" s="61">
        <f>IF(R33&gt;0,Q33-R33,0)</f>
        <v>0</v>
      </c>
      <c r="T33" s="61">
        <f>S33+(0.05*S33)</f>
        <v>0</v>
      </c>
      <c r="U33" s="61"/>
      <c r="V33" s="61">
        <f>IF(U33&gt;0,T33-U33,0)</f>
        <v>0</v>
      </c>
      <c r="W33" s="61">
        <f t="shared" ref="W33:W42" si="25">V33+(0.05*V33)</f>
        <v>0</v>
      </c>
      <c r="X33" s="61"/>
      <c r="Y33" s="61">
        <f>IF(X33&gt;0,W33-X33,0)</f>
        <v>0</v>
      </c>
      <c r="Z33" s="61">
        <f>Y33+(0.05*Y33)</f>
        <v>0</v>
      </c>
      <c r="AA33" s="61"/>
      <c r="AB33" s="61">
        <f>IF(AA33&gt;0,Z33-AA33,0)</f>
        <v>0</v>
      </c>
      <c r="AC33" s="61">
        <f>AB33</f>
        <v>0</v>
      </c>
      <c r="AD33" s="61"/>
      <c r="AE33" s="61">
        <f>IF(AD33&gt;0,AC33-AD33,0)</f>
        <v>0</v>
      </c>
      <c r="AF33" s="61">
        <f>AE33+(0.05*AE33)</f>
        <v>0</v>
      </c>
    </row>
    <row r="34" spans="1:32" ht="17" x14ac:dyDescent="0.35">
      <c r="A34" s="6"/>
      <c r="B34" s="63" t="s">
        <v>48</v>
      </c>
      <c r="C34" s="34">
        <v>20000</v>
      </c>
      <c r="D34" s="34">
        <f t="shared" ref="D34:D43" si="26">0.1*C34</f>
        <v>2000</v>
      </c>
      <c r="E34" s="34">
        <f t="shared" ref="E34:E43" si="27">D34+C34</f>
        <v>22000</v>
      </c>
      <c r="F34" s="62">
        <v>2000</v>
      </c>
      <c r="G34" s="61">
        <f>E34-F34</f>
        <v>20000</v>
      </c>
      <c r="H34" s="61">
        <f>G34+(0.05*G34)</f>
        <v>21000</v>
      </c>
      <c r="I34" s="62">
        <v>2000</v>
      </c>
      <c r="J34" s="61">
        <f t="shared" ref="J34:J43" si="28">IF(I34&gt;0,H34-I34,0)</f>
        <v>19000</v>
      </c>
      <c r="K34" s="61">
        <f>J34+(0.05*J34)</f>
        <v>19950</v>
      </c>
      <c r="L34" s="62">
        <v>2000</v>
      </c>
      <c r="M34" s="61">
        <f t="shared" ref="M34:M43" si="29">IF(L34&gt;0,K34-L34,0)</f>
        <v>17950</v>
      </c>
      <c r="N34" s="61">
        <f>M34+(0.05*M34)</f>
        <v>18847.5</v>
      </c>
      <c r="O34" s="62">
        <v>5000</v>
      </c>
      <c r="P34" s="61">
        <f t="shared" ref="P34:P43" si="30">IF(O34&gt;0,N34-O34,0)</f>
        <v>13847.5</v>
      </c>
      <c r="Q34" s="61">
        <f>P34+(0.05*P34)</f>
        <v>14539.875</v>
      </c>
      <c r="R34" s="62">
        <v>1000</v>
      </c>
      <c r="S34" s="61">
        <f t="shared" ref="S34:S43" si="31">IF(R34&gt;0,Q34-R34,0)</f>
        <v>13539.875</v>
      </c>
      <c r="T34" s="61">
        <f>S34+(0.05*S34)</f>
        <v>14216.86875</v>
      </c>
      <c r="U34" s="62">
        <v>1200</v>
      </c>
      <c r="V34" s="61">
        <f t="shared" ref="V34:V42" si="32">IF(U34&gt;0,T34-U34,0)</f>
        <v>13016.86875</v>
      </c>
      <c r="W34" s="61">
        <f t="shared" si="25"/>
        <v>13667.712187499999</v>
      </c>
      <c r="X34" s="62">
        <v>800</v>
      </c>
      <c r="Y34" s="61">
        <f t="shared" ref="Y34:Y43" si="33">IF(X34&gt;0,W34-X34,0)</f>
        <v>12867.712187499999</v>
      </c>
      <c r="Z34" s="61">
        <f>Y34+(0.05*Y34)</f>
        <v>13511.097796874999</v>
      </c>
      <c r="AA34" s="62"/>
      <c r="AB34" s="61">
        <f>Z34-AA34</f>
        <v>13511.097796874999</v>
      </c>
      <c r="AC34" s="61">
        <f t="shared" ref="AC34:AC43" si="34">AB34</f>
        <v>13511.097796874999</v>
      </c>
      <c r="AD34" s="62"/>
      <c r="AE34" s="61">
        <f t="shared" ref="AE34:AE43" si="35">IF(AD34&gt;0,AC34-AD34,0)</f>
        <v>0</v>
      </c>
      <c r="AF34" s="61">
        <f>AE34+(0.05*AE34)</f>
        <v>0</v>
      </c>
    </row>
    <row r="35" spans="1:32" ht="15.5" x14ac:dyDescent="0.35">
      <c r="A35" s="6"/>
      <c r="B35" s="33" t="s">
        <v>84</v>
      </c>
      <c r="C35" s="34">
        <v>25000</v>
      </c>
      <c r="D35" s="34">
        <f t="shared" si="26"/>
        <v>2500</v>
      </c>
      <c r="E35" s="34">
        <f t="shared" si="27"/>
        <v>27500</v>
      </c>
      <c r="F35" s="61">
        <v>7500</v>
      </c>
      <c r="G35" s="61">
        <f>E35-F35</f>
        <v>20000</v>
      </c>
      <c r="H35" s="61">
        <f>G35+(0.05*G35)</f>
        <v>21000</v>
      </c>
      <c r="I35" s="61">
        <v>10000</v>
      </c>
      <c r="J35" s="61">
        <f t="shared" si="28"/>
        <v>11000</v>
      </c>
      <c r="K35" s="61">
        <f>J35+(0.05*J35)</f>
        <v>11550</v>
      </c>
      <c r="L35" s="61">
        <v>11550</v>
      </c>
      <c r="M35" s="422" t="s">
        <v>130</v>
      </c>
      <c r="N35" s="423"/>
      <c r="O35" s="61"/>
      <c r="P35" s="61">
        <f t="shared" si="30"/>
        <v>0</v>
      </c>
      <c r="Q35" s="61">
        <f>P35+(0.05*P35)</f>
        <v>0</v>
      </c>
      <c r="R35" s="61"/>
      <c r="S35" s="61">
        <f t="shared" si="31"/>
        <v>0</v>
      </c>
      <c r="T35" s="61">
        <f>S35+(0.05*S35)</f>
        <v>0</v>
      </c>
      <c r="U35" s="61"/>
      <c r="V35" s="61">
        <f t="shared" si="32"/>
        <v>0</v>
      </c>
      <c r="W35" s="61">
        <f t="shared" si="25"/>
        <v>0</v>
      </c>
      <c r="X35" s="61"/>
      <c r="Y35" s="61">
        <f t="shared" si="33"/>
        <v>0</v>
      </c>
      <c r="Z35" s="61">
        <f>Y35+(0.05*Y35)</f>
        <v>0</v>
      </c>
      <c r="AA35" s="61"/>
      <c r="AB35" s="61">
        <f t="shared" ref="AB35:AB43" si="36">IF(AA35&gt;0,Z35-AA35,0)</f>
        <v>0</v>
      </c>
      <c r="AC35" s="61">
        <f t="shared" si="34"/>
        <v>0</v>
      </c>
      <c r="AD35" s="61"/>
      <c r="AE35" s="61">
        <f t="shared" si="35"/>
        <v>0</v>
      </c>
      <c r="AF35" s="61">
        <f>AE35+(0.05*AE35)</f>
        <v>0</v>
      </c>
    </row>
    <row r="36" spans="1:32" ht="15.5" x14ac:dyDescent="0.35">
      <c r="A36" s="6"/>
      <c r="B36" s="33" t="s">
        <v>56</v>
      </c>
      <c r="C36" s="34">
        <v>3060</v>
      </c>
      <c r="D36" s="34">
        <f t="shared" si="26"/>
        <v>306</v>
      </c>
      <c r="E36" s="34">
        <f t="shared" si="27"/>
        <v>3366</v>
      </c>
      <c r="F36" s="61">
        <v>1100</v>
      </c>
      <c r="G36" s="61">
        <f>E36-F36</f>
        <v>2266</v>
      </c>
      <c r="H36" s="61">
        <f>G36+(0.05*G36)</f>
        <v>2379.3000000000002</v>
      </c>
      <c r="I36" s="61">
        <v>1000</v>
      </c>
      <c r="J36" s="61">
        <f t="shared" si="28"/>
        <v>1379.3000000000002</v>
      </c>
      <c r="K36" s="61">
        <f>J36+(0.05*J36)</f>
        <v>1448.2650000000001</v>
      </c>
      <c r="L36" s="61">
        <v>1100</v>
      </c>
      <c r="M36" s="61">
        <f t="shared" si="29"/>
        <v>348.2650000000001</v>
      </c>
      <c r="N36" s="61">
        <f>M36+(0.05*M36)</f>
        <v>365.67825000000011</v>
      </c>
      <c r="O36" s="61">
        <v>366</v>
      </c>
      <c r="P36" s="422" t="s">
        <v>130</v>
      </c>
      <c r="Q36" s="423"/>
      <c r="R36" s="61"/>
      <c r="S36" s="61">
        <f t="shared" si="31"/>
        <v>0</v>
      </c>
      <c r="T36" s="61">
        <f>S36+(0.05*S36)</f>
        <v>0</v>
      </c>
      <c r="U36" s="61"/>
      <c r="V36" s="61">
        <f t="shared" si="32"/>
        <v>0</v>
      </c>
      <c r="W36" s="61">
        <f t="shared" si="25"/>
        <v>0</v>
      </c>
      <c r="X36" s="61"/>
      <c r="Y36" s="61">
        <f t="shared" si="33"/>
        <v>0</v>
      </c>
      <c r="Z36" s="61">
        <f>Y36+(0.05*Y36)</f>
        <v>0</v>
      </c>
      <c r="AA36" s="61"/>
      <c r="AB36" s="61">
        <f t="shared" si="36"/>
        <v>0</v>
      </c>
      <c r="AC36" s="61">
        <f t="shared" si="34"/>
        <v>0</v>
      </c>
      <c r="AD36" s="61"/>
      <c r="AE36" s="61">
        <f t="shared" si="35"/>
        <v>0</v>
      </c>
      <c r="AF36" s="61">
        <f>AE36+(0.05*AE36)</f>
        <v>0</v>
      </c>
    </row>
    <row r="37" spans="1:32" ht="15.5" x14ac:dyDescent="0.35">
      <c r="A37" s="6"/>
      <c r="B37" s="33" t="s">
        <v>37</v>
      </c>
      <c r="C37" s="34">
        <v>4800</v>
      </c>
      <c r="D37" s="34">
        <f t="shared" si="26"/>
        <v>480</v>
      </c>
      <c r="E37" s="34">
        <f t="shared" si="27"/>
        <v>5280</v>
      </c>
      <c r="F37" s="8">
        <v>2000</v>
      </c>
      <c r="G37" s="61">
        <f>E37-F37</f>
        <v>3280</v>
      </c>
      <c r="H37" s="61">
        <f>G37+(0.05*G37)</f>
        <v>3444</v>
      </c>
      <c r="I37" s="8">
        <v>1000</v>
      </c>
      <c r="J37" s="61">
        <f t="shared" si="28"/>
        <v>2444</v>
      </c>
      <c r="K37" s="61">
        <f>J37+(0.05*J37)</f>
        <v>2566.1999999999998</v>
      </c>
      <c r="L37" s="8">
        <v>1000</v>
      </c>
      <c r="M37" s="61">
        <f t="shared" si="29"/>
        <v>1566.1999999999998</v>
      </c>
      <c r="N37" s="61">
        <f>M37+(0.05*M37)</f>
        <v>1644.5099999999998</v>
      </c>
      <c r="O37" s="8">
        <v>1644.51</v>
      </c>
      <c r="P37" s="422" t="s">
        <v>130</v>
      </c>
      <c r="Q37" s="423"/>
      <c r="R37" s="8"/>
      <c r="S37" s="61">
        <f t="shared" si="31"/>
        <v>0</v>
      </c>
      <c r="T37" s="61">
        <f>S37+(0.05*S37)</f>
        <v>0</v>
      </c>
      <c r="U37" s="8"/>
      <c r="V37" s="61">
        <f t="shared" si="32"/>
        <v>0</v>
      </c>
      <c r="W37" s="61">
        <f t="shared" si="25"/>
        <v>0</v>
      </c>
      <c r="X37" s="8"/>
      <c r="Y37" s="61">
        <f t="shared" si="33"/>
        <v>0</v>
      </c>
      <c r="Z37" s="61">
        <f>Y37+(0.05*Y37)</f>
        <v>0</v>
      </c>
      <c r="AA37" s="8"/>
      <c r="AB37" s="61">
        <f t="shared" si="36"/>
        <v>0</v>
      </c>
      <c r="AC37" s="61">
        <f t="shared" si="34"/>
        <v>0</v>
      </c>
      <c r="AD37" s="8"/>
      <c r="AE37" s="61">
        <f t="shared" si="35"/>
        <v>0</v>
      </c>
      <c r="AF37" s="61">
        <f>AE37+(0.05*AE37)</f>
        <v>0</v>
      </c>
    </row>
    <row r="38" spans="1:32" ht="15.5" x14ac:dyDescent="0.35">
      <c r="A38" s="6"/>
      <c r="B38" s="113" t="s">
        <v>139</v>
      </c>
      <c r="C38" s="34">
        <v>5000</v>
      </c>
      <c r="D38" s="34">
        <f t="shared" si="26"/>
        <v>500</v>
      </c>
      <c r="E38" s="34">
        <f t="shared" si="27"/>
        <v>5500</v>
      </c>
      <c r="F38" s="8">
        <v>1000</v>
      </c>
      <c r="G38" s="62">
        <f t="shared" ref="G38:G43" si="37">E38-F38</f>
        <v>4500</v>
      </c>
      <c r="H38" s="62">
        <f t="shared" ref="H38:H43" si="38">G38+(0.05*G38)</f>
        <v>4725</v>
      </c>
      <c r="I38" s="8">
        <v>1000</v>
      </c>
      <c r="J38" s="62">
        <f t="shared" si="28"/>
        <v>3725</v>
      </c>
      <c r="K38" s="62">
        <f t="shared" ref="K38:K43" si="39">J38+(0.05*J38)</f>
        <v>3911.25</v>
      </c>
      <c r="L38" s="8">
        <v>2000</v>
      </c>
      <c r="M38" s="62">
        <f t="shared" si="29"/>
        <v>1911.25</v>
      </c>
      <c r="N38" s="62">
        <f t="shared" ref="N38:N43" si="40">M38+(0.05*M38)</f>
        <v>2006.8125</v>
      </c>
      <c r="O38" s="8">
        <v>500</v>
      </c>
      <c r="P38" s="62">
        <f t="shared" si="30"/>
        <v>1506.8125</v>
      </c>
      <c r="Q38" s="62">
        <f t="shared" ref="Q38:Q43" si="41">P38+(0.05*P38)</f>
        <v>1582.153125</v>
      </c>
      <c r="R38" s="8">
        <v>500</v>
      </c>
      <c r="S38" s="62">
        <f t="shared" si="31"/>
        <v>1082.153125</v>
      </c>
      <c r="T38" s="62">
        <f t="shared" ref="T38:T43" si="42">S38+(0.05*S38)</f>
        <v>1136.26078125</v>
      </c>
      <c r="U38" s="8">
        <v>400</v>
      </c>
      <c r="V38" s="62">
        <f t="shared" si="32"/>
        <v>736.26078125000004</v>
      </c>
      <c r="W38" s="62">
        <f t="shared" si="25"/>
        <v>773.07382031250006</v>
      </c>
      <c r="X38" s="8">
        <v>200</v>
      </c>
      <c r="Y38" s="62">
        <f t="shared" si="33"/>
        <v>573.07382031250006</v>
      </c>
      <c r="Z38" s="62">
        <f t="shared" ref="Z38:Z43" si="43">Y38+(0.05*Y38)</f>
        <v>601.72751132812505</v>
      </c>
      <c r="AA38" s="8"/>
      <c r="AB38" s="62">
        <f>Z38-AA38</f>
        <v>601.72751132812505</v>
      </c>
      <c r="AC38" s="62">
        <f t="shared" si="34"/>
        <v>601.72751132812505</v>
      </c>
      <c r="AD38" s="8"/>
      <c r="AE38" s="62">
        <f t="shared" si="35"/>
        <v>0</v>
      </c>
      <c r="AF38" s="62">
        <f t="shared" ref="AF38:AF43" si="44">AE38+(0.05*AE38)</f>
        <v>0</v>
      </c>
    </row>
    <row r="39" spans="1:32" ht="15.5" x14ac:dyDescent="0.35">
      <c r="A39" s="6"/>
      <c r="B39" s="33" t="s">
        <v>38</v>
      </c>
      <c r="C39" s="34">
        <v>2000</v>
      </c>
      <c r="D39" s="34">
        <f t="shared" si="26"/>
        <v>200</v>
      </c>
      <c r="E39" s="34">
        <f t="shared" si="27"/>
        <v>2200</v>
      </c>
      <c r="F39" s="8">
        <v>500</v>
      </c>
      <c r="G39" s="61">
        <f t="shared" si="37"/>
        <v>1700</v>
      </c>
      <c r="H39" s="61">
        <f t="shared" si="38"/>
        <v>1785</v>
      </c>
      <c r="I39" s="8">
        <v>500</v>
      </c>
      <c r="J39" s="61">
        <f t="shared" si="28"/>
        <v>1285</v>
      </c>
      <c r="K39" s="61">
        <f t="shared" si="39"/>
        <v>1349.25</v>
      </c>
      <c r="L39" s="8">
        <v>500</v>
      </c>
      <c r="M39" s="61">
        <f>L39+(0.05*L39)</f>
        <v>525</v>
      </c>
      <c r="N39" s="61">
        <f t="shared" si="40"/>
        <v>551.25</v>
      </c>
      <c r="O39" s="8">
        <v>551.25</v>
      </c>
      <c r="P39" s="422" t="s">
        <v>130</v>
      </c>
      <c r="Q39" s="423"/>
      <c r="R39" s="8"/>
      <c r="S39" s="61">
        <f t="shared" si="31"/>
        <v>0</v>
      </c>
      <c r="T39" s="61">
        <f t="shared" si="42"/>
        <v>0</v>
      </c>
      <c r="U39" s="8"/>
      <c r="V39" s="61">
        <f t="shared" si="32"/>
        <v>0</v>
      </c>
      <c r="W39" s="61">
        <f t="shared" si="25"/>
        <v>0</v>
      </c>
      <c r="X39" s="8"/>
      <c r="Y39" s="61">
        <f t="shared" si="33"/>
        <v>0</v>
      </c>
      <c r="Z39" s="61">
        <f t="shared" si="43"/>
        <v>0</v>
      </c>
      <c r="AA39" s="8"/>
      <c r="AB39" s="61">
        <f t="shared" si="36"/>
        <v>0</v>
      </c>
      <c r="AC39" s="61">
        <f t="shared" si="34"/>
        <v>0</v>
      </c>
      <c r="AD39" s="8"/>
      <c r="AE39" s="61">
        <f t="shared" si="35"/>
        <v>0</v>
      </c>
      <c r="AF39" s="61">
        <f t="shared" si="44"/>
        <v>0</v>
      </c>
    </row>
    <row r="40" spans="1:32" ht="15.5" x14ac:dyDescent="0.35">
      <c r="A40" s="6"/>
      <c r="B40" s="33" t="s">
        <v>59</v>
      </c>
      <c r="C40" s="34">
        <v>5000</v>
      </c>
      <c r="D40" s="34">
        <f t="shared" si="26"/>
        <v>500</v>
      </c>
      <c r="E40" s="34">
        <f t="shared" si="27"/>
        <v>5500</v>
      </c>
      <c r="F40" s="8">
        <v>3000</v>
      </c>
      <c r="G40" s="61">
        <f t="shared" si="37"/>
        <v>2500</v>
      </c>
      <c r="H40" s="61">
        <f t="shared" si="38"/>
        <v>2625</v>
      </c>
      <c r="I40" s="8">
        <v>2000</v>
      </c>
      <c r="J40" s="61">
        <f t="shared" si="28"/>
        <v>625</v>
      </c>
      <c r="K40" s="61">
        <f t="shared" si="39"/>
        <v>656.25</v>
      </c>
      <c r="L40" s="8">
        <v>656.25</v>
      </c>
      <c r="M40" s="422" t="s">
        <v>130</v>
      </c>
      <c r="N40" s="423"/>
      <c r="O40" s="8"/>
      <c r="P40" s="61">
        <f t="shared" si="30"/>
        <v>0</v>
      </c>
      <c r="Q40" s="61">
        <f t="shared" si="41"/>
        <v>0</v>
      </c>
      <c r="R40" s="8"/>
      <c r="S40" s="61">
        <f t="shared" si="31"/>
        <v>0</v>
      </c>
      <c r="T40" s="61">
        <f t="shared" si="42"/>
        <v>0</v>
      </c>
      <c r="U40" s="8"/>
      <c r="V40" s="61">
        <f t="shared" si="32"/>
        <v>0</v>
      </c>
      <c r="W40" s="61">
        <f t="shared" si="25"/>
        <v>0</v>
      </c>
      <c r="X40" s="8"/>
      <c r="Y40" s="61">
        <f t="shared" si="33"/>
        <v>0</v>
      </c>
      <c r="Z40" s="61">
        <f t="shared" si="43"/>
        <v>0</v>
      </c>
      <c r="AA40" s="8"/>
      <c r="AB40" s="61">
        <f t="shared" si="36"/>
        <v>0</v>
      </c>
      <c r="AC40" s="61">
        <f t="shared" si="34"/>
        <v>0</v>
      </c>
      <c r="AD40" s="8"/>
      <c r="AE40" s="61">
        <f t="shared" si="35"/>
        <v>0</v>
      </c>
      <c r="AF40" s="61">
        <f t="shared" si="44"/>
        <v>0</v>
      </c>
    </row>
    <row r="41" spans="1:32" ht="15.5" x14ac:dyDescent="0.35">
      <c r="A41" s="6"/>
      <c r="B41" s="33" t="s">
        <v>21</v>
      </c>
      <c r="C41" s="34">
        <v>6000</v>
      </c>
      <c r="D41" s="34">
        <f t="shared" si="26"/>
        <v>600</v>
      </c>
      <c r="E41" s="34">
        <f t="shared" si="27"/>
        <v>6600</v>
      </c>
      <c r="F41" s="8">
        <v>3000</v>
      </c>
      <c r="G41" s="61">
        <f t="shared" si="37"/>
        <v>3600</v>
      </c>
      <c r="H41" s="61">
        <f t="shared" si="38"/>
        <v>3780</v>
      </c>
      <c r="I41" s="8">
        <v>3780</v>
      </c>
      <c r="J41" s="422" t="s">
        <v>130</v>
      </c>
      <c r="K41" s="423"/>
      <c r="L41" s="8"/>
      <c r="M41" s="61">
        <f t="shared" si="29"/>
        <v>0</v>
      </c>
      <c r="N41" s="61">
        <f t="shared" si="40"/>
        <v>0</v>
      </c>
      <c r="O41" s="8"/>
      <c r="P41" s="61">
        <f t="shared" si="30"/>
        <v>0</v>
      </c>
      <c r="Q41" s="61">
        <f t="shared" si="41"/>
        <v>0</v>
      </c>
      <c r="R41" s="8"/>
      <c r="S41" s="61">
        <f t="shared" si="31"/>
        <v>0</v>
      </c>
      <c r="T41" s="61">
        <f t="shared" si="42"/>
        <v>0</v>
      </c>
      <c r="U41" s="8"/>
      <c r="V41" s="61">
        <f t="shared" si="32"/>
        <v>0</v>
      </c>
      <c r="W41" s="61">
        <f t="shared" si="25"/>
        <v>0</v>
      </c>
      <c r="X41" s="8"/>
      <c r="Y41" s="61">
        <f t="shared" si="33"/>
        <v>0</v>
      </c>
      <c r="Z41" s="61">
        <f t="shared" si="43"/>
        <v>0</v>
      </c>
      <c r="AA41" s="8"/>
      <c r="AB41" s="61">
        <f t="shared" si="36"/>
        <v>0</v>
      </c>
      <c r="AC41" s="61">
        <f t="shared" si="34"/>
        <v>0</v>
      </c>
      <c r="AD41" s="8"/>
      <c r="AE41" s="61">
        <f t="shared" si="35"/>
        <v>0</v>
      </c>
      <c r="AF41" s="61">
        <f t="shared" si="44"/>
        <v>0</v>
      </c>
    </row>
    <row r="42" spans="1:32" ht="15.5" x14ac:dyDescent="0.35">
      <c r="A42" s="6"/>
      <c r="B42" s="33" t="s">
        <v>140</v>
      </c>
      <c r="C42" s="34">
        <v>6000</v>
      </c>
      <c r="D42" s="34">
        <f t="shared" si="26"/>
        <v>600</v>
      </c>
      <c r="E42" s="34">
        <f t="shared" si="27"/>
        <v>6600</v>
      </c>
      <c r="F42" s="8">
        <v>800</v>
      </c>
      <c r="G42" s="61">
        <f t="shared" si="37"/>
        <v>5800</v>
      </c>
      <c r="H42" s="61">
        <f t="shared" si="38"/>
        <v>6090</v>
      </c>
      <c r="I42" s="8"/>
      <c r="J42" s="61">
        <f>H42-I42</f>
        <v>6090</v>
      </c>
      <c r="K42" s="61">
        <f t="shared" si="39"/>
        <v>6394.5</v>
      </c>
      <c r="L42" s="8">
        <v>1000</v>
      </c>
      <c r="M42" s="61">
        <f t="shared" si="29"/>
        <v>5394.5</v>
      </c>
      <c r="N42" s="61">
        <f t="shared" si="40"/>
        <v>5664.2250000000004</v>
      </c>
      <c r="O42" s="8">
        <v>1000</v>
      </c>
      <c r="P42" s="61">
        <f t="shared" si="30"/>
        <v>4664.2250000000004</v>
      </c>
      <c r="Q42" s="61">
        <f t="shared" si="41"/>
        <v>4897.4362500000007</v>
      </c>
      <c r="R42" s="8">
        <v>1000</v>
      </c>
      <c r="S42" s="61">
        <f t="shared" si="31"/>
        <v>3897.4362500000007</v>
      </c>
      <c r="T42" s="61">
        <f t="shared" si="42"/>
        <v>4092.3080625000007</v>
      </c>
      <c r="U42" s="8">
        <v>1000</v>
      </c>
      <c r="V42" s="61">
        <f t="shared" si="32"/>
        <v>3092.3080625000007</v>
      </c>
      <c r="W42" s="61">
        <f t="shared" si="25"/>
        <v>3246.923465625001</v>
      </c>
      <c r="X42" s="8">
        <v>400</v>
      </c>
      <c r="Y42" s="61">
        <f t="shared" si="33"/>
        <v>2846.923465625001</v>
      </c>
      <c r="Z42" s="61">
        <f t="shared" si="43"/>
        <v>2989.2696389062512</v>
      </c>
      <c r="AA42" s="8"/>
      <c r="AB42" s="61">
        <f>Z42-AA42</f>
        <v>2989.2696389062512</v>
      </c>
      <c r="AC42" s="61">
        <f t="shared" si="34"/>
        <v>2989.2696389062512</v>
      </c>
      <c r="AD42" s="8"/>
      <c r="AE42" s="61">
        <f t="shared" si="35"/>
        <v>0</v>
      </c>
      <c r="AF42" s="61">
        <f t="shared" si="44"/>
        <v>0</v>
      </c>
    </row>
    <row r="43" spans="1:32" ht="15.5" x14ac:dyDescent="0.35">
      <c r="A43" s="6"/>
      <c r="B43" s="33" t="s">
        <v>60</v>
      </c>
      <c r="C43" s="34">
        <v>10000</v>
      </c>
      <c r="D43" s="34">
        <f t="shared" si="26"/>
        <v>1000</v>
      </c>
      <c r="E43" s="34">
        <f t="shared" si="27"/>
        <v>11000</v>
      </c>
      <c r="F43" s="8">
        <v>4000</v>
      </c>
      <c r="G43" s="61">
        <f t="shared" si="37"/>
        <v>7000</v>
      </c>
      <c r="H43" s="61">
        <f t="shared" si="38"/>
        <v>7350</v>
      </c>
      <c r="I43" s="8">
        <v>2000</v>
      </c>
      <c r="J43" s="61">
        <f t="shared" si="28"/>
        <v>5350</v>
      </c>
      <c r="K43" s="61">
        <f t="shared" si="39"/>
        <v>5617.5</v>
      </c>
      <c r="L43" s="8">
        <v>2000</v>
      </c>
      <c r="M43" s="61">
        <f t="shared" si="29"/>
        <v>3617.5</v>
      </c>
      <c r="N43" s="61">
        <f t="shared" si="40"/>
        <v>3798.375</v>
      </c>
      <c r="O43" s="8">
        <v>2000</v>
      </c>
      <c r="P43" s="61">
        <f t="shared" si="30"/>
        <v>1798.375</v>
      </c>
      <c r="Q43" s="61">
        <f t="shared" si="41"/>
        <v>1888.29375</v>
      </c>
      <c r="R43" s="8">
        <v>2000</v>
      </c>
      <c r="S43" s="61">
        <f t="shared" si="31"/>
        <v>-111.70624999999995</v>
      </c>
      <c r="T43" s="61">
        <f t="shared" si="42"/>
        <v>-117.29156249999996</v>
      </c>
      <c r="U43" s="8"/>
      <c r="V43" s="422" t="s">
        <v>130</v>
      </c>
      <c r="W43" s="423"/>
      <c r="X43" s="8"/>
      <c r="Y43" s="61">
        <f t="shared" si="33"/>
        <v>0</v>
      </c>
      <c r="Z43" s="61">
        <f t="shared" si="43"/>
        <v>0</v>
      </c>
      <c r="AA43" s="8"/>
      <c r="AB43" s="61">
        <f t="shared" si="36"/>
        <v>0</v>
      </c>
      <c r="AC43" s="61">
        <f t="shared" si="34"/>
        <v>0</v>
      </c>
      <c r="AD43" s="8"/>
      <c r="AE43" s="61">
        <f t="shared" si="35"/>
        <v>0</v>
      </c>
      <c r="AF43" s="61">
        <f t="shared" si="44"/>
        <v>0</v>
      </c>
    </row>
    <row r="44" spans="1:32" ht="15.5" x14ac:dyDescent="0.35">
      <c r="A44" s="424" t="s">
        <v>71</v>
      </c>
      <c r="B44" s="425"/>
      <c r="C44" s="80">
        <f t="shared" ref="C44:AF44" si="45">SUM(C33:C43)</f>
        <v>94060</v>
      </c>
      <c r="D44" s="80">
        <f t="shared" si="45"/>
        <v>9406</v>
      </c>
      <c r="E44" s="80">
        <f t="shared" si="45"/>
        <v>103466</v>
      </c>
      <c r="F44" s="80">
        <f t="shared" si="45"/>
        <v>25400</v>
      </c>
      <c r="G44" s="80">
        <f t="shared" si="45"/>
        <v>78066</v>
      </c>
      <c r="H44" s="80">
        <f t="shared" si="45"/>
        <v>81969.3</v>
      </c>
      <c r="I44" s="80">
        <f t="shared" si="45"/>
        <v>24780</v>
      </c>
      <c r="J44" s="80">
        <f t="shared" si="45"/>
        <v>57189.3</v>
      </c>
      <c r="K44" s="80">
        <f t="shared" si="45"/>
        <v>60048.764999999999</v>
      </c>
      <c r="L44" s="80">
        <f t="shared" si="45"/>
        <v>23806.25</v>
      </c>
      <c r="M44" s="80">
        <f t="shared" si="45"/>
        <v>35918.264999999999</v>
      </c>
      <c r="N44" s="80">
        <f t="shared" si="45"/>
        <v>37714.178249999997</v>
      </c>
      <c r="O44" s="80">
        <f t="shared" si="45"/>
        <v>15897.59</v>
      </c>
      <c r="P44" s="80">
        <f t="shared" si="45"/>
        <v>21816.912499999999</v>
      </c>
      <c r="Q44" s="80">
        <f t="shared" si="45"/>
        <v>22907.758125000004</v>
      </c>
      <c r="R44" s="80">
        <f t="shared" si="45"/>
        <v>4500</v>
      </c>
      <c r="S44" s="80">
        <f t="shared" si="45"/>
        <v>18407.758125000004</v>
      </c>
      <c r="T44" s="80">
        <f t="shared" si="45"/>
        <v>19328.146031250002</v>
      </c>
      <c r="U44" s="80">
        <f t="shared" si="45"/>
        <v>2600</v>
      </c>
      <c r="V44" s="80">
        <f t="shared" si="45"/>
        <v>16845.437593750001</v>
      </c>
      <c r="W44" s="80">
        <f t="shared" si="45"/>
        <v>17687.709473437499</v>
      </c>
      <c r="X44" s="80">
        <f t="shared" si="45"/>
        <v>1400</v>
      </c>
      <c r="Y44" s="80">
        <f t="shared" si="45"/>
        <v>16287.7094734375</v>
      </c>
      <c r="Z44" s="80">
        <f t="shared" si="45"/>
        <v>17102.094947109377</v>
      </c>
      <c r="AA44" s="80">
        <f t="shared" si="45"/>
        <v>0</v>
      </c>
      <c r="AB44" s="80">
        <f t="shared" si="45"/>
        <v>17102.094947109377</v>
      </c>
      <c r="AC44" s="80">
        <f t="shared" si="45"/>
        <v>17102.094947109377</v>
      </c>
      <c r="AD44" s="80">
        <f t="shared" si="45"/>
        <v>0</v>
      </c>
      <c r="AE44" s="80">
        <f t="shared" si="45"/>
        <v>0</v>
      </c>
      <c r="AF44" s="80">
        <f t="shared" si="45"/>
        <v>0</v>
      </c>
    </row>
    <row r="47" spans="1:32" ht="15.5" x14ac:dyDescent="0.35">
      <c r="A47" s="426" t="s">
        <v>141</v>
      </c>
      <c r="B47" s="427"/>
      <c r="C47" s="427"/>
      <c r="D47" s="427"/>
      <c r="E47" s="428"/>
      <c r="F47" s="429" t="s">
        <v>120</v>
      </c>
      <c r="G47" s="429"/>
      <c r="H47" s="429"/>
      <c r="I47" s="434" t="s">
        <v>121</v>
      </c>
      <c r="J47" s="434"/>
      <c r="K47" s="434"/>
      <c r="L47" s="435" t="s">
        <v>122</v>
      </c>
      <c r="M47" s="435"/>
      <c r="N47" s="435"/>
      <c r="O47" s="429" t="s">
        <v>123</v>
      </c>
      <c r="P47" s="429"/>
      <c r="Q47" s="429"/>
      <c r="R47" s="429" t="s">
        <v>80</v>
      </c>
      <c r="S47" s="429"/>
      <c r="T47" s="429"/>
      <c r="U47" s="429" t="s">
        <v>81</v>
      </c>
      <c r="V47" s="429"/>
      <c r="W47" s="429"/>
      <c r="X47" s="429" t="s">
        <v>82</v>
      </c>
      <c r="Y47" s="429"/>
      <c r="Z47" s="429"/>
      <c r="AA47" s="429" t="s">
        <v>83</v>
      </c>
      <c r="AB47" s="429"/>
      <c r="AC47" s="429"/>
    </row>
    <row r="48" spans="1:32" ht="46.5" x14ac:dyDescent="0.35">
      <c r="A48" s="9" t="s">
        <v>11</v>
      </c>
      <c r="B48" s="9" t="s">
        <v>12</v>
      </c>
      <c r="C48" s="9" t="s">
        <v>124</v>
      </c>
      <c r="D48" s="9" t="s">
        <v>125</v>
      </c>
      <c r="E48" s="9" t="s">
        <v>126</v>
      </c>
      <c r="F48" s="60" t="s">
        <v>127</v>
      </c>
      <c r="G48" s="60" t="s">
        <v>128</v>
      </c>
      <c r="H48" s="60" t="s">
        <v>129</v>
      </c>
      <c r="I48" s="60" t="s">
        <v>127</v>
      </c>
      <c r="J48" s="60" t="s">
        <v>128</v>
      </c>
      <c r="K48" s="60" t="s">
        <v>129</v>
      </c>
      <c r="L48" s="60" t="s">
        <v>127</v>
      </c>
      <c r="M48" s="60" t="s">
        <v>128</v>
      </c>
      <c r="N48" s="60" t="s">
        <v>129</v>
      </c>
      <c r="O48" s="60" t="s">
        <v>127</v>
      </c>
      <c r="P48" s="60" t="s">
        <v>128</v>
      </c>
      <c r="Q48" s="60" t="s">
        <v>129</v>
      </c>
      <c r="R48" s="60" t="s">
        <v>127</v>
      </c>
      <c r="S48" s="60" t="s">
        <v>128</v>
      </c>
      <c r="T48" s="60" t="s">
        <v>129</v>
      </c>
      <c r="U48" s="60" t="s">
        <v>127</v>
      </c>
      <c r="V48" s="60" t="s">
        <v>128</v>
      </c>
      <c r="W48" s="60" t="s">
        <v>129</v>
      </c>
      <c r="X48" s="60" t="s">
        <v>127</v>
      </c>
      <c r="Y48" s="60" t="s">
        <v>128</v>
      </c>
      <c r="Z48" s="60" t="s">
        <v>129</v>
      </c>
      <c r="AA48" s="60" t="s">
        <v>127</v>
      </c>
      <c r="AB48" s="60" t="s">
        <v>128</v>
      </c>
      <c r="AC48" s="60" t="s">
        <v>129</v>
      </c>
    </row>
    <row r="49" spans="1:29" ht="17" x14ac:dyDescent="0.45">
      <c r="A49" s="6"/>
      <c r="B49" s="64" t="s">
        <v>29</v>
      </c>
      <c r="C49" s="34">
        <v>25000</v>
      </c>
      <c r="D49" s="34">
        <f>0.1*C49</f>
        <v>2500</v>
      </c>
      <c r="E49" s="34">
        <f>D49+C49</f>
        <v>27500</v>
      </c>
      <c r="F49" s="61">
        <v>3000</v>
      </c>
      <c r="G49" s="61">
        <f>IF(F49&gt;0,E49-F49,0)</f>
        <v>24500</v>
      </c>
      <c r="H49" s="61">
        <f t="shared" ref="H49:H55" si="46">G49+(0.05*G49)</f>
        <v>25725</v>
      </c>
      <c r="I49" s="61">
        <v>3500</v>
      </c>
      <c r="J49" s="61">
        <f>IF(I49&gt;0,H49-I49,0)</f>
        <v>22225</v>
      </c>
      <c r="K49" s="61">
        <f>J49+(0.05*J49)</f>
        <v>23336.25</v>
      </c>
      <c r="L49" s="61">
        <v>1000</v>
      </c>
      <c r="M49" s="61">
        <f>IF(L49&gt;0,K49-L49,0)</f>
        <v>22336.25</v>
      </c>
      <c r="N49" s="61">
        <f>M49+(0.05*M49)</f>
        <v>23453.0625</v>
      </c>
      <c r="O49" s="61">
        <v>3500</v>
      </c>
      <c r="P49" s="61">
        <f>IF(O49&gt;0,N49-O49,0)</f>
        <v>19953.0625</v>
      </c>
      <c r="Q49" s="61">
        <f t="shared" ref="Q49:Q55" si="47">P49+(0.05*P49)</f>
        <v>20950.715625000001</v>
      </c>
      <c r="R49" s="61">
        <v>1000</v>
      </c>
      <c r="S49" s="61">
        <f>IF(R49&gt;0,Q49-R49,0)</f>
        <v>19950.715625000001</v>
      </c>
      <c r="T49" s="61">
        <f t="shared" ref="T49:T55" si="48">S49+(0.05*S49)</f>
        <v>20948.251406250001</v>
      </c>
      <c r="U49" s="61">
        <v>2000</v>
      </c>
      <c r="V49" s="61">
        <f>IF(U49&gt;0,T49-U49,0)</f>
        <v>18948.251406250001</v>
      </c>
      <c r="W49" s="61">
        <f t="shared" ref="W49:W55" si="49">V49+(0.05*V49)</f>
        <v>19895.6639765625</v>
      </c>
      <c r="X49" s="61"/>
      <c r="Y49" s="61">
        <f>W49-X49</f>
        <v>19895.6639765625</v>
      </c>
      <c r="Z49" s="61">
        <f>Y49</f>
        <v>19895.6639765625</v>
      </c>
      <c r="AA49" s="61"/>
      <c r="AB49" s="61">
        <f>IF(AA49&gt;0,Z49-AA49,0)</f>
        <v>0</v>
      </c>
      <c r="AC49" s="61">
        <f t="shared" ref="AC49:AC55" si="50">AB49+(0.05*AB49)</f>
        <v>0</v>
      </c>
    </row>
    <row r="50" spans="1:29" ht="17" x14ac:dyDescent="0.35">
      <c r="A50" s="6"/>
      <c r="B50" s="63" t="s">
        <v>32</v>
      </c>
      <c r="C50" s="34">
        <v>15000</v>
      </c>
      <c r="D50" s="34">
        <f t="shared" ref="D50:D55" si="51">0.1*C50</f>
        <v>1500</v>
      </c>
      <c r="E50" s="34">
        <f t="shared" ref="E50:E55" si="52">D50+C50</f>
        <v>16500</v>
      </c>
      <c r="F50" s="62">
        <v>600</v>
      </c>
      <c r="G50" s="61">
        <f t="shared" ref="G50:G55" si="53">IF(F50&gt;0,E50-F50,0)</f>
        <v>15900</v>
      </c>
      <c r="H50" s="61">
        <f t="shared" si="46"/>
        <v>16695</v>
      </c>
      <c r="I50" s="62">
        <v>2000</v>
      </c>
      <c r="J50" s="61">
        <f t="shared" ref="J50:J55" si="54">IF(I50&gt;0,H50-I50,0)</f>
        <v>14695</v>
      </c>
      <c r="K50" s="61">
        <f>J50+(0.05*J50)</f>
        <v>15429.75</v>
      </c>
      <c r="L50" s="62">
        <v>800</v>
      </c>
      <c r="M50" s="61">
        <f t="shared" ref="M50:M55" si="55">IF(L50&gt;0,K50-L50,0)</f>
        <v>14629.75</v>
      </c>
      <c r="N50" s="61">
        <f>M50+(0.05*M50)</f>
        <v>15361.237499999999</v>
      </c>
      <c r="O50" s="62">
        <v>1000</v>
      </c>
      <c r="P50" s="61">
        <f t="shared" ref="P50:P55" si="56">IF(O50&gt;0,N50-O50,0)</f>
        <v>14361.237499999999</v>
      </c>
      <c r="Q50" s="61">
        <f t="shared" si="47"/>
        <v>15079.299374999999</v>
      </c>
      <c r="R50" s="62">
        <v>3000</v>
      </c>
      <c r="S50" s="61">
        <f t="shared" ref="S50:S55" si="57">IF(R50&gt;0,Q50-R50,0)</f>
        <v>12079.299374999999</v>
      </c>
      <c r="T50" s="61">
        <f t="shared" si="48"/>
        <v>12683.264343749999</v>
      </c>
      <c r="U50" s="62">
        <v>900</v>
      </c>
      <c r="V50" s="61">
        <f t="shared" ref="V50:V55" si="58">IF(U50&gt;0,T50-U50,0)</f>
        <v>11783.264343749999</v>
      </c>
      <c r="W50" s="61">
        <f t="shared" si="49"/>
        <v>12372.4275609375</v>
      </c>
      <c r="X50" s="62"/>
      <c r="Y50" s="61">
        <f t="shared" ref="Y50:Y55" si="59">W50-X50</f>
        <v>12372.4275609375</v>
      </c>
      <c r="Z50" s="61">
        <f t="shared" ref="Z50:Z55" si="60">Y50</f>
        <v>12372.4275609375</v>
      </c>
      <c r="AA50" s="62"/>
      <c r="AB50" s="61">
        <f t="shared" ref="AB50:AB55" si="61">IF(AA50&gt;0,Z50-AA50,0)</f>
        <v>0</v>
      </c>
      <c r="AC50" s="61">
        <f t="shared" si="50"/>
        <v>0</v>
      </c>
    </row>
    <row r="51" spans="1:29" ht="15.5" x14ac:dyDescent="0.35">
      <c r="A51" s="6"/>
      <c r="B51" s="33" t="s">
        <v>59</v>
      </c>
      <c r="C51" s="34">
        <v>10000</v>
      </c>
      <c r="D51" s="34">
        <f t="shared" si="51"/>
        <v>1000</v>
      </c>
      <c r="E51" s="34">
        <f t="shared" si="52"/>
        <v>11000</v>
      </c>
      <c r="F51" s="61">
        <v>6300</v>
      </c>
      <c r="G51" s="61">
        <f t="shared" si="53"/>
        <v>4700</v>
      </c>
      <c r="H51" s="61">
        <f t="shared" si="46"/>
        <v>4935</v>
      </c>
      <c r="I51" s="61">
        <v>2000</v>
      </c>
      <c r="J51" s="61">
        <f t="shared" si="54"/>
        <v>2935</v>
      </c>
      <c r="K51" s="61">
        <f>J51+(0.05*J51)</f>
        <v>3081.75</v>
      </c>
      <c r="L51" s="61">
        <v>3081.75</v>
      </c>
      <c r="M51" s="422" t="s">
        <v>130</v>
      </c>
      <c r="N51" s="423"/>
      <c r="O51" s="61"/>
      <c r="P51" s="61">
        <f t="shared" si="56"/>
        <v>0</v>
      </c>
      <c r="Q51" s="61">
        <f t="shared" si="47"/>
        <v>0</v>
      </c>
      <c r="R51" s="61"/>
      <c r="S51" s="61">
        <f t="shared" si="57"/>
        <v>0</v>
      </c>
      <c r="T51" s="61">
        <f t="shared" si="48"/>
        <v>0</v>
      </c>
      <c r="U51" s="61"/>
      <c r="V51" s="61">
        <f t="shared" si="58"/>
        <v>0</v>
      </c>
      <c r="W51" s="61">
        <f t="shared" si="49"/>
        <v>0</v>
      </c>
      <c r="X51" s="61"/>
      <c r="Y51" s="61">
        <f t="shared" si="59"/>
        <v>0</v>
      </c>
      <c r="Z51" s="61">
        <f t="shared" si="60"/>
        <v>0</v>
      </c>
      <c r="AA51" s="61"/>
      <c r="AB51" s="61">
        <f t="shared" si="61"/>
        <v>0</v>
      </c>
      <c r="AC51" s="61">
        <f t="shared" si="50"/>
        <v>0</v>
      </c>
    </row>
    <row r="52" spans="1:29" ht="15.5" x14ac:dyDescent="0.35">
      <c r="A52" s="6"/>
      <c r="B52" s="33" t="s">
        <v>22</v>
      </c>
      <c r="C52" s="34">
        <v>15000</v>
      </c>
      <c r="D52" s="34">
        <f t="shared" si="51"/>
        <v>1500</v>
      </c>
      <c r="E52" s="34">
        <f t="shared" si="52"/>
        <v>16500</v>
      </c>
      <c r="F52" s="61">
        <v>3500</v>
      </c>
      <c r="G52" s="61">
        <f t="shared" si="53"/>
        <v>13000</v>
      </c>
      <c r="H52" s="61">
        <f t="shared" si="46"/>
        <v>13650</v>
      </c>
      <c r="I52" s="61">
        <v>2500</v>
      </c>
      <c r="J52" s="61">
        <f t="shared" si="54"/>
        <v>11150</v>
      </c>
      <c r="K52" s="61">
        <f>J52+(0.05*J52)</f>
        <v>11707.5</v>
      </c>
      <c r="L52" s="61">
        <v>2000</v>
      </c>
      <c r="M52" s="61">
        <f t="shared" si="55"/>
        <v>9707.5</v>
      </c>
      <c r="N52" s="61">
        <f>M52+(0.05*M52)</f>
        <v>10192.875</v>
      </c>
      <c r="O52" s="61">
        <v>2000</v>
      </c>
      <c r="P52" s="61">
        <f t="shared" si="56"/>
        <v>8192.875</v>
      </c>
      <c r="Q52" s="61">
        <f t="shared" si="47"/>
        <v>8602.5187499999993</v>
      </c>
      <c r="R52" s="61">
        <v>2500</v>
      </c>
      <c r="S52" s="61">
        <f t="shared" si="57"/>
        <v>6102.5187499999993</v>
      </c>
      <c r="T52" s="61">
        <f t="shared" si="48"/>
        <v>6407.6446874999992</v>
      </c>
      <c r="U52" s="61">
        <v>2500</v>
      </c>
      <c r="V52" s="61">
        <f t="shared" si="58"/>
        <v>3907.6446874999992</v>
      </c>
      <c r="W52" s="61">
        <f t="shared" si="49"/>
        <v>4103.0269218749991</v>
      </c>
      <c r="X52" s="61"/>
      <c r="Y52" s="61">
        <f t="shared" si="59"/>
        <v>4103.0269218749991</v>
      </c>
      <c r="Z52" s="61">
        <f t="shared" si="60"/>
        <v>4103.0269218749991</v>
      </c>
      <c r="AA52" s="61"/>
      <c r="AB52" s="61">
        <f t="shared" si="61"/>
        <v>0</v>
      </c>
      <c r="AC52" s="61">
        <f t="shared" si="50"/>
        <v>0</v>
      </c>
    </row>
    <row r="53" spans="1:29" ht="15.5" x14ac:dyDescent="0.35">
      <c r="A53" s="6"/>
      <c r="B53" s="33" t="s">
        <v>135</v>
      </c>
      <c r="C53" s="34">
        <v>2400</v>
      </c>
      <c r="D53" s="34">
        <f t="shared" si="51"/>
        <v>240</v>
      </c>
      <c r="E53" s="34">
        <f t="shared" si="52"/>
        <v>2640</v>
      </c>
      <c r="F53" s="8">
        <v>1000</v>
      </c>
      <c r="G53" s="61">
        <f t="shared" si="53"/>
        <v>1640</v>
      </c>
      <c r="H53" s="61">
        <f t="shared" si="46"/>
        <v>1722</v>
      </c>
      <c r="I53" s="8">
        <v>1722</v>
      </c>
      <c r="J53" s="422" t="s">
        <v>130</v>
      </c>
      <c r="K53" s="423"/>
      <c r="L53" s="8"/>
      <c r="M53" s="61">
        <f t="shared" si="55"/>
        <v>0</v>
      </c>
      <c r="N53" s="61">
        <f>M53+(0.05*M53)</f>
        <v>0</v>
      </c>
      <c r="O53" s="8"/>
      <c r="P53" s="61">
        <f t="shared" si="56"/>
        <v>0</v>
      </c>
      <c r="Q53" s="61">
        <f t="shared" si="47"/>
        <v>0</v>
      </c>
      <c r="R53" s="8"/>
      <c r="S53" s="61">
        <f t="shared" si="57"/>
        <v>0</v>
      </c>
      <c r="T53" s="61">
        <f t="shared" si="48"/>
        <v>0</v>
      </c>
      <c r="U53" s="8"/>
      <c r="V53" s="61">
        <f t="shared" si="58"/>
        <v>0</v>
      </c>
      <c r="W53" s="61">
        <f t="shared" si="49"/>
        <v>0</v>
      </c>
      <c r="X53" s="8"/>
      <c r="Y53" s="61">
        <f t="shared" si="59"/>
        <v>0</v>
      </c>
      <c r="Z53" s="61">
        <f t="shared" si="60"/>
        <v>0</v>
      </c>
      <c r="AA53" s="8"/>
      <c r="AB53" s="61">
        <f t="shared" si="61"/>
        <v>0</v>
      </c>
      <c r="AC53" s="61">
        <f t="shared" si="50"/>
        <v>0</v>
      </c>
    </row>
    <row r="54" spans="1:29" ht="15.5" x14ac:dyDescent="0.35">
      <c r="A54" s="6"/>
      <c r="B54" s="33" t="s">
        <v>137</v>
      </c>
      <c r="C54" s="34">
        <v>6000</v>
      </c>
      <c r="D54" s="34">
        <f t="shared" si="51"/>
        <v>600</v>
      </c>
      <c r="E54" s="34">
        <f t="shared" si="52"/>
        <v>6600</v>
      </c>
      <c r="F54" s="8"/>
      <c r="G54" s="61">
        <f>E54-F54</f>
        <v>6600</v>
      </c>
      <c r="H54" s="61">
        <f t="shared" si="46"/>
        <v>6930</v>
      </c>
      <c r="I54" s="8">
        <v>1000</v>
      </c>
      <c r="J54" s="61">
        <f t="shared" si="54"/>
        <v>5930</v>
      </c>
      <c r="K54" s="61">
        <f>J54+(0.05*J54)</f>
        <v>6226.5</v>
      </c>
      <c r="L54" s="8">
        <v>1000</v>
      </c>
      <c r="M54" s="61">
        <f t="shared" si="55"/>
        <v>5226.5</v>
      </c>
      <c r="N54" s="61">
        <f>M54+(0.05*M54)</f>
        <v>5487.8249999999998</v>
      </c>
      <c r="O54" s="8">
        <v>1000</v>
      </c>
      <c r="P54" s="61">
        <f t="shared" si="56"/>
        <v>4487.8249999999998</v>
      </c>
      <c r="Q54" s="61">
        <f t="shared" si="47"/>
        <v>4712.2162499999995</v>
      </c>
      <c r="R54" s="8">
        <v>1000</v>
      </c>
      <c r="S54" s="61">
        <f t="shared" si="57"/>
        <v>3712.2162499999995</v>
      </c>
      <c r="T54" s="61">
        <f t="shared" si="48"/>
        <v>3897.8270624999996</v>
      </c>
      <c r="U54" s="8">
        <v>400</v>
      </c>
      <c r="V54" s="61">
        <f t="shared" si="58"/>
        <v>3497.8270624999996</v>
      </c>
      <c r="W54" s="61">
        <f t="shared" si="49"/>
        <v>3672.7184156249996</v>
      </c>
      <c r="X54" s="8"/>
      <c r="Y54" s="61">
        <f t="shared" si="59"/>
        <v>3672.7184156249996</v>
      </c>
      <c r="Z54" s="61">
        <f t="shared" si="60"/>
        <v>3672.7184156249996</v>
      </c>
      <c r="AA54" s="8"/>
      <c r="AB54" s="61">
        <f t="shared" si="61"/>
        <v>0</v>
      </c>
      <c r="AC54" s="61">
        <f t="shared" si="50"/>
        <v>0</v>
      </c>
    </row>
    <row r="55" spans="1:29" ht="15.5" x14ac:dyDescent="0.35">
      <c r="A55" s="6"/>
      <c r="B55" s="33" t="s">
        <v>21</v>
      </c>
      <c r="C55" s="34">
        <v>8323.5</v>
      </c>
      <c r="D55" s="34">
        <f t="shared" si="51"/>
        <v>832.35</v>
      </c>
      <c r="E55" s="34">
        <f t="shared" si="52"/>
        <v>9155.85</v>
      </c>
      <c r="F55" s="8">
        <v>2000</v>
      </c>
      <c r="G55" s="61">
        <f t="shared" si="53"/>
        <v>7155.85</v>
      </c>
      <c r="H55" s="61">
        <f t="shared" si="46"/>
        <v>7513.6424999999999</v>
      </c>
      <c r="I55" s="8">
        <v>2000</v>
      </c>
      <c r="J55" s="61">
        <f t="shared" si="54"/>
        <v>5513.6424999999999</v>
      </c>
      <c r="K55" s="61">
        <f>J55+(0.05*J55)</f>
        <v>5789.3246250000002</v>
      </c>
      <c r="L55" s="8">
        <v>1000</v>
      </c>
      <c r="M55" s="61">
        <f t="shared" si="55"/>
        <v>4789.3246250000002</v>
      </c>
      <c r="N55" s="61">
        <f>M55+(0.05*M55)</f>
        <v>5028.7908562500006</v>
      </c>
      <c r="O55" s="8">
        <v>500</v>
      </c>
      <c r="P55" s="61">
        <f t="shared" si="56"/>
        <v>4528.7908562500006</v>
      </c>
      <c r="Q55" s="61">
        <f t="shared" si="47"/>
        <v>4755.2303990625005</v>
      </c>
      <c r="R55" s="8">
        <v>3000</v>
      </c>
      <c r="S55" s="61">
        <f t="shared" si="57"/>
        <v>1755.2303990625005</v>
      </c>
      <c r="T55" s="61">
        <f t="shared" si="48"/>
        <v>1842.9919190156256</v>
      </c>
      <c r="U55" s="8">
        <v>1000</v>
      </c>
      <c r="V55" s="61">
        <f t="shared" si="58"/>
        <v>842.99191901562563</v>
      </c>
      <c r="W55" s="61">
        <f t="shared" si="49"/>
        <v>885.14151496640693</v>
      </c>
      <c r="X55" s="8"/>
      <c r="Y55" s="61">
        <f t="shared" si="59"/>
        <v>885.14151496640693</v>
      </c>
      <c r="Z55" s="61">
        <f t="shared" si="60"/>
        <v>885.14151496640693</v>
      </c>
      <c r="AA55" s="8"/>
      <c r="AB55" s="61">
        <f t="shared" si="61"/>
        <v>0</v>
      </c>
      <c r="AC55" s="61">
        <f t="shared" si="50"/>
        <v>0</v>
      </c>
    </row>
    <row r="56" spans="1:29" ht="15.5" x14ac:dyDescent="0.35">
      <c r="A56" s="424" t="s">
        <v>71</v>
      </c>
      <c r="B56" s="425"/>
      <c r="C56" s="80">
        <f t="shared" ref="C56:AC56" si="62">SUM(C49:C55)</f>
        <v>81723.5</v>
      </c>
      <c r="D56" s="80">
        <f t="shared" si="62"/>
        <v>8172.35</v>
      </c>
      <c r="E56" s="80">
        <f t="shared" si="62"/>
        <v>89895.85</v>
      </c>
      <c r="F56" s="80">
        <f t="shared" si="62"/>
        <v>16400</v>
      </c>
      <c r="G56" s="80">
        <f t="shared" si="62"/>
        <v>73495.850000000006</v>
      </c>
      <c r="H56" s="80">
        <f t="shared" si="62"/>
        <v>77170.642500000002</v>
      </c>
      <c r="I56" s="80">
        <f t="shared" si="62"/>
        <v>14722</v>
      </c>
      <c r="J56" s="80">
        <f t="shared" si="62"/>
        <v>62448.642500000002</v>
      </c>
      <c r="K56" s="80">
        <f t="shared" si="62"/>
        <v>65571.074624999994</v>
      </c>
      <c r="L56" s="80">
        <f t="shared" si="62"/>
        <v>8881.75</v>
      </c>
      <c r="M56" s="80">
        <f t="shared" si="62"/>
        <v>56689.324625000001</v>
      </c>
      <c r="N56" s="80">
        <f t="shared" si="62"/>
        <v>59523.790856250002</v>
      </c>
      <c r="O56" s="80">
        <f t="shared" si="62"/>
        <v>8000</v>
      </c>
      <c r="P56" s="80">
        <f t="shared" si="62"/>
        <v>51523.790856250002</v>
      </c>
      <c r="Q56" s="80">
        <f t="shared" si="62"/>
        <v>54099.980399062501</v>
      </c>
      <c r="R56" s="80">
        <f t="shared" si="62"/>
        <v>10500</v>
      </c>
      <c r="S56" s="80">
        <f t="shared" si="62"/>
        <v>43599.980399062501</v>
      </c>
      <c r="T56" s="80">
        <f t="shared" si="62"/>
        <v>45779.979419015624</v>
      </c>
      <c r="U56" s="80">
        <f t="shared" si="62"/>
        <v>6800</v>
      </c>
      <c r="V56" s="80">
        <f t="shared" si="62"/>
        <v>38979.979419015624</v>
      </c>
      <c r="W56" s="80">
        <f t="shared" si="62"/>
        <v>40928.978389966411</v>
      </c>
      <c r="X56" s="80">
        <f t="shared" si="62"/>
        <v>0</v>
      </c>
      <c r="Y56" s="80">
        <f t="shared" si="62"/>
        <v>40928.978389966411</v>
      </c>
      <c r="Z56" s="80">
        <f t="shared" si="62"/>
        <v>40928.978389966411</v>
      </c>
      <c r="AA56" s="80">
        <f t="shared" si="62"/>
        <v>0</v>
      </c>
      <c r="AB56" s="80">
        <f t="shared" si="62"/>
        <v>0</v>
      </c>
      <c r="AC56" s="80">
        <f t="shared" si="62"/>
        <v>0</v>
      </c>
    </row>
    <row r="59" spans="1:29" ht="15.5" x14ac:dyDescent="0.35">
      <c r="A59" s="426" t="s">
        <v>142</v>
      </c>
      <c r="B59" s="427"/>
      <c r="C59" s="427"/>
      <c r="D59" s="427"/>
      <c r="E59" s="428"/>
      <c r="F59" s="93" t="s">
        <v>121</v>
      </c>
      <c r="G59" s="93"/>
      <c r="H59" s="93"/>
      <c r="I59" s="94" t="s">
        <v>122</v>
      </c>
      <c r="J59" s="94"/>
      <c r="K59" s="94"/>
      <c r="L59" s="92" t="s">
        <v>123</v>
      </c>
      <c r="M59" s="92"/>
      <c r="N59" s="92"/>
      <c r="O59" s="92" t="s">
        <v>80</v>
      </c>
      <c r="P59" s="92"/>
      <c r="Q59" s="92"/>
      <c r="R59" s="92" t="s">
        <v>81</v>
      </c>
      <c r="S59" s="92"/>
      <c r="T59" s="92"/>
      <c r="U59" s="92" t="s">
        <v>82</v>
      </c>
      <c r="V59" s="92"/>
      <c r="W59" s="92"/>
      <c r="X59" s="429" t="s">
        <v>83</v>
      </c>
      <c r="Y59" s="429"/>
      <c r="Z59" s="429"/>
      <c r="AA59" s="431" t="s">
        <v>83</v>
      </c>
      <c r="AB59" s="432"/>
      <c r="AC59" s="433"/>
    </row>
    <row r="60" spans="1:29" ht="46.5" x14ac:dyDescent="0.35">
      <c r="A60" s="9" t="s">
        <v>11</v>
      </c>
      <c r="B60" s="9" t="s">
        <v>12</v>
      </c>
      <c r="C60" s="9" t="s">
        <v>124</v>
      </c>
      <c r="D60" s="9" t="s">
        <v>125</v>
      </c>
      <c r="E60" s="9" t="s">
        <v>126</v>
      </c>
      <c r="F60" s="60" t="s">
        <v>127</v>
      </c>
      <c r="G60" s="60" t="s">
        <v>128</v>
      </c>
      <c r="H60" s="60" t="s">
        <v>129</v>
      </c>
      <c r="I60" s="60" t="s">
        <v>127</v>
      </c>
      <c r="J60" s="60" t="s">
        <v>128</v>
      </c>
      <c r="K60" s="60" t="s">
        <v>129</v>
      </c>
      <c r="L60" s="60" t="s">
        <v>127</v>
      </c>
      <c r="M60" s="60" t="s">
        <v>128</v>
      </c>
      <c r="N60" s="60" t="s">
        <v>129</v>
      </c>
      <c r="O60" s="60" t="s">
        <v>127</v>
      </c>
      <c r="P60" s="60" t="s">
        <v>128</v>
      </c>
      <c r="Q60" s="60" t="s">
        <v>129</v>
      </c>
      <c r="R60" s="60" t="s">
        <v>127</v>
      </c>
      <c r="S60" s="60" t="s">
        <v>128</v>
      </c>
      <c r="T60" s="60" t="s">
        <v>129</v>
      </c>
      <c r="U60" s="60" t="s">
        <v>127</v>
      </c>
      <c r="V60" s="60" t="s">
        <v>128</v>
      </c>
      <c r="W60" s="60" t="s">
        <v>129</v>
      </c>
      <c r="X60" s="60" t="s">
        <v>127</v>
      </c>
      <c r="Y60" s="60" t="s">
        <v>128</v>
      </c>
      <c r="Z60" s="60" t="s">
        <v>129</v>
      </c>
      <c r="AA60" s="60" t="s">
        <v>127</v>
      </c>
      <c r="AB60" s="60" t="s">
        <v>128</v>
      </c>
      <c r="AC60" s="60" t="s">
        <v>129</v>
      </c>
    </row>
    <row r="61" spans="1:29" ht="17" x14ac:dyDescent="0.45">
      <c r="A61" s="6"/>
      <c r="B61" s="64" t="s">
        <v>20</v>
      </c>
      <c r="C61" s="34">
        <v>10000</v>
      </c>
      <c r="D61" s="34">
        <f>0.1*C61</f>
        <v>1000</v>
      </c>
      <c r="E61" s="34">
        <f>D61+C61</f>
        <v>11000</v>
      </c>
      <c r="F61" s="61">
        <v>1400</v>
      </c>
      <c r="G61" s="61">
        <f>IF(F61&gt;0,E61-F61,0)</f>
        <v>9600</v>
      </c>
      <c r="H61" s="61">
        <f>G61+(0.05*G61)</f>
        <v>10080</v>
      </c>
      <c r="I61" s="61">
        <v>1000</v>
      </c>
      <c r="J61" s="61">
        <f>IF(I61&gt;0,H61-I61,0)</f>
        <v>9080</v>
      </c>
      <c r="K61" s="61">
        <f>J61+(0.05*J61)</f>
        <v>9534</v>
      </c>
      <c r="L61" s="61">
        <v>1500</v>
      </c>
      <c r="M61" s="61">
        <f>IF(L61&gt;0,K61-L61,0)</f>
        <v>8034</v>
      </c>
      <c r="N61" s="61">
        <f>M61+(0.05*M61)</f>
        <v>8435.7000000000007</v>
      </c>
      <c r="O61" s="61">
        <v>1000</v>
      </c>
      <c r="P61" s="61">
        <f>IF(O61&gt;0,N61-O61,0)</f>
        <v>7435.7000000000007</v>
      </c>
      <c r="Q61" s="61">
        <f t="shared" ref="Q61:Q70" si="63">P61+(0.05*P61)</f>
        <v>7807.4850000000006</v>
      </c>
      <c r="R61" s="61">
        <v>1800</v>
      </c>
      <c r="S61" s="61">
        <f t="shared" ref="S61:S70" si="64">IF(R61&gt;0,Q61-R61,0)</f>
        <v>6007.4850000000006</v>
      </c>
      <c r="T61" s="61">
        <f t="shared" ref="T61:T70" si="65">S61+(0.05*S61)</f>
        <v>6307.8592500000004</v>
      </c>
      <c r="U61" s="61"/>
      <c r="V61" s="61">
        <f t="shared" ref="V61:V70" si="66">T61-U61</f>
        <v>6307.8592500000004</v>
      </c>
      <c r="W61" s="61">
        <f>V61</f>
        <v>6307.8592500000004</v>
      </c>
      <c r="X61" s="61"/>
      <c r="Y61" s="61">
        <f t="shared" ref="Y61:Y66" si="67">IF(X61&gt;0,W61-X61,0)</f>
        <v>0</v>
      </c>
      <c r="Z61" s="61">
        <f t="shared" ref="Z61:Z66" si="68">Y61+(0.05*Y61)</f>
        <v>0</v>
      </c>
      <c r="AA61" s="61"/>
      <c r="AB61" s="61">
        <f t="shared" ref="AB61:AB66" si="69">IF(AA61&gt;0,Z61-AA61,0)</f>
        <v>0</v>
      </c>
      <c r="AC61" s="61">
        <f t="shared" ref="AC61:AC66" si="70">AB61+(0.05*AB61)</f>
        <v>0</v>
      </c>
    </row>
    <row r="62" spans="1:29" ht="17" x14ac:dyDescent="0.35">
      <c r="A62" s="6"/>
      <c r="B62" s="63" t="s">
        <v>50</v>
      </c>
      <c r="C62" s="34">
        <v>15200</v>
      </c>
      <c r="D62" s="34">
        <f t="shared" ref="D62:D70" si="71">0.1*C62</f>
        <v>1520</v>
      </c>
      <c r="E62" s="34">
        <f t="shared" ref="E62:E70" si="72">D62+C62</f>
        <v>16720</v>
      </c>
      <c r="F62" s="61">
        <v>1500</v>
      </c>
      <c r="G62" s="61">
        <f t="shared" ref="G62:G70" si="73">IF(F62&gt;0,E62-F62,0)</f>
        <v>15220</v>
      </c>
      <c r="H62" s="61">
        <f t="shared" ref="H62:H70" si="74">G62+(0.05*G62)</f>
        <v>15981</v>
      </c>
      <c r="I62" s="62">
        <v>1700</v>
      </c>
      <c r="J62" s="61">
        <f t="shared" ref="J62:J70" si="75">IF(I62&gt;0,H62-I62,0)</f>
        <v>14281</v>
      </c>
      <c r="K62" s="61">
        <f>J62+(0.05*J62)</f>
        <v>14995.05</v>
      </c>
      <c r="L62" s="62">
        <v>1500</v>
      </c>
      <c r="M62" s="61">
        <f t="shared" ref="M62:M70" si="76">IF(L62&gt;0,K62-L62,0)</f>
        <v>13495.05</v>
      </c>
      <c r="N62" s="61">
        <f>M62+(0.05*M62)</f>
        <v>14169.8025</v>
      </c>
      <c r="O62" s="62">
        <v>1000</v>
      </c>
      <c r="P62" s="61">
        <f t="shared" ref="P62:P70" si="77">IF(O62&gt;0,N62-O62,0)</f>
        <v>13169.8025</v>
      </c>
      <c r="Q62" s="61">
        <f t="shared" si="63"/>
        <v>13828.292625</v>
      </c>
      <c r="R62" s="62">
        <v>1500</v>
      </c>
      <c r="S62" s="61">
        <f t="shared" si="64"/>
        <v>12328.292625</v>
      </c>
      <c r="T62" s="61">
        <f t="shared" si="65"/>
        <v>12944.70725625</v>
      </c>
      <c r="U62" s="62"/>
      <c r="V62" s="61">
        <f t="shared" si="66"/>
        <v>12944.70725625</v>
      </c>
      <c r="W62" s="61">
        <f t="shared" ref="W62:W70" si="78">V62</f>
        <v>12944.70725625</v>
      </c>
      <c r="X62" s="62"/>
      <c r="Y62" s="61">
        <f t="shared" si="67"/>
        <v>0</v>
      </c>
      <c r="Z62" s="61">
        <f t="shared" si="68"/>
        <v>0</v>
      </c>
      <c r="AA62" s="62"/>
      <c r="AB62" s="61">
        <f t="shared" si="69"/>
        <v>0</v>
      </c>
      <c r="AC62" s="61">
        <f t="shared" si="70"/>
        <v>0</v>
      </c>
    </row>
    <row r="63" spans="1:29" ht="15.5" x14ac:dyDescent="0.35">
      <c r="A63" s="6"/>
      <c r="B63" s="33" t="s">
        <v>19</v>
      </c>
      <c r="C63" s="34">
        <v>10000</v>
      </c>
      <c r="D63" s="34">
        <f t="shared" si="71"/>
        <v>1000</v>
      </c>
      <c r="E63" s="34">
        <f t="shared" si="72"/>
        <v>11000</v>
      </c>
      <c r="F63" s="61">
        <v>5000</v>
      </c>
      <c r="G63" s="61">
        <f t="shared" si="73"/>
        <v>6000</v>
      </c>
      <c r="H63" s="61">
        <f t="shared" si="74"/>
        <v>6300</v>
      </c>
      <c r="I63" s="61">
        <v>4500</v>
      </c>
      <c r="J63" s="61">
        <f t="shared" si="75"/>
        <v>1800</v>
      </c>
      <c r="K63" s="61">
        <f t="shared" ref="K63:K70" si="79">J63+(0.05*J63)</f>
        <v>1890</v>
      </c>
      <c r="L63" s="61">
        <v>1890</v>
      </c>
      <c r="M63" s="422" t="s">
        <v>130</v>
      </c>
      <c r="N63" s="423"/>
      <c r="O63" s="61"/>
      <c r="P63" s="61">
        <f t="shared" si="77"/>
        <v>0</v>
      </c>
      <c r="Q63" s="61">
        <f t="shared" si="63"/>
        <v>0</v>
      </c>
      <c r="R63" s="61"/>
      <c r="S63" s="61">
        <f t="shared" si="64"/>
        <v>0</v>
      </c>
      <c r="T63" s="61">
        <f t="shared" si="65"/>
        <v>0</v>
      </c>
      <c r="U63" s="61"/>
      <c r="V63" s="61">
        <f t="shared" si="66"/>
        <v>0</v>
      </c>
      <c r="W63" s="61">
        <f t="shared" si="78"/>
        <v>0</v>
      </c>
      <c r="X63" s="61"/>
      <c r="Y63" s="61">
        <f t="shared" si="67"/>
        <v>0</v>
      </c>
      <c r="Z63" s="61">
        <f t="shared" si="68"/>
        <v>0</v>
      </c>
      <c r="AA63" s="61"/>
      <c r="AB63" s="61">
        <f t="shared" si="69"/>
        <v>0</v>
      </c>
      <c r="AC63" s="61">
        <f t="shared" si="70"/>
        <v>0</v>
      </c>
    </row>
    <row r="64" spans="1:29" ht="15.5" x14ac:dyDescent="0.35">
      <c r="A64" s="6"/>
      <c r="B64" s="33" t="s">
        <v>85</v>
      </c>
      <c r="C64" s="34">
        <v>12000</v>
      </c>
      <c r="D64" s="34">
        <f t="shared" si="71"/>
        <v>1200</v>
      </c>
      <c r="E64" s="34">
        <f t="shared" si="72"/>
        <v>13200</v>
      </c>
      <c r="F64" s="61">
        <v>2000</v>
      </c>
      <c r="G64" s="61">
        <f t="shared" si="73"/>
        <v>11200</v>
      </c>
      <c r="H64" s="61">
        <f t="shared" si="74"/>
        <v>11760</v>
      </c>
      <c r="I64" s="61">
        <v>1000</v>
      </c>
      <c r="J64" s="61">
        <f t="shared" si="75"/>
        <v>10760</v>
      </c>
      <c r="K64" s="61">
        <f t="shared" si="79"/>
        <v>11298</v>
      </c>
      <c r="L64" s="61">
        <v>2000</v>
      </c>
      <c r="M64" s="61">
        <f t="shared" si="76"/>
        <v>9298</v>
      </c>
      <c r="N64" s="61">
        <f t="shared" ref="N64:N70" si="80">M64+(0.05*M64)</f>
        <v>9762.9</v>
      </c>
      <c r="O64" s="61">
        <v>2000</v>
      </c>
      <c r="P64" s="61">
        <f t="shared" si="77"/>
        <v>7762.9</v>
      </c>
      <c r="Q64" s="61">
        <f t="shared" si="63"/>
        <v>8151.0450000000001</v>
      </c>
      <c r="R64" s="61">
        <v>1000</v>
      </c>
      <c r="S64" s="61">
        <f t="shared" si="64"/>
        <v>7151.0450000000001</v>
      </c>
      <c r="T64" s="61">
        <f t="shared" si="65"/>
        <v>7508.5972499999998</v>
      </c>
      <c r="U64" s="61"/>
      <c r="V64" s="61">
        <f t="shared" si="66"/>
        <v>7508.5972499999998</v>
      </c>
      <c r="W64" s="61">
        <f t="shared" si="78"/>
        <v>7508.5972499999998</v>
      </c>
      <c r="X64" s="61"/>
      <c r="Y64" s="61">
        <f t="shared" si="67"/>
        <v>0</v>
      </c>
      <c r="Z64" s="61">
        <f t="shared" si="68"/>
        <v>0</v>
      </c>
      <c r="AA64" s="61"/>
      <c r="AB64" s="61">
        <f t="shared" si="69"/>
        <v>0</v>
      </c>
      <c r="AC64" s="61">
        <f t="shared" si="70"/>
        <v>0</v>
      </c>
    </row>
    <row r="65" spans="1:29" ht="15.5" x14ac:dyDescent="0.35">
      <c r="A65" s="6"/>
      <c r="B65" s="33" t="s">
        <v>136</v>
      </c>
      <c r="C65" s="34">
        <v>5000</v>
      </c>
      <c r="D65" s="34">
        <f t="shared" si="71"/>
        <v>500</v>
      </c>
      <c r="E65" s="34">
        <f t="shared" si="72"/>
        <v>5500</v>
      </c>
      <c r="F65" s="61">
        <v>1000</v>
      </c>
      <c r="G65" s="61">
        <f t="shared" si="73"/>
        <v>4500</v>
      </c>
      <c r="H65" s="61">
        <f t="shared" si="74"/>
        <v>4725</v>
      </c>
      <c r="I65" s="8">
        <v>1000</v>
      </c>
      <c r="J65" s="61">
        <f t="shared" si="75"/>
        <v>3725</v>
      </c>
      <c r="K65" s="61">
        <f t="shared" si="79"/>
        <v>3911.25</v>
      </c>
      <c r="L65" s="8">
        <v>2000</v>
      </c>
      <c r="M65" s="61">
        <f t="shared" si="76"/>
        <v>1911.25</v>
      </c>
      <c r="N65" s="61">
        <f t="shared" si="80"/>
        <v>2006.8125</v>
      </c>
      <c r="O65" s="8">
        <v>2009</v>
      </c>
      <c r="P65" s="422" t="s">
        <v>130</v>
      </c>
      <c r="Q65" s="423"/>
      <c r="R65" s="8"/>
      <c r="S65" s="61">
        <f t="shared" si="64"/>
        <v>0</v>
      </c>
      <c r="T65" s="61">
        <f t="shared" si="65"/>
        <v>0</v>
      </c>
      <c r="U65" s="8"/>
      <c r="V65" s="61">
        <f t="shared" si="66"/>
        <v>0</v>
      </c>
      <c r="W65" s="61">
        <f t="shared" si="78"/>
        <v>0</v>
      </c>
      <c r="X65" s="8"/>
      <c r="Y65" s="61">
        <f t="shared" si="67"/>
        <v>0</v>
      </c>
      <c r="Z65" s="61">
        <f t="shared" si="68"/>
        <v>0</v>
      </c>
      <c r="AA65" s="8"/>
      <c r="AB65" s="61">
        <f t="shared" si="69"/>
        <v>0</v>
      </c>
      <c r="AC65" s="61">
        <f t="shared" si="70"/>
        <v>0</v>
      </c>
    </row>
    <row r="66" spans="1:29" ht="15.5" x14ac:dyDescent="0.35">
      <c r="A66" s="6"/>
      <c r="B66" s="33" t="s">
        <v>26</v>
      </c>
      <c r="C66" s="34">
        <v>6000</v>
      </c>
      <c r="D66" s="34">
        <f t="shared" si="71"/>
        <v>600</v>
      </c>
      <c r="E66" s="34">
        <f t="shared" si="72"/>
        <v>6600</v>
      </c>
      <c r="F66" s="61">
        <v>1600</v>
      </c>
      <c r="G66" s="61">
        <f t="shared" si="73"/>
        <v>5000</v>
      </c>
      <c r="H66" s="61">
        <f t="shared" si="74"/>
        <v>5250</v>
      </c>
      <c r="I66" s="8">
        <v>1000</v>
      </c>
      <c r="J66" s="61">
        <f t="shared" si="75"/>
        <v>4250</v>
      </c>
      <c r="K66" s="61">
        <f t="shared" si="79"/>
        <v>4462.5</v>
      </c>
      <c r="L66" s="8">
        <v>1462.5</v>
      </c>
      <c r="M66" s="61">
        <f t="shared" si="76"/>
        <v>3000</v>
      </c>
      <c r="N66" s="61">
        <f t="shared" si="80"/>
        <v>3150</v>
      </c>
      <c r="O66" s="8">
        <v>1150</v>
      </c>
      <c r="P66" s="61">
        <f t="shared" si="77"/>
        <v>2000</v>
      </c>
      <c r="Q66" s="61">
        <f t="shared" si="63"/>
        <v>2100</v>
      </c>
      <c r="R66" s="8">
        <v>2100</v>
      </c>
      <c r="S66" s="422" t="s">
        <v>130</v>
      </c>
      <c r="T66" s="423"/>
      <c r="U66" s="8"/>
      <c r="V66" s="61">
        <f t="shared" si="66"/>
        <v>0</v>
      </c>
      <c r="W66" s="61">
        <f t="shared" si="78"/>
        <v>0</v>
      </c>
      <c r="X66" s="8"/>
      <c r="Y66" s="61">
        <f t="shared" si="67"/>
        <v>0</v>
      </c>
      <c r="Z66" s="61">
        <f t="shared" si="68"/>
        <v>0</v>
      </c>
      <c r="AA66" s="8"/>
      <c r="AB66" s="61">
        <f t="shared" si="69"/>
        <v>0</v>
      </c>
      <c r="AC66" s="61">
        <f t="shared" si="70"/>
        <v>0</v>
      </c>
    </row>
    <row r="67" spans="1:29" ht="15.5" x14ac:dyDescent="0.35">
      <c r="A67" s="6"/>
      <c r="B67" s="33" t="s">
        <v>39</v>
      </c>
      <c r="C67" s="34">
        <v>3000</v>
      </c>
      <c r="D67" s="34">
        <f t="shared" si="71"/>
        <v>300</v>
      </c>
      <c r="E67" s="34">
        <f t="shared" si="72"/>
        <v>3300</v>
      </c>
      <c r="F67" s="61">
        <v>600</v>
      </c>
      <c r="G67" s="61">
        <f t="shared" si="73"/>
        <v>2700</v>
      </c>
      <c r="H67" s="61">
        <f t="shared" si="74"/>
        <v>2835</v>
      </c>
      <c r="I67" s="8">
        <v>600</v>
      </c>
      <c r="J67" s="61">
        <f t="shared" si="75"/>
        <v>2235</v>
      </c>
      <c r="K67" s="61">
        <f t="shared" si="79"/>
        <v>2346.75</v>
      </c>
      <c r="L67" s="8">
        <v>600</v>
      </c>
      <c r="M67" s="61">
        <f t="shared" si="76"/>
        <v>1746.75</v>
      </c>
      <c r="N67" s="61">
        <f t="shared" si="80"/>
        <v>1834.0875000000001</v>
      </c>
      <c r="O67" s="8">
        <v>300</v>
      </c>
      <c r="P67" s="61">
        <f t="shared" si="77"/>
        <v>1534.0875000000001</v>
      </c>
      <c r="Q67" s="61">
        <f t="shared" si="63"/>
        <v>1610.7918750000001</v>
      </c>
      <c r="R67" s="8">
        <v>1610.79</v>
      </c>
      <c r="S67" s="422" t="s">
        <v>130</v>
      </c>
      <c r="T67" s="423"/>
      <c r="U67" s="8"/>
      <c r="V67" s="61">
        <f t="shared" si="66"/>
        <v>0</v>
      </c>
      <c r="W67" s="61">
        <f t="shared" si="78"/>
        <v>0</v>
      </c>
      <c r="X67" s="8"/>
      <c r="Y67" s="61"/>
      <c r="Z67" s="61"/>
      <c r="AA67" s="8"/>
      <c r="AB67" s="61"/>
      <c r="AC67" s="61"/>
    </row>
    <row r="68" spans="1:29" ht="15.5" x14ac:dyDescent="0.35">
      <c r="A68" s="6"/>
      <c r="B68" s="33" t="s">
        <v>57</v>
      </c>
      <c r="C68" s="34">
        <v>10000</v>
      </c>
      <c r="D68" s="34">
        <f t="shared" si="71"/>
        <v>1000</v>
      </c>
      <c r="E68" s="34">
        <f t="shared" si="72"/>
        <v>11000</v>
      </c>
      <c r="F68" s="61">
        <v>1000</v>
      </c>
      <c r="G68" s="61">
        <f t="shared" si="73"/>
        <v>10000</v>
      </c>
      <c r="H68" s="61">
        <f t="shared" si="74"/>
        <v>10500</v>
      </c>
      <c r="I68" s="8">
        <v>1300</v>
      </c>
      <c r="J68" s="61">
        <f t="shared" si="75"/>
        <v>9200</v>
      </c>
      <c r="K68" s="61">
        <f t="shared" si="79"/>
        <v>9660</v>
      </c>
      <c r="L68" s="8">
        <v>1400</v>
      </c>
      <c r="M68" s="61">
        <f t="shared" si="76"/>
        <v>8260</v>
      </c>
      <c r="N68" s="61">
        <f t="shared" si="80"/>
        <v>8673</v>
      </c>
      <c r="O68" s="8">
        <v>1000</v>
      </c>
      <c r="P68" s="61">
        <f t="shared" si="77"/>
        <v>7673</v>
      </c>
      <c r="Q68" s="61">
        <f t="shared" si="63"/>
        <v>8056.65</v>
      </c>
      <c r="R68" s="8">
        <v>1000</v>
      </c>
      <c r="S68" s="61">
        <f t="shared" si="64"/>
        <v>7056.65</v>
      </c>
      <c r="T68" s="61">
        <f t="shared" si="65"/>
        <v>7409.4825000000001</v>
      </c>
      <c r="U68" s="8"/>
      <c r="V68" s="61">
        <f t="shared" si="66"/>
        <v>7409.4825000000001</v>
      </c>
      <c r="W68" s="61">
        <f t="shared" si="78"/>
        <v>7409.4825000000001</v>
      </c>
      <c r="X68" s="8"/>
      <c r="Y68" s="61"/>
      <c r="Z68" s="61"/>
      <c r="AA68" s="8"/>
      <c r="AB68" s="61"/>
      <c r="AC68" s="61"/>
    </row>
    <row r="69" spans="1:29" ht="15.5" x14ac:dyDescent="0.35">
      <c r="A69" s="6"/>
      <c r="B69" s="33" t="s">
        <v>132</v>
      </c>
      <c r="C69" s="34">
        <v>5067.0599999999977</v>
      </c>
      <c r="D69" s="34">
        <f t="shared" si="71"/>
        <v>506.70599999999979</v>
      </c>
      <c r="E69" s="34">
        <f t="shared" si="72"/>
        <v>5573.7659999999978</v>
      </c>
      <c r="F69" s="61">
        <v>1800</v>
      </c>
      <c r="G69" s="61">
        <f t="shared" si="73"/>
        <v>3773.7659999999978</v>
      </c>
      <c r="H69" s="61">
        <f t="shared" si="74"/>
        <v>3962.4542999999976</v>
      </c>
      <c r="I69" s="8">
        <v>1573</v>
      </c>
      <c r="J69" s="61">
        <f t="shared" si="75"/>
        <v>2389.4542999999976</v>
      </c>
      <c r="K69" s="61">
        <f t="shared" si="79"/>
        <v>2508.9270149999975</v>
      </c>
      <c r="L69" s="8">
        <v>1500</v>
      </c>
      <c r="M69" s="61">
        <f t="shared" si="76"/>
        <v>1008.9270149999975</v>
      </c>
      <c r="N69" s="61">
        <f t="shared" si="80"/>
        <v>1059.3733657499974</v>
      </c>
      <c r="O69" s="8">
        <v>1059.3699999999999</v>
      </c>
      <c r="P69" s="422" t="s">
        <v>130</v>
      </c>
      <c r="Q69" s="423"/>
      <c r="R69" s="8"/>
      <c r="S69" s="61">
        <f t="shared" si="64"/>
        <v>0</v>
      </c>
      <c r="T69" s="61">
        <f t="shared" si="65"/>
        <v>0</v>
      </c>
      <c r="U69" s="8"/>
      <c r="V69" s="61">
        <f t="shared" si="66"/>
        <v>0</v>
      </c>
      <c r="W69" s="61">
        <f t="shared" si="78"/>
        <v>0</v>
      </c>
      <c r="X69" s="8"/>
      <c r="Y69" s="61"/>
      <c r="Z69" s="61"/>
      <c r="AA69" s="8"/>
      <c r="AB69" s="61"/>
      <c r="AC69" s="61"/>
    </row>
    <row r="70" spans="1:29" ht="15.5" x14ac:dyDescent="0.35">
      <c r="A70" s="6"/>
      <c r="B70" s="33" t="s">
        <v>137</v>
      </c>
      <c r="C70" s="34">
        <v>5000</v>
      </c>
      <c r="D70" s="34">
        <f t="shared" si="71"/>
        <v>500</v>
      </c>
      <c r="E70" s="34">
        <f t="shared" si="72"/>
        <v>5500</v>
      </c>
      <c r="F70" s="61">
        <v>1000</v>
      </c>
      <c r="G70" s="61">
        <f t="shared" si="73"/>
        <v>4500</v>
      </c>
      <c r="H70" s="61">
        <f t="shared" si="74"/>
        <v>4725</v>
      </c>
      <c r="I70" s="8">
        <v>1000</v>
      </c>
      <c r="J70" s="61">
        <f t="shared" si="75"/>
        <v>3725</v>
      </c>
      <c r="K70" s="61">
        <f t="shared" si="79"/>
        <v>3911.25</v>
      </c>
      <c r="L70" s="8">
        <v>1000</v>
      </c>
      <c r="M70" s="61">
        <f t="shared" si="76"/>
        <v>2911.25</v>
      </c>
      <c r="N70" s="61">
        <f t="shared" si="80"/>
        <v>3056.8125</v>
      </c>
      <c r="O70" s="8">
        <v>1000</v>
      </c>
      <c r="P70" s="61">
        <f t="shared" si="77"/>
        <v>2056.8125</v>
      </c>
      <c r="Q70" s="61">
        <f t="shared" si="63"/>
        <v>2159.6531249999998</v>
      </c>
      <c r="R70" s="8">
        <v>400</v>
      </c>
      <c r="S70" s="61">
        <f t="shared" si="64"/>
        <v>1759.6531249999998</v>
      </c>
      <c r="T70" s="61">
        <f t="shared" si="65"/>
        <v>1847.6357812499998</v>
      </c>
      <c r="U70" s="8"/>
      <c r="V70" s="61">
        <f t="shared" si="66"/>
        <v>1847.6357812499998</v>
      </c>
      <c r="W70" s="61">
        <f t="shared" si="78"/>
        <v>1847.6357812499998</v>
      </c>
      <c r="X70" s="8"/>
      <c r="Y70" s="61"/>
      <c r="Z70" s="61"/>
      <c r="AA70" s="8"/>
      <c r="AB70" s="61"/>
      <c r="AC70" s="61"/>
    </row>
    <row r="71" spans="1:29" ht="15.5" x14ac:dyDescent="0.35">
      <c r="A71" s="424" t="s">
        <v>71</v>
      </c>
      <c r="B71" s="425"/>
      <c r="C71" s="80">
        <f t="shared" ref="C71:H71" si="81">SUM(C61:C70)</f>
        <v>81267.06</v>
      </c>
      <c r="D71" s="80">
        <f t="shared" si="81"/>
        <v>8126.7060000000001</v>
      </c>
      <c r="E71" s="80">
        <f t="shared" si="81"/>
        <v>89393.766000000003</v>
      </c>
      <c r="F71" s="80">
        <f t="shared" si="81"/>
        <v>16900</v>
      </c>
      <c r="G71" s="80">
        <f t="shared" si="81"/>
        <v>72493.766000000003</v>
      </c>
      <c r="H71" s="80">
        <f t="shared" si="81"/>
        <v>76118.454299999998</v>
      </c>
      <c r="I71" s="80">
        <f t="shared" ref="I71:AC71" si="82">SUM(I61:I70)</f>
        <v>14673</v>
      </c>
      <c r="J71" s="80">
        <f t="shared" si="82"/>
        <v>61445.454299999998</v>
      </c>
      <c r="K71" s="80">
        <f t="shared" si="82"/>
        <v>64517.727014999997</v>
      </c>
      <c r="L71" s="80">
        <f t="shared" si="82"/>
        <v>14852.5</v>
      </c>
      <c r="M71" s="80">
        <f t="shared" si="82"/>
        <v>49665.227014999997</v>
      </c>
      <c r="N71" s="80">
        <f t="shared" si="82"/>
        <v>52148.488365750003</v>
      </c>
      <c r="O71" s="80">
        <f t="shared" si="82"/>
        <v>10518.369999999999</v>
      </c>
      <c r="P71" s="80">
        <f t="shared" si="82"/>
        <v>41632.302500000005</v>
      </c>
      <c r="Q71" s="80">
        <f t="shared" si="82"/>
        <v>43713.917625000002</v>
      </c>
      <c r="R71" s="80">
        <f t="shared" si="82"/>
        <v>9410.7900000000009</v>
      </c>
      <c r="S71" s="80">
        <f t="shared" si="82"/>
        <v>34303.125749999999</v>
      </c>
      <c r="T71" s="80">
        <f t="shared" si="82"/>
        <v>36018.282037500001</v>
      </c>
      <c r="U71" s="80">
        <f t="shared" si="82"/>
        <v>0</v>
      </c>
      <c r="V71" s="80">
        <f t="shared" si="82"/>
        <v>36018.282037500001</v>
      </c>
      <c r="W71" s="80">
        <f t="shared" si="82"/>
        <v>36018.282037500001</v>
      </c>
      <c r="X71" s="80">
        <f t="shared" si="82"/>
        <v>0</v>
      </c>
      <c r="Y71" s="80">
        <f t="shared" si="82"/>
        <v>0</v>
      </c>
      <c r="Z71" s="80">
        <f t="shared" si="82"/>
        <v>0</v>
      </c>
      <c r="AA71" s="80">
        <f t="shared" si="82"/>
        <v>0</v>
      </c>
      <c r="AB71" s="80">
        <f t="shared" si="82"/>
        <v>0</v>
      </c>
      <c r="AC71" s="80">
        <f t="shared" si="82"/>
        <v>0</v>
      </c>
    </row>
    <row r="75" spans="1:29" ht="15.5" x14ac:dyDescent="0.35">
      <c r="A75" s="426" t="s">
        <v>143</v>
      </c>
      <c r="B75" s="427"/>
      <c r="C75" s="427"/>
      <c r="D75" s="427"/>
      <c r="E75" s="428"/>
      <c r="F75" s="94" t="s">
        <v>122</v>
      </c>
      <c r="G75" s="94"/>
      <c r="H75" s="94"/>
      <c r="I75" s="92" t="s">
        <v>123</v>
      </c>
      <c r="J75" s="92"/>
      <c r="K75" s="92"/>
      <c r="L75" s="92" t="s">
        <v>80</v>
      </c>
      <c r="M75" s="92"/>
      <c r="N75" s="92"/>
      <c r="O75" s="92" t="s">
        <v>81</v>
      </c>
      <c r="P75" s="92"/>
      <c r="Q75" s="92"/>
      <c r="R75" s="92" t="s">
        <v>82</v>
      </c>
      <c r="S75" s="92"/>
      <c r="T75" s="92"/>
      <c r="U75" s="429" t="s">
        <v>83</v>
      </c>
      <c r="V75" s="429"/>
      <c r="W75" s="429"/>
      <c r="X75" s="429" t="s">
        <v>83</v>
      </c>
      <c r="Y75" s="429"/>
      <c r="Z75" s="429"/>
    </row>
    <row r="76" spans="1:29" ht="46.5" x14ac:dyDescent="0.35">
      <c r="A76" s="9" t="s">
        <v>11</v>
      </c>
      <c r="B76" s="9" t="s">
        <v>12</v>
      </c>
      <c r="C76" s="9" t="s">
        <v>124</v>
      </c>
      <c r="D76" s="9" t="s">
        <v>125</v>
      </c>
      <c r="E76" s="9" t="s">
        <v>126</v>
      </c>
      <c r="F76" s="60" t="s">
        <v>127</v>
      </c>
      <c r="G76" s="60" t="s">
        <v>128</v>
      </c>
      <c r="H76" s="60" t="s">
        <v>129</v>
      </c>
      <c r="I76" s="60" t="s">
        <v>127</v>
      </c>
      <c r="J76" s="60" t="s">
        <v>128</v>
      </c>
      <c r="K76" s="60" t="s">
        <v>129</v>
      </c>
      <c r="L76" s="60" t="s">
        <v>127</v>
      </c>
      <c r="M76" s="60" t="s">
        <v>128</v>
      </c>
      <c r="N76" s="60" t="s">
        <v>129</v>
      </c>
      <c r="O76" s="60" t="s">
        <v>127</v>
      </c>
      <c r="P76" s="60" t="s">
        <v>128</v>
      </c>
      <c r="Q76" s="60" t="s">
        <v>129</v>
      </c>
      <c r="R76" s="60" t="s">
        <v>127</v>
      </c>
      <c r="S76" s="60" t="s">
        <v>128</v>
      </c>
      <c r="T76" s="60" t="s">
        <v>129</v>
      </c>
      <c r="U76" s="60" t="s">
        <v>127</v>
      </c>
      <c r="V76" s="60" t="s">
        <v>128</v>
      </c>
      <c r="W76" s="60" t="s">
        <v>129</v>
      </c>
      <c r="X76" s="60" t="s">
        <v>127</v>
      </c>
      <c r="Y76" s="60" t="s">
        <v>128</v>
      </c>
      <c r="Z76" s="60" t="s">
        <v>129</v>
      </c>
    </row>
    <row r="77" spans="1:29" ht="17" x14ac:dyDescent="0.45">
      <c r="A77" s="6"/>
      <c r="B77" s="64" t="s">
        <v>48</v>
      </c>
      <c r="C77" s="49">
        <v>12000</v>
      </c>
      <c r="D77" s="34">
        <f>0.1*C77</f>
        <v>1200</v>
      </c>
      <c r="E77" s="34">
        <f>D77+C77</f>
        <v>13200</v>
      </c>
      <c r="F77" s="61">
        <v>1800</v>
      </c>
      <c r="G77" s="61">
        <f t="shared" ref="G77:G84" si="83">IF(F77&gt;0,E77-F77,0)</f>
        <v>11400</v>
      </c>
      <c r="H77" s="61">
        <f>G77+(0.05*G77)</f>
        <v>11970</v>
      </c>
      <c r="I77" s="61">
        <v>1600</v>
      </c>
      <c r="J77" s="61">
        <f>IF(I77&gt;0,H77-I77,0)</f>
        <v>10370</v>
      </c>
      <c r="K77" s="61">
        <f t="shared" ref="K77:K84" si="84">J77+(0.05*J77)</f>
        <v>10888.5</v>
      </c>
      <c r="L77" s="61">
        <v>1000</v>
      </c>
      <c r="M77" s="61">
        <f t="shared" ref="M77:M82" si="85">IF(L77&gt;0,K77-L77,0)</f>
        <v>9888.5</v>
      </c>
      <c r="N77" s="61">
        <f t="shared" ref="N77:N84" si="86">M77+(0.05*M77)</f>
        <v>10382.924999999999</v>
      </c>
      <c r="O77" s="61">
        <v>800</v>
      </c>
      <c r="P77" s="61">
        <f t="shared" ref="P77:P84" si="87">IF(O77&gt;0,N77-O77,0)</f>
        <v>9582.9249999999993</v>
      </c>
      <c r="Q77" s="61">
        <f t="shared" ref="Q77:Q84" si="88">P77+(0.05*P77)</f>
        <v>10062.071249999999</v>
      </c>
      <c r="R77" s="61"/>
      <c r="S77" s="61">
        <f t="shared" ref="S77:S84" si="89">Q77-R77</f>
        <v>10062.071249999999</v>
      </c>
      <c r="T77" s="61">
        <f>S77</f>
        <v>10062.071249999999</v>
      </c>
      <c r="U77" s="61"/>
      <c r="V77" s="61">
        <f t="shared" ref="V77:V82" si="90">IF(U77&gt;0,T77-U77,0)</f>
        <v>0</v>
      </c>
      <c r="W77" s="61">
        <f t="shared" ref="W77:W82" si="91">V77+(0.05*V77)</f>
        <v>0</v>
      </c>
      <c r="X77" s="61"/>
      <c r="Y77" s="61">
        <f t="shared" ref="Y77:Y82" si="92">IF(X77&gt;0,W77-X77,0)</f>
        <v>0</v>
      </c>
      <c r="Z77" s="61">
        <f t="shared" ref="Z77:Z82" si="93">Y77+(0.05*Y77)</f>
        <v>0</v>
      </c>
    </row>
    <row r="78" spans="1:29" ht="17" x14ac:dyDescent="0.35">
      <c r="A78" s="6"/>
      <c r="B78" s="63" t="s">
        <v>56</v>
      </c>
      <c r="C78" s="49">
        <v>10000</v>
      </c>
      <c r="D78" s="34">
        <f t="shared" ref="D78:D83" si="94">0.1*C78</f>
        <v>1000</v>
      </c>
      <c r="E78" s="34">
        <f t="shared" ref="E78:E83" si="95">D78+C78</f>
        <v>11000</v>
      </c>
      <c r="F78" s="62">
        <v>1500</v>
      </c>
      <c r="G78" s="61">
        <f t="shared" si="83"/>
        <v>9500</v>
      </c>
      <c r="H78" s="61">
        <f>G78+(0.05*G78)</f>
        <v>9975</v>
      </c>
      <c r="I78" s="62">
        <v>1000</v>
      </c>
      <c r="J78" s="61">
        <f t="shared" ref="J78:J83" si="96">IF(I78&gt;0,H78-I78,0)</f>
        <v>8975</v>
      </c>
      <c r="K78" s="61">
        <f t="shared" si="84"/>
        <v>9423.75</v>
      </c>
      <c r="L78" s="62">
        <v>2000</v>
      </c>
      <c r="M78" s="61">
        <f t="shared" si="85"/>
        <v>7423.75</v>
      </c>
      <c r="N78" s="61">
        <f t="shared" si="86"/>
        <v>7794.9375</v>
      </c>
      <c r="O78" s="62">
        <v>500</v>
      </c>
      <c r="P78" s="61">
        <f t="shared" si="87"/>
        <v>7294.9375</v>
      </c>
      <c r="Q78" s="61">
        <f t="shared" si="88"/>
        <v>7659.6843749999998</v>
      </c>
      <c r="R78" s="62"/>
      <c r="S78" s="61">
        <f t="shared" si="89"/>
        <v>7659.6843749999998</v>
      </c>
      <c r="T78" s="61">
        <f t="shared" ref="T78:T84" si="97">S78</f>
        <v>7659.6843749999998</v>
      </c>
      <c r="U78" s="62"/>
      <c r="V78" s="61">
        <f t="shared" si="90"/>
        <v>0</v>
      </c>
      <c r="W78" s="61">
        <f t="shared" si="91"/>
        <v>0</v>
      </c>
      <c r="X78" s="62"/>
      <c r="Y78" s="61">
        <f t="shared" si="92"/>
        <v>0</v>
      </c>
      <c r="Z78" s="61">
        <f t="shared" si="93"/>
        <v>0</v>
      </c>
    </row>
    <row r="79" spans="1:29" ht="15.5" x14ac:dyDescent="0.35">
      <c r="A79" s="6"/>
      <c r="B79" s="103" t="s">
        <v>144</v>
      </c>
      <c r="C79" s="49">
        <v>40000</v>
      </c>
      <c r="D79" s="34">
        <f t="shared" si="94"/>
        <v>4000</v>
      </c>
      <c r="E79" s="34">
        <f t="shared" si="95"/>
        <v>44000</v>
      </c>
      <c r="F79" s="61">
        <v>5000</v>
      </c>
      <c r="G79" s="61">
        <f t="shared" si="83"/>
        <v>39000</v>
      </c>
      <c r="H79" s="61">
        <f>G79+(0.05*G79)</f>
        <v>40950</v>
      </c>
      <c r="I79" s="61">
        <v>12000</v>
      </c>
      <c r="J79" s="61">
        <f t="shared" si="96"/>
        <v>28950</v>
      </c>
      <c r="K79" s="61">
        <f t="shared" si="84"/>
        <v>30397.5</v>
      </c>
      <c r="L79" s="61">
        <v>10000</v>
      </c>
      <c r="M79" s="61">
        <f t="shared" si="85"/>
        <v>20397.5</v>
      </c>
      <c r="N79" s="61">
        <f t="shared" si="86"/>
        <v>21417.375</v>
      </c>
      <c r="O79" s="61">
        <v>10000</v>
      </c>
      <c r="P79" s="61">
        <f t="shared" si="87"/>
        <v>11417.375</v>
      </c>
      <c r="Q79" s="61">
        <f t="shared" si="88"/>
        <v>11988.24375</v>
      </c>
      <c r="R79" s="61"/>
      <c r="S79" s="61">
        <f t="shared" si="89"/>
        <v>11988.24375</v>
      </c>
      <c r="T79" s="61">
        <f t="shared" si="97"/>
        <v>11988.24375</v>
      </c>
      <c r="U79" s="61"/>
      <c r="V79" s="61">
        <f t="shared" si="90"/>
        <v>0</v>
      </c>
      <c r="W79" s="61">
        <f t="shared" si="91"/>
        <v>0</v>
      </c>
      <c r="X79" s="61"/>
      <c r="Y79" s="61">
        <f t="shared" si="92"/>
        <v>0</v>
      </c>
      <c r="Z79" s="61">
        <f t="shared" si="93"/>
        <v>0</v>
      </c>
    </row>
    <row r="80" spans="1:29" ht="15.5" x14ac:dyDescent="0.35">
      <c r="A80" s="6"/>
      <c r="B80" s="103" t="s">
        <v>50</v>
      </c>
      <c r="C80" s="49">
        <v>6000</v>
      </c>
      <c r="D80" s="34">
        <f t="shared" si="94"/>
        <v>600</v>
      </c>
      <c r="E80" s="34">
        <f t="shared" si="95"/>
        <v>6600</v>
      </c>
      <c r="F80" s="61">
        <v>1000</v>
      </c>
      <c r="G80" s="61">
        <f t="shared" si="83"/>
        <v>5600</v>
      </c>
      <c r="H80" s="61">
        <f>G80+(0.05*G80)</f>
        <v>5880</v>
      </c>
      <c r="I80" s="61">
        <v>1000</v>
      </c>
      <c r="J80" s="61">
        <f t="shared" si="96"/>
        <v>4880</v>
      </c>
      <c r="K80" s="61">
        <f t="shared" si="84"/>
        <v>5124</v>
      </c>
      <c r="L80" s="61">
        <v>650</v>
      </c>
      <c r="M80" s="61">
        <f t="shared" si="85"/>
        <v>4474</v>
      </c>
      <c r="N80" s="61">
        <f t="shared" si="86"/>
        <v>4697.7</v>
      </c>
      <c r="O80" s="61">
        <v>1000</v>
      </c>
      <c r="P80" s="61">
        <f t="shared" si="87"/>
        <v>3697.7</v>
      </c>
      <c r="Q80" s="61">
        <f t="shared" si="88"/>
        <v>3882.585</v>
      </c>
      <c r="R80" s="61"/>
      <c r="S80" s="61">
        <f t="shared" si="89"/>
        <v>3882.585</v>
      </c>
      <c r="T80" s="61">
        <f t="shared" si="97"/>
        <v>3882.585</v>
      </c>
      <c r="U80" s="61"/>
      <c r="V80" s="61">
        <f t="shared" si="90"/>
        <v>0</v>
      </c>
      <c r="W80" s="61">
        <f t="shared" si="91"/>
        <v>0</v>
      </c>
      <c r="X80" s="61"/>
      <c r="Y80" s="61">
        <f t="shared" si="92"/>
        <v>0</v>
      </c>
      <c r="Z80" s="61">
        <f t="shared" si="93"/>
        <v>0</v>
      </c>
    </row>
    <row r="81" spans="1:26" ht="15.5" x14ac:dyDescent="0.35">
      <c r="A81" s="6"/>
      <c r="B81" s="103" t="s">
        <v>20</v>
      </c>
      <c r="C81" s="49">
        <v>5000</v>
      </c>
      <c r="D81" s="34">
        <f t="shared" si="94"/>
        <v>500</v>
      </c>
      <c r="E81" s="34">
        <f t="shared" si="95"/>
        <v>5500</v>
      </c>
      <c r="F81" s="8">
        <v>1000</v>
      </c>
      <c r="G81" s="61">
        <f t="shared" si="83"/>
        <v>4500</v>
      </c>
      <c r="H81" s="61">
        <f>G81+(0.05*G81)</f>
        <v>4725</v>
      </c>
      <c r="I81" s="8">
        <v>1300</v>
      </c>
      <c r="J81" s="61">
        <f t="shared" si="96"/>
        <v>3425</v>
      </c>
      <c r="K81" s="61">
        <f t="shared" si="84"/>
        <v>3596.25</v>
      </c>
      <c r="L81" s="8">
        <v>2000</v>
      </c>
      <c r="M81" s="61">
        <f t="shared" si="85"/>
        <v>1596.25</v>
      </c>
      <c r="N81" s="61">
        <f t="shared" si="86"/>
        <v>1676.0625</v>
      </c>
      <c r="O81" s="8">
        <v>1000</v>
      </c>
      <c r="P81" s="61">
        <f t="shared" si="87"/>
        <v>676.0625</v>
      </c>
      <c r="Q81" s="61">
        <f t="shared" si="88"/>
        <v>709.86562500000002</v>
      </c>
      <c r="R81" s="8"/>
      <c r="S81" s="61">
        <f t="shared" si="89"/>
        <v>709.86562500000002</v>
      </c>
      <c r="T81" s="61">
        <f t="shared" si="97"/>
        <v>709.86562500000002</v>
      </c>
      <c r="U81" s="8"/>
      <c r="V81" s="61">
        <f t="shared" si="90"/>
        <v>0</v>
      </c>
      <c r="W81" s="61">
        <f t="shared" si="91"/>
        <v>0</v>
      </c>
      <c r="X81" s="8"/>
      <c r="Y81" s="61">
        <f t="shared" si="92"/>
        <v>0</v>
      </c>
      <c r="Z81" s="61">
        <f t="shared" si="93"/>
        <v>0</v>
      </c>
    </row>
    <row r="82" spans="1:26" ht="15.5" x14ac:dyDescent="0.35">
      <c r="A82" s="6"/>
      <c r="B82" s="103" t="s">
        <v>28</v>
      </c>
      <c r="C82" s="34">
        <v>2500</v>
      </c>
      <c r="D82" s="34">
        <f t="shared" si="94"/>
        <v>250</v>
      </c>
      <c r="E82" s="34">
        <f t="shared" si="95"/>
        <v>2750</v>
      </c>
      <c r="F82" s="8">
        <v>2750</v>
      </c>
      <c r="G82" s="422" t="s">
        <v>130</v>
      </c>
      <c r="H82" s="423"/>
      <c r="I82" s="8"/>
      <c r="J82" s="61">
        <f t="shared" si="96"/>
        <v>0</v>
      </c>
      <c r="K82" s="61">
        <f t="shared" si="84"/>
        <v>0</v>
      </c>
      <c r="L82" s="8"/>
      <c r="M82" s="61">
        <f t="shared" si="85"/>
        <v>0</v>
      </c>
      <c r="N82" s="61">
        <f t="shared" si="86"/>
        <v>0</v>
      </c>
      <c r="O82" s="8"/>
      <c r="P82" s="61">
        <f t="shared" si="87"/>
        <v>0</v>
      </c>
      <c r="Q82" s="61">
        <f t="shared" si="88"/>
        <v>0</v>
      </c>
      <c r="R82" s="8"/>
      <c r="S82" s="61">
        <f t="shared" si="89"/>
        <v>0</v>
      </c>
      <c r="T82" s="61">
        <f t="shared" si="97"/>
        <v>0</v>
      </c>
      <c r="U82" s="8"/>
      <c r="V82" s="61">
        <f t="shared" si="90"/>
        <v>0</v>
      </c>
      <c r="W82" s="61">
        <f t="shared" si="91"/>
        <v>0</v>
      </c>
      <c r="X82" s="8"/>
      <c r="Y82" s="61">
        <f t="shared" si="92"/>
        <v>0</v>
      </c>
      <c r="Z82" s="61">
        <f t="shared" si="93"/>
        <v>0</v>
      </c>
    </row>
    <row r="83" spans="1:26" ht="15.5" x14ac:dyDescent="0.35">
      <c r="A83" s="6"/>
      <c r="B83" s="103" t="s">
        <v>136</v>
      </c>
      <c r="C83" s="34">
        <v>6000</v>
      </c>
      <c r="D83" s="34">
        <f t="shared" si="94"/>
        <v>600</v>
      </c>
      <c r="E83" s="34">
        <f t="shared" si="95"/>
        <v>6600</v>
      </c>
      <c r="F83" s="8">
        <v>2000</v>
      </c>
      <c r="G83" s="61">
        <f t="shared" si="83"/>
        <v>4600</v>
      </c>
      <c r="H83" s="61">
        <f>G83+(0.05*G83)</f>
        <v>4830</v>
      </c>
      <c r="I83" s="8">
        <v>2000</v>
      </c>
      <c r="J83" s="61">
        <f t="shared" si="96"/>
        <v>2830</v>
      </c>
      <c r="K83" s="61">
        <f t="shared" si="84"/>
        <v>2971.5</v>
      </c>
      <c r="L83" s="8">
        <v>2972</v>
      </c>
      <c r="M83" s="422" t="s">
        <v>130</v>
      </c>
      <c r="N83" s="423"/>
      <c r="O83" s="8"/>
      <c r="P83" s="61">
        <f t="shared" si="87"/>
        <v>0</v>
      </c>
      <c r="Q83" s="61">
        <f t="shared" si="88"/>
        <v>0</v>
      </c>
      <c r="R83" s="8"/>
      <c r="S83" s="61">
        <f t="shared" si="89"/>
        <v>0</v>
      </c>
      <c r="T83" s="61">
        <f t="shared" si="97"/>
        <v>0</v>
      </c>
      <c r="U83" s="8"/>
      <c r="V83" s="61"/>
      <c r="W83" s="61"/>
      <c r="X83" s="8"/>
      <c r="Y83" s="61"/>
      <c r="Z83" s="61"/>
    </row>
    <row r="84" spans="1:26" ht="15.5" x14ac:dyDescent="0.35">
      <c r="A84" s="6"/>
      <c r="B84" s="103" t="s">
        <v>31</v>
      </c>
      <c r="C84" s="34">
        <v>11895.18</v>
      </c>
      <c r="D84" s="34">
        <f>0.1*C84</f>
        <v>1189.518</v>
      </c>
      <c r="E84" s="34">
        <f>D84+C84</f>
        <v>13084.698</v>
      </c>
      <c r="F84" s="8">
        <v>2500</v>
      </c>
      <c r="G84" s="61">
        <f t="shared" si="83"/>
        <v>10584.698</v>
      </c>
      <c r="H84" s="61">
        <f>G84+(0.05*G84)</f>
        <v>11113.9329</v>
      </c>
      <c r="I84" s="8">
        <v>1000</v>
      </c>
      <c r="J84" s="61">
        <f>IF(I84&gt;0,H84-I84,0)</f>
        <v>10113.9329</v>
      </c>
      <c r="K84" s="61">
        <f t="shared" si="84"/>
        <v>10619.629545</v>
      </c>
      <c r="L84" s="8">
        <v>1500</v>
      </c>
      <c r="M84" s="61">
        <f>IF(L84&gt;0,K84-L84,0)</f>
        <v>9119.6295449999998</v>
      </c>
      <c r="N84" s="61">
        <f t="shared" si="86"/>
        <v>9575.6110222499992</v>
      </c>
      <c r="O84" s="8">
        <v>1200</v>
      </c>
      <c r="P84" s="61">
        <f t="shared" si="87"/>
        <v>8375.6110222499992</v>
      </c>
      <c r="Q84" s="61">
        <f t="shared" si="88"/>
        <v>8794.3915733624999</v>
      </c>
      <c r="R84" s="8"/>
      <c r="S84" s="61">
        <f t="shared" si="89"/>
        <v>8794.3915733624999</v>
      </c>
      <c r="T84" s="61">
        <f t="shared" si="97"/>
        <v>8794.3915733624999</v>
      </c>
      <c r="U84" s="8"/>
      <c r="V84" s="61"/>
      <c r="W84" s="61"/>
      <c r="X84" s="8"/>
      <c r="Y84" s="61"/>
      <c r="Z84" s="61"/>
    </row>
    <row r="85" spans="1:26" ht="15.5" x14ac:dyDescent="0.35">
      <c r="A85" s="424" t="s">
        <v>71</v>
      </c>
      <c r="B85" s="425"/>
      <c r="C85" s="80">
        <f t="shared" ref="C85:Z85" si="98">SUM(C77:C84)</f>
        <v>93395.18</v>
      </c>
      <c r="D85" s="80">
        <f t="shared" si="98"/>
        <v>9339.518</v>
      </c>
      <c r="E85" s="80">
        <f t="shared" si="98"/>
        <v>102734.698</v>
      </c>
      <c r="F85" s="80">
        <f t="shared" si="98"/>
        <v>17550</v>
      </c>
      <c r="G85" s="80">
        <f t="shared" si="98"/>
        <v>85184.698000000004</v>
      </c>
      <c r="H85" s="80">
        <f t="shared" si="98"/>
        <v>89443.9329</v>
      </c>
      <c r="I85" s="80">
        <f t="shared" si="98"/>
        <v>19900</v>
      </c>
      <c r="J85" s="80">
        <f t="shared" si="98"/>
        <v>69543.9329</v>
      </c>
      <c r="K85" s="80">
        <f t="shared" si="98"/>
        <v>73021.129545000003</v>
      </c>
      <c r="L85" s="80">
        <f t="shared" si="98"/>
        <v>20122</v>
      </c>
      <c r="M85" s="80">
        <f t="shared" si="98"/>
        <v>52899.629545000003</v>
      </c>
      <c r="N85" s="80">
        <f t="shared" si="98"/>
        <v>55544.611022249999</v>
      </c>
      <c r="O85" s="80">
        <f t="shared" si="98"/>
        <v>14500</v>
      </c>
      <c r="P85" s="80">
        <f t="shared" si="98"/>
        <v>41044.611022249999</v>
      </c>
      <c r="Q85" s="80">
        <f t="shared" si="98"/>
        <v>43096.841573362501</v>
      </c>
      <c r="R85" s="80">
        <f t="shared" si="98"/>
        <v>0</v>
      </c>
      <c r="S85" s="80">
        <f t="shared" si="98"/>
        <v>43096.841573362501</v>
      </c>
      <c r="T85" s="80">
        <f t="shared" si="98"/>
        <v>43096.841573362501</v>
      </c>
      <c r="U85" s="80">
        <f t="shared" si="98"/>
        <v>0</v>
      </c>
      <c r="V85" s="80">
        <f t="shared" si="98"/>
        <v>0</v>
      </c>
      <c r="W85" s="80">
        <f t="shared" si="98"/>
        <v>0</v>
      </c>
      <c r="X85" s="80">
        <f t="shared" si="98"/>
        <v>0</v>
      </c>
      <c r="Y85" s="80">
        <f t="shared" si="98"/>
        <v>0</v>
      </c>
      <c r="Z85" s="80">
        <f t="shared" si="98"/>
        <v>0</v>
      </c>
    </row>
    <row r="89" spans="1:26" ht="15.5" x14ac:dyDescent="0.35">
      <c r="A89" s="426" t="s">
        <v>145</v>
      </c>
      <c r="B89" s="427"/>
      <c r="C89" s="427"/>
      <c r="D89" s="427"/>
      <c r="E89" s="428"/>
      <c r="F89" s="92" t="s">
        <v>123</v>
      </c>
      <c r="G89" s="92"/>
      <c r="H89" s="92"/>
      <c r="I89" s="92" t="s">
        <v>80</v>
      </c>
      <c r="J89" s="92"/>
      <c r="K89" s="92"/>
      <c r="L89" s="92" t="s">
        <v>81</v>
      </c>
      <c r="M89" s="92"/>
      <c r="N89" s="92"/>
      <c r="O89" s="431" t="s">
        <v>82</v>
      </c>
      <c r="P89" s="432"/>
      <c r="Q89" s="433"/>
      <c r="R89" s="429" t="s">
        <v>83</v>
      </c>
      <c r="S89" s="429"/>
      <c r="T89" s="429"/>
      <c r="U89" s="429" t="s">
        <v>83</v>
      </c>
      <c r="V89" s="429"/>
      <c r="W89" s="429"/>
    </row>
    <row r="90" spans="1:26" ht="46.5" x14ac:dyDescent="0.35">
      <c r="A90" s="9" t="s">
        <v>11</v>
      </c>
      <c r="B90" s="9" t="s">
        <v>12</v>
      </c>
      <c r="C90" s="9" t="s">
        <v>124</v>
      </c>
      <c r="D90" s="9" t="s">
        <v>125</v>
      </c>
      <c r="E90" s="9" t="s">
        <v>126</v>
      </c>
      <c r="F90" s="60" t="s">
        <v>127</v>
      </c>
      <c r="G90" s="60" t="s">
        <v>128</v>
      </c>
      <c r="H90" s="60" t="s">
        <v>129</v>
      </c>
      <c r="I90" s="60" t="s">
        <v>127</v>
      </c>
      <c r="J90" s="60" t="s">
        <v>128</v>
      </c>
      <c r="K90" s="60" t="s">
        <v>129</v>
      </c>
      <c r="L90" s="60" t="s">
        <v>127</v>
      </c>
      <c r="M90" s="60" t="s">
        <v>128</v>
      </c>
      <c r="N90" s="60" t="s">
        <v>129</v>
      </c>
      <c r="O90" s="60" t="s">
        <v>127</v>
      </c>
      <c r="P90" s="60" t="s">
        <v>128</v>
      </c>
      <c r="Q90" s="60" t="s">
        <v>129</v>
      </c>
      <c r="R90" s="60" t="s">
        <v>127</v>
      </c>
      <c r="S90" s="60" t="s">
        <v>128</v>
      </c>
      <c r="T90" s="60" t="s">
        <v>129</v>
      </c>
      <c r="U90" s="60" t="s">
        <v>127</v>
      </c>
      <c r="V90" s="60" t="s">
        <v>128</v>
      </c>
      <c r="W90" s="60" t="s">
        <v>129</v>
      </c>
    </row>
    <row r="91" spans="1:26" ht="15.5" x14ac:dyDescent="0.35">
      <c r="A91" s="6"/>
      <c r="B91" s="98" t="s">
        <v>52</v>
      </c>
      <c r="C91" s="49">
        <v>24000</v>
      </c>
      <c r="D91" s="34">
        <f t="shared" ref="D91:D100" si="99">0.1*C91</f>
        <v>2400</v>
      </c>
      <c r="E91" s="34">
        <f>D91+C91</f>
        <v>26400</v>
      </c>
      <c r="F91" s="61">
        <v>15000</v>
      </c>
      <c r="G91" s="61">
        <f t="shared" ref="G91:G100" si="100">IF(F91&gt;0,E91-F91,0)</f>
        <v>11400</v>
      </c>
      <c r="H91" s="61">
        <f t="shared" ref="H91:H100" si="101">G91+(0.05*G91)</f>
        <v>11970</v>
      </c>
      <c r="I91" s="61">
        <v>1000</v>
      </c>
      <c r="J91" s="61">
        <f>IF(I91&gt;0,H91-I91,0)</f>
        <v>10970</v>
      </c>
      <c r="K91" s="61">
        <f t="shared" ref="K91:K100" si="102">J91+(0.05*J91)</f>
        <v>11518.5</v>
      </c>
      <c r="L91" s="61">
        <v>1500</v>
      </c>
      <c r="M91" s="61">
        <f t="shared" ref="M91:M100" si="103">K91-L91</f>
        <v>10018.5</v>
      </c>
      <c r="N91" s="61">
        <f t="shared" ref="N91:N100" si="104">M91+(0.05*M91)</f>
        <v>10519.424999999999</v>
      </c>
      <c r="O91" s="61"/>
      <c r="P91" s="61">
        <f t="shared" ref="P91:P100" si="105">N91-O91</f>
        <v>10519.424999999999</v>
      </c>
      <c r="Q91" s="61">
        <f>P91</f>
        <v>10519.424999999999</v>
      </c>
      <c r="R91" s="61"/>
      <c r="S91" s="61">
        <f t="shared" ref="S91:S100" si="106">IF(R91&gt;0,Q91-R91,0)</f>
        <v>0</v>
      </c>
      <c r="T91" s="61">
        <f t="shared" ref="T91:T100" si="107">S91+(0.05*S91)</f>
        <v>0</v>
      </c>
      <c r="U91" s="61"/>
      <c r="V91" s="61">
        <f t="shared" ref="V91:V100" si="108">IF(U91&gt;0,T91-U91,0)</f>
        <v>0</v>
      </c>
      <c r="W91" s="61">
        <f t="shared" ref="W91:W100" si="109">V91+(0.05*V91)</f>
        <v>0</v>
      </c>
    </row>
    <row r="92" spans="1:26" ht="15.5" x14ac:dyDescent="0.35">
      <c r="A92" s="6"/>
      <c r="B92" s="7" t="s">
        <v>146</v>
      </c>
      <c r="C92" s="49">
        <v>6000</v>
      </c>
      <c r="D92" s="34">
        <f t="shared" si="99"/>
        <v>600</v>
      </c>
      <c r="E92" s="34">
        <f t="shared" ref="E92:E100" si="110">D92+C92</f>
        <v>6600</v>
      </c>
      <c r="F92" s="62">
        <v>1400</v>
      </c>
      <c r="G92" s="61">
        <f t="shared" si="100"/>
        <v>5200</v>
      </c>
      <c r="H92" s="61">
        <f t="shared" si="101"/>
        <v>5460</v>
      </c>
      <c r="I92" s="62">
        <v>1000</v>
      </c>
      <c r="J92" s="61">
        <f t="shared" ref="J92:J100" si="111">IF(I92&gt;0,H92-I92,0)</f>
        <v>4460</v>
      </c>
      <c r="K92" s="61">
        <f t="shared" si="102"/>
        <v>4683</v>
      </c>
      <c r="L92" s="62">
        <v>1000</v>
      </c>
      <c r="M92" s="61">
        <f t="shared" si="103"/>
        <v>3683</v>
      </c>
      <c r="N92" s="61">
        <f t="shared" si="104"/>
        <v>3867.15</v>
      </c>
      <c r="O92" s="62"/>
      <c r="P92" s="61">
        <f t="shared" si="105"/>
        <v>3867.15</v>
      </c>
      <c r="Q92" s="61">
        <f t="shared" ref="Q92:Q100" si="112">P92</f>
        <v>3867.15</v>
      </c>
      <c r="R92" s="62"/>
      <c r="S92" s="61">
        <f t="shared" si="106"/>
        <v>0</v>
      </c>
      <c r="T92" s="61">
        <f t="shared" si="107"/>
        <v>0</v>
      </c>
      <c r="U92" s="62"/>
      <c r="V92" s="61">
        <f t="shared" si="108"/>
        <v>0</v>
      </c>
      <c r="W92" s="61">
        <f t="shared" si="109"/>
        <v>0</v>
      </c>
    </row>
    <row r="93" spans="1:26" ht="15.5" x14ac:dyDescent="0.35">
      <c r="A93" s="6"/>
      <c r="B93" s="7" t="s">
        <v>32</v>
      </c>
      <c r="C93" s="49">
        <v>5800</v>
      </c>
      <c r="D93" s="34">
        <f t="shared" si="99"/>
        <v>580</v>
      </c>
      <c r="E93" s="34">
        <f t="shared" si="110"/>
        <v>6380</v>
      </c>
      <c r="F93" s="61">
        <v>600</v>
      </c>
      <c r="G93" s="61">
        <f t="shared" si="100"/>
        <v>5780</v>
      </c>
      <c r="H93" s="61">
        <f t="shared" si="101"/>
        <v>6069</v>
      </c>
      <c r="I93" s="61">
        <v>2000</v>
      </c>
      <c r="J93" s="61">
        <f t="shared" si="111"/>
        <v>4069</v>
      </c>
      <c r="K93" s="61">
        <f t="shared" si="102"/>
        <v>4272.45</v>
      </c>
      <c r="L93" s="61">
        <v>900</v>
      </c>
      <c r="M93" s="61">
        <f t="shared" si="103"/>
        <v>3372.45</v>
      </c>
      <c r="N93" s="61">
        <f t="shared" si="104"/>
        <v>3541.0724999999998</v>
      </c>
      <c r="O93" s="61"/>
      <c r="P93" s="61">
        <f t="shared" si="105"/>
        <v>3541.0724999999998</v>
      </c>
      <c r="Q93" s="61">
        <f t="shared" si="112"/>
        <v>3541.0724999999998</v>
      </c>
      <c r="R93" s="61"/>
      <c r="S93" s="61">
        <f t="shared" si="106"/>
        <v>0</v>
      </c>
      <c r="T93" s="61">
        <f t="shared" si="107"/>
        <v>0</v>
      </c>
      <c r="U93" s="61"/>
      <c r="V93" s="61">
        <f t="shared" si="108"/>
        <v>0</v>
      </c>
      <c r="W93" s="61">
        <f t="shared" si="109"/>
        <v>0</v>
      </c>
    </row>
    <row r="94" spans="1:26" ht="15.5" x14ac:dyDescent="0.35">
      <c r="A94" s="6"/>
      <c r="B94" s="7" t="s">
        <v>55</v>
      </c>
      <c r="C94" s="49">
        <v>9000</v>
      </c>
      <c r="D94" s="34">
        <f t="shared" si="99"/>
        <v>900</v>
      </c>
      <c r="E94" s="34">
        <f t="shared" si="110"/>
        <v>9900</v>
      </c>
      <c r="F94" s="61">
        <v>3100</v>
      </c>
      <c r="G94" s="61">
        <f t="shared" si="100"/>
        <v>6800</v>
      </c>
      <c r="H94" s="61">
        <f t="shared" si="101"/>
        <v>7140</v>
      </c>
      <c r="I94" s="61">
        <v>3300</v>
      </c>
      <c r="J94" s="61">
        <f t="shared" si="111"/>
        <v>3840</v>
      </c>
      <c r="K94" s="61">
        <f t="shared" si="102"/>
        <v>4032</v>
      </c>
      <c r="L94" s="61">
        <v>1000</v>
      </c>
      <c r="M94" s="61">
        <f t="shared" si="103"/>
        <v>3032</v>
      </c>
      <c r="N94" s="61">
        <f t="shared" si="104"/>
        <v>3183.6</v>
      </c>
      <c r="O94" s="61"/>
      <c r="P94" s="61">
        <f t="shared" si="105"/>
        <v>3183.6</v>
      </c>
      <c r="Q94" s="61">
        <f t="shared" si="112"/>
        <v>3183.6</v>
      </c>
      <c r="R94" s="61"/>
      <c r="S94" s="61">
        <f t="shared" si="106"/>
        <v>0</v>
      </c>
      <c r="T94" s="61">
        <f t="shared" si="107"/>
        <v>0</v>
      </c>
      <c r="U94" s="61"/>
      <c r="V94" s="61">
        <f t="shared" si="108"/>
        <v>0</v>
      </c>
      <c r="W94" s="61">
        <f t="shared" si="109"/>
        <v>0</v>
      </c>
    </row>
    <row r="95" spans="1:26" ht="15.5" x14ac:dyDescent="0.35">
      <c r="A95" s="6"/>
      <c r="B95" s="7" t="s">
        <v>28</v>
      </c>
      <c r="C95" s="49">
        <v>5000</v>
      </c>
      <c r="D95" s="34">
        <f t="shared" si="99"/>
        <v>500</v>
      </c>
      <c r="E95" s="34">
        <f t="shared" si="110"/>
        <v>5500</v>
      </c>
      <c r="F95" s="8">
        <v>1800</v>
      </c>
      <c r="G95" s="61">
        <f t="shared" si="100"/>
        <v>3700</v>
      </c>
      <c r="H95" s="61">
        <f t="shared" si="101"/>
        <v>3885</v>
      </c>
      <c r="I95" s="8">
        <v>1200</v>
      </c>
      <c r="J95" s="61">
        <f t="shared" si="111"/>
        <v>2685</v>
      </c>
      <c r="K95" s="61">
        <f t="shared" si="102"/>
        <v>2819.25</v>
      </c>
      <c r="L95" s="8">
        <v>1200</v>
      </c>
      <c r="M95" s="61">
        <f t="shared" si="103"/>
        <v>1619.25</v>
      </c>
      <c r="N95" s="61">
        <f t="shared" si="104"/>
        <v>1700.2125000000001</v>
      </c>
      <c r="O95" s="8"/>
      <c r="P95" s="61">
        <f t="shared" si="105"/>
        <v>1700.2125000000001</v>
      </c>
      <c r="Q95" s="61">
        <f t="shared" si="112"/>
        <v>1700.2125000000001</v>
      </c>
      <c r="R95" s="8"/>
      <c r="S95" s="61">
        <f t="shared" si="106"/>
        <v>0</v>
      </c>
      <c r="T95" s="61">
        <f t="shared" si="107"/>
        <v>0</v>
      </c>
      <c r="U95" s="8"/>
      <c r="V95" s="61">
        <f t="shared" si="108"/>
        <v>0</v>
      </c>
      <c r="W95" s="61">
        <f t="shared" si="109"/>
        <v>0</v>
      </c>
    </row>
    <row r="96" spans="1:26" ht="15.5" x14ac:dyDescent="0.35">
      <c r="A96" s="6"/>
      <c r="B96" s="7" t="s">
        <v>135</v>
      </c>
      <c r="C96" s="49">
        <v>5000</v>
      </c>
      <c r="D96" s="34">
        <f t="shared" si="99"/>
        <v>500</v>
      </c>
      <c r="E96" s="34">
        <f t="shared" si="110"/>
        <v>5500</v>
      </c>
      <c r="F96" s="8">
        <v>2000</v>
      </c>
      <c r="G96" s="61">
        <f t="shared" si="100"/>
        <v>3500</v>
      </c>
      <c r="H96" s="61">
        <f t="shared" si="101"/>
        <v>3675</v>
      </c>
      <c r="I96" s="8">
        <v>1200</v>
      </c>
      <c r="J96" s="61">
        <f t="shared" si="111"/>
        <v>2475</v>
      </c>
      <c r="K96" s="61">
        <f t="shared" si="102"/>
        <v>2598.75</v>
      </c>
      <c r="L96" s="8">
        <v>1300</v>
      </c>
      <c r="M96" s="61">
        <f t="shared" si="103"/>
        <v>1298.75</v>
      </c>
      <c r="N96" s="61">
        <f t="shared" si="104"/>
        <v>1363.6875</v>
      </c>
      <c r="O96" s="8"/>
      <c r="P96" s="61">
        <f t="shared" si="105"/>
        <v>1363.6875</v>
      </c>
      <c r="Q96" s="61">
        <f t="shared" si="112"/>
        <v>1363.6875</v>
      </c>
      <c r="R96" s="8"/>
      <c r="S96" s="61"/>
      <c r="T96" s="61"/>
      <c r="U96" s="8"/>
      <c r="V96" s="61"/>
      <c r="W96" s="61"/>
    </row>
    <row r="97" spans="1:23" ht="15.5" x14ac:dyDescent="0.35">
      <c r="A97" s="6"/>
      <c r="B97" s="7" t="s">
        <v>50</v>
      </c>
      <c r="C97" s="49">
        <v>6000</v>
      </c>
      <c r="D97" s="34">
        <f t="shared" si="99"/>
        <v>600</v>
      </c>
      <c r="E97" s="34">
        <f t="shared" si="110"/>
        <v>6600</v>
      </c>
      <c r="F97" s="8">
        <v>1000</v>
      </c>
      <c r="G97" s="61">
        <f t="shared" si="100"/>
        <v>5600</v>
      </c>
      <c r="H97" s="61">
        <f t="shared" si="101"/>
        <v>5880</v>
      </c>
      <c r="I97" s="8">
        <v>650</v>
      </c>
      <c r="J97" s="61">
        <f t="shared" si="111"/>
        <v>5230</v>
      </c>
      <c r="K97" s="61">
        <f t="shared" si="102"/>
        <v>5491.5</v>
      </c>
      <c r="L97" s="8">
        <v>500</v>
      </c>
      <c r="M97" s="61">
        <f t="shared" si="103"/>
        <v>4991.5</v>
      </c>
      <c r="N97" s="61">
        <f t="shared" si="104"/>
        <v>5241.0749999999998</v>
      </c>
      <c r="O97" s="8"/>
      <c r="P97" s="61">
        <f t="shared" si="105"/>
        <v>5241.0749999999998</v>
      </c>
      <c r="Q97" s="61">
        <f t="shared" si="112"/>
        <v>5241.0749999999998</v>
      </c>
      <c r="R97" s="8"/>
      <c r="S97" s="61"/>
      <c r="T97" s="61"/>
      <c r="U97" s="8"/>
      <c r="V97" s="61"/>
      <c r="W97" s="61"/>
    </row>
    <row r="98" spans="1:23" ht="15.5" x14ac:dyDescent="0.35">
      <c r="A98" s="6"/>
      <c r="B98" s="7" t="s">
        <v>31</v>
      </c>
      <c r="C98" s="49">
        <v>8000</v>
      </c>
      <c r="D98" s="34">
        <f t="shared" si="99"/>
        <v>800</v>
      </c>
      <c r="E98" s="34">
        <f t="shared" si="110"/>
        <v>8800</v>
      </c>
      <c r="F98" s="8">
        <v>1000</v>
      </c>
      <c r="G98" s="61">
        <f t="shared" si="100"/>
        <v>7800</v>
      </c>
      <c r="H98" s="61">
        <f t="shared" si="101"/>
        <v>8190</v>
      </c>
      <c r="I98" s="8">
        <v>1500</v>
      </c>
      <c r="J98" s="61">
        <f t="shared" si="111"/>
        <v>6690</v>
      </c>
      <c r="K98" s="61">
        <f t="shared" si="102"/>
        <v>7024.5</v>
      </c>
      <c r="L98" s="8">
        <v>1000</v>
      </c>
      <c r="M98" s="61">
        <f t="shared" si="103"/>
        <v>6024.5</v>
      </c>
      <c r="N98" s="61">
        <f t="shared" si="104"/>
        <v>6325.7250000000004</v>
      </c>
      <c r="O98" s="8"/>
      <c r="P98" s="61">
        <f t="shared" si="105"/>
        <v>6325.7250000000004</v>
      </c>
      <c r="Q98" s="61">
        <f t="shared" si="112"/>
        <v>6325.7250000000004</v>
      </c>
      <c r="R98" s="8"/>
      <c r="S98" s="61"/>
      <c r="T98" s="61"/>
      <c r="U98" s="8"/>
      <c r="V98" s="61"/>
      <c r="W98" s="61"/>
    </row>
    <row r="99" spans="1:23" ht="15.5" x14ac:dyDescent="0.35">
      <c r="A99" s="6"/>
      <c r="B99" s="7" t="s">
        <v>26</v>
      </c>
      <c r="C99" s="49">
        <v>10000</v>
      </c>
      <c r="D99" s="34">
        <f t="shared" si="99"/>
        <v>1000</v>
      </c>
      <c r="E99" s="34">
        <f t="shared" si="110"/>
        <v>11000</v>
      </c>
      <c r="F99" s="8">
        <v>2000</v>
      </c>
      <c r="G99" s="61">
        <f t="shared" si="100"/>
        <v>9000</v>
      </c>
      <c r="H99" s="61">
        <f t="shared" si="101"/>
        <v>9450</v>
      </c>
      <c r="I99" s="8">
        <v>1450</v>
      </c>
      <c r="J99" s="61">
        <f t="shared" si="111"/>
        <v>8000</v>
      </c>
      <c r="K99" s="61">
        <f t="shared" si="102"/>
        <v>8400</v>
      </c>
      <c r="L99" s="8">
        <v>2400</v>
      </c>
      <c r="M99" s="61">
        <f t="shared" si="103"/>
        <v>6000</v>
      </c>
      <c r="N99" s="61">
        <f t="shared" si="104"/>
        <v>6300</v>
      </c>
      <c r="O99" s="8"/>
      <c r="P99" s="61">
        <f t="shared" si="105"/>
        <v>6300</v>
      </c>
      <c r="Q99" s="61">
        <f t="shared" si="112"/>
        <v>6300</v>
      </c>
      <c r="R99" s="8"/>
      <c r="S99" s="61"/>
      <c r="T99" s="61"/>
      <c r="U99" s="8"/>
      <c r="V99" s="61"/>
      <c r="W99" s="61"/>
    </row>
    <row r="100" spans="1:23" ht="15.5" x14ac:dyDescent="0.35">
      <c r="A100" s="6"/>
      <c r="B100" s="7" t="s">
        <v>38</v>
      </c>
      <c r="C100" s="34">
        <v>5678.09</v>
      </c>
      <c r="D100" s="34">
        <f t="shared" si="99"/>
        <v>567.80900000000008</v>
      </c>
      <c r="E100" s="34">
        <f t="shared" si="110"/>
        <v>6245.8990000000003</v>
      </c>
      <c r="F100" s="8">
        <v>500</v>
      </c>
      <c r="G100" s="61">
        <f t="shared" si="100"/>
        <v>5745.8990000000003</v>
      </c>
      <c r="H100" s="61">
        <f t="shared" si="101"/>
        <v>6033.1939500000008</v>
      </c>
      <c r="I100" s="8">
        <v>1000</v>
      </c>
      <c r="J100" s="61">
        <f t="shared" si="111"/>
        <v>5033.1939500000008</v>
      </c>
      <c r="K100" s="61">
        <f t="shared" si="102"/>
        <v>5284.853647500001</v>
      </c>
      <c r="L100" s="8">
        <v>500</v>
      </c>
      <c r="M100" s="61">
        <f t="shared" si="103"/>
        <v>4784.853647500001</v>
      </c>
      <c r="N100" s="61">
        <f t="shared" si="104"/>
        <v>5024.0963298750012</v>
      </c>
      <c r="O100" s="8"/>
      <c r="P100" s="61">
        <f t="shared" si="105"/>
        <v>5024.0963298750012</v>
      </c>
      <c r="Q100" s="61">
        <f t="shared" si="112"/>
        <v>5024.0963298750012</v>
      </c>
      <c r="R100" s="8"/>
      <c r="S100" s="61">
        <f t="shared" si="106"/>
        <v>0</v>
      </c>
      <c r="T100" s="61">
        <f t="shared" si="107"/>
        <v>0</v>
      </c>
      <c r="U100" s="8"/>
      <c r="V100" s="61">
        <f t="shared" si="108"/>
        <v>0</v>
      </c>
      <c r="W100" s="61">
        <f t="shared" si="109"/>
        <v>0</v>
      </c>
    </row>
    <row r="101" spans="1:23" ht="15.5" x14ac:dyDescent="0.35">
      <c r="A101" s="424" t="s">
        <v>71</v>
      </c>
      <c r="B101" s="425"/>
      <c r="C101" s="80">
        <f t="shared" ref="C101:W101" si="113">SUM(C91:C100)</f>
        <v>84478.09</v>
      </c>
      <c r="D101" s="80">
        <f t="shared" si="113"/>
        <v>8447.8089999999993</v>
      </c>
      <c r="E101" s="80">
        <f t="shared" si="113"/>
        <v>92925.899000000005</v>
      </c>
      <c r="F101" s="80">
        <f t="shared" si="113"/>
        <v>28400</v>
      </c>
      <c r="G101" s="80">
        <f t="shared" si="113"/>
        <v>64525.898999999998</v>
      </c>
      <c r="H101" s="80">
        <f t="shared" si="113"/>
        <v>67752.193950000001</v>
      </c>
      <c r="I101" s="80">
        <f t="shared" si="113"/>
        <v>14300</v>
      </c>
      <c r="J101" s="80">
        <f t="shared" si="113"/>
        <v>53452.193950000001</v>
      </c>
      <c r="K101" s="80">
        <f t="shared" si="113"/>
        <v>56124.803647499997</v>
      </c>
      <c r="L101" s="80">
        <f t="shared" si="113"/>
        <v>11300</v>
      </c>
      <c r="M101" s="80">
        <f t="shared" si="113"/>
        <v>44824.803647499997</v>
      </c>
      <c r="N101" s="80">
        <f t="shared" si="113"/>
        <v>47066.043829875001</v>
      </c>
      <c r="O101" s="80">
        <f t="shared" si="113"/>
        <v>0</v>
      </c>
      <c r="P101" s="80">
        <f t="shared" si="113"/>
        <v>47066.043829875001</v>
      </c>
      <c r="Q101" s="80">
        <f t="shared" si="113"/>
        <v>47066.043829875001</v>
      </c>
      <c r="R101" s="80">
        <f t="shared" si="113"/>
        <v>0</v>
      </c>
      <c r="S101" s="80">
        <f t="shared" si="113"/>
        <v>0</v>
      </c>
      <c r="T101" s="80">
        <f t="shared" si="113"/>
        <v>0</v>
      </c>
      <c r="U101" s="80">
        <f t="shared" si="113"/>
        <v>0</v>
      </c>
      <c r="V101" s="80">
        <f t="shared" si="113"/>
        <v>0</v>
      </c>
      <c r="W101" s="80">
        <f t="shared" si="113"/>
        <v>0</v>
      </c>
    </row>
    <row r="105" spans="1:23" ht="15.5" x14ac:dyDescent="0.35">
      <c r="A105" s="426" t="s">
        <v>147</v>
      </c>
      <c r="B105" s="427"/>
      <c r="C105" s="427"/>
      <c r="D105" s="427"/>
      <c r="E105" s="428"/>
      <c r="F105" s="92" t="s">
        <v>80</v>
      </c>
      <c r="G105" s="92"/>
      <c r="H105" s="92"/>
      <c r="I105" s="92" t="s">
        <v>81</v>
      </c>
      <c r="J105" s="92"/>
      <c r="K105" s="92"/>
      <c r="L105" s="431" t="s">
        <v>82</v>
      </c>
      <c r="M105" s="432"/>
      <c r="N105" s="433"/>
      <c r="O105" s="429" t="s">
        <v>83</v>
      </c>
      <c r="P105" s="429"/>
      <c r="Q105" s="429"/>
      <c r="R105" s="429" t="s">
        <v>83</v>
      </c>
      <c r="S105" s="429"/>
      <c r="T105" s="429"/>
    </row>
    <row r="106" spans="1:23" ht="46.5" x14ac:dyDescent="0.35">
      <c r="A106" s="9" t="s">
        <v>11</v>
      </c>
      <c r="B106" s="9" t="s">
        <v>12</v>
      </c>
      <c r="C106" s="9" t="s">
        <v>124</v>
      </c>
      <c r="D106" s="9" t="s">
        <v>125</v>
      </c>
      <c r="E106" s="9" t="s">
        <v>126</v>
      </c>
      <c r="F106" s="60" t="s">
        <v>127</v>
      </c>
      <c r="G106" s="60" t="s">
        <v>128</v>
      </c>
      <c r="H106" s="60" t="s">
        <v>129</v>
      </c>
      <c r="I106" s="60" t="s">
        <v>127</v>
      </c>
      <c r="J106" s="60" t="s">
        <v>128</v>
      </c>
      <c r="K106" s="60" t="s">
        <v>129</v>
      </c>
      <c r="L106" s="60" t="s">
        <v>127</v>
      </c>
      <c r="M106" s="60" t="s">
        <v>128</v>
      </c>
      <c r="N106" s="60" t="s">
        <v>129</v>
      </c>
      <c r="O106" s="60" t="s">
        <v>127</v>
      </c>
      <c r="P106" s="60" t="s">
        <v>128</v>
      </c>
      <c r="Q106" s="60" t="s">
        <v>129</v>
      </c>
      <c r="R106" s="60" t="s">
        <v>127</v>
      </c>
      <c r="S106" s="60" t="s">
        <v>128</v>
      </c>
      <c r="T106" s="60" t="s">
        <v>129</v>
      </c>
    </row>
    <row r="107" spans="1:23" ht="15.5" x14ac:dyDescent="0.35">
      <c r="A107" s="6"/>
      <c r="B107" s="98" t="s">
        <v>131</v>
      </c>
      <c r="C107" s="49">
        <v>13000</v>
      </c>
      <c r="D107" s="34">
        <f t="shared" ref="D107:D113" si="114">0.1*C107</f>
        <v>1300</v>
      </c>
      <c r="E107" s="34">
        <f>D107+C107</f>
        <v>14300</v>
      </c>
      <c r="F107" s="61">
        <v>1000</v>
      </c>
      <c r="G107" s="61">
        <f t="shared" ref="G107:G113" si="115">IF(F107&gt;0,E107-F107,0)</f>
        <v>13300</v>
      </c>
      <c r="H107" s="61">
        <f t="shared" ref="H107:H113" si="116">G107+(0.05*G107)</f>
        <v>13965</v>
      </c>
      <c r="I107" s="61">
        <v>1500</v>
      </c>
      <c r="J107" s="61">
        <f t="shared" ref="J107:J113" si="117">H107-I107</f>
        <v>12465</v>
      </c>
      <c r="K107" s="61">
        <f t="shared" ref="K107:K113" si="118">J107+(0.05*J107)</f>
        <v>13088.25</v>
      </c>
      <c r="L107" s="61"/>
      <c r="M107" s="61">
        <f t="shared" ref="M107:M113" si="119">K107-L107</f>
        <v>13088.25</v>
      </c>
      <c r="N107" s="61">
        <f>M107</f>
        <v>13088.25</v>
      </c>
      <c r="O107" s="61"/>
      <c r="P107" s="61">
        <f>IF(O107&gt;0,N107-O107,0)</f>
        <v>0</v>
      </c>
      <c r="Q107" s="61">
        <f>P107+(0.05*P107)</f>
        <v>0</v>
      </c>
      <c r="R107" s="61"/>
      <c r="S107" s="61">
        <f>IF(R107&gt;0,Q107-R107,0)</f>
        <v>0</v>
      </c>
      <c r="T107" s="61">
        <f>S107+(0.05*S107)</f>
        <v>0</v>
      </c>
    </row>
    <row r="108" spans="1:23" ht="15.5" x14ac:dyDescent="0.35">
      <c r="A108" s="6"/>
      <c r="B108" s="7" t="s">
        <v>59</v>
      </c>
      <c r="C108" s="49">
        <v>20000</v>
      </c>
      <c r="D108" s="34">
        <f t="shared" si="114"/>
        <v>2000</v>
      </c>
      <c r="E108" s="34">
        <f t="shared" ref="E108:E113" si="120">D108+C108</f>
        <v>22000</v>
      </c>
      <c r="F108" s="62">
        <v>4000</v>
      </c>
      <c r="G108" s="61">
        <f t="shared" si="115"/>
        <v>18000</v>
      </c>
      <c r="H108" s="61">
        <f t="shared" si="116"/>
        <v>18900</v>
      </c>
      <c r="I108" s="62">
        <v>18000</v>
      </c>
      <c r="J108" s="61">
        <f t="shared" si="117"/>
        <v>900</v>
      </c>
      <c r="K108" s="61">
        <f t="shared" si="118"/>
        <v>945</v>
      </c>
      <c r="L108" s="62"/>
      <c r="M108" s="61">
        <f t="shared" si="119"/>
        <v>945</v>
      </c>
      <c r="N108" s="61">
        <f t="shared" ref="N108:N113" si="121">M108</f>
        <v>945</v>
      </c>
      <c r="O108" s="62"/>
      <c r="P108" s="61">
        <f>IF(O108&gt;0,N108-O108,0)</f>
        <v>0</v>
      </c>
      <c r="Q108" s="61">
        <f>P108+(0.05*P108)</f>
        <v>0</v>
      </c>
      <c r="R108" s="62"/>
      <c r="S108" s="61">
        <f>IF(R108&gt;0,Q108-R108,0)</f>
        <v>0</v>
      </c>
      <c r="T108" s="61">
        <f>S108+(0.05*S108)</f>
        <v>0</v>
      </c>
    </row>
    <row r="109" spans="1:23" ht="15.5" x14ac:dyDescent="0.35">
      <c r="A109" s="6"/>
      <c r="B109" s="7" t="s">
        <v>148</v>
      </c>
      <c r="C109" s="49">
        <v>15000</v>
      </c>
      <c r="D109" s="34">
        <f t="shared" si="114"/>
        <v>1500</v>
      </c>
      <c r="E109" s="34">
        <f t="shared" si="120"/>
        <v>16500</v>
      </c>
      <c r="F109" s="61">
        <v>3500</v>
      </c>
      <c r="G109" s="61">
        <f t="shared" si="115"/>
        <v>13000</v>
      </c>
      <c r="H109" s="61">
        <f t="shared" si="116"/>
        <v>13650</v>
      </c>
      <c r="I109" s="61">
        <v>2500</v>
      </c>
      <c r="J109" s="61">
        <f t="shared" si="117"/>
        <v>11150</v>
      </c>
      <c r="K109" s="61">
        <f t="shared" si="118"/>
        <v>11707.5</v>
      </c>
      <c r="L109" s="61"/>
      <c r="M109" s="61">
        <f t="shared" si="119"/>
        <v>11707.5</v>
      </c>
      <c r="N109" s="61">
        <f t="shared" si="121"/>
        <v>11707.5</v>
      </c>
      <c r="O109" s="61"/>
      <c r="P109" s="61">
        <f>IF(O109&gt;0,N109-O109,0)</f>
        <v>0</v>
      </c>
      <c r="Q109" s="61">
        <f>P109+(0.05*P109)</f>
        <v>0</v>
      </c>
      <c r="R109" s="61"/>
      <c r="S109" s="61">
        <f>IF(R109&gt;0,Q109-R109,0)</f>
        <v>0</v>
      </c>
      <c r="T109" s="61">
        <f>S109+(0.05*S109)</f>
        <v>0</v>
      </c>
    </row>
    <row r="110" spans="1:23" ht="15.5" x14ac:dyDescent="0.35">
      <c r="A110" s="6"/>
      <c r="B110" s="7" t="s">
        <v>21</v>
      </c>
      <c r="C110" s="49">
        <v>40000</v>
      </c>
      <c r="D110" s="34">
        <f t="shared" si="114"/>
        <v>4000</v>
      </c>
      <c r="E110" s="34">
        <f t="shared" si="120"/>
        <v>44000</v>
      </c>
      <c r="F110" s="61">
        <v>1000</v>
      </c>
      <c r="G110" s="61">
        <f>IF(F110&gt;0,E110-F110,0)</f>
        <v>43000</v>
      </c>
      <c r="H110" s="61">
        <f t="shared" si="116"/>
        <v>45150</v>
      </c>
      <c r="I110" s="61">
        <v>3500</v>
      </c>
      <c r="J110" s="61">
        <f t="shared" si="117"/>
        <v>41650</v>
      </c>
      <c r="K110" s="61">
        <f t="shared" si="118"/>
        <v>43732.5</v>
      </c>
      <c r="L110" s="61"/>
      <c r="M110" s="61">
        <f t="shared" si="119"/>
        <v>43732.5</v>
      </c>
      <c r="N110" s="61">
        <f t="shared" si="121"/>
        <v>43732.5</v>
      </c>
      <c r="O110" s="61"/>
      <c r="P110" s="61">
        <f>IF(O110&gt;0,N110-O110,0)</f>
        <v>0</v>
      </c>
      <c r="Q110" s="61">
        <f>P110+(0.05*P110)</f>
        <v>0</v>
      </c>
      <c r="R110" s="61"/>
      <c r="S110" s="61">
        <f>IF(R110&gt;0,Q110-R110,0)</f>
        <v>0</v>
      </c>
      <c r="T110" s="61">
        <f>S110+(0.05*S110)</f>
        <v>0</v>
      </c>
    </row>
    <row r="111" spans="1:23" ht="15.5" x14ac:dyDescent="0.35">
      <c r="A111" s="6"/>
      <c r="B111" s="7" t="s">
        <v>149</v>
      </c>
      <c r="C111" s="49">
        <v>15000</v>
      </c>
      <c r="D111" s="34">
        <f t="shared" si="114"/>
        <v>1500</v>
      </c>
      <c r="E111" s="34">
        <f t="shared" si="120"/>
        <v>16500</v>
      </c>
      <c r="F111" s="8">
        <v>2000</v>
      </c>
      <c r="G111" s="61">
        <f t="shared" si="115"/>
        <v>14500</v>
      </c>
      <c r="H111" s="61">
        <f t="shared" si="116"/>
        <v>15225</v>
      </c>
      <c r="I111" s="8">
        <v>3000</v>
      </c>
      <c r="J111" s="61">
        <f t="shared" si="117"/>
        <v>12225</v>
      </c>
      <c r="K111" s="61">
        <f t="shared" si="118"/>
        <v>12836.25</v>
      </c>
      <c r="L111" s="8"/>
      <c r="M111" s="61">
        <f t="shared" si="119"/>
        <v>12836.25</v>
      </c>
      <c r="N111" s="61">
        <f t="shared" si="121"/>
        <v>12836.25</v>
      </c>
      <c r="O111" s="8"/>
      <c r="P111" s="61">
        <f>IF(O111&gt;0,N111-O111,0)</f>
        <v>0</v>
      </c>
      <c r="Q111" s="61">
        <f>P111+(0.05*P111)</f>
        <v>0</v>
      </c>
      <c r="R111" s="8"/>
      <c r="S111" s="61">
        <f>IF(R111&gt;0,Q111-R111,0)</f>
        <v>0</v>
      </c>
      <c r="T111" s="61">
        <f>S111+(0.05*S111)</f>
        <v>0</v>
      </c>
    </row>
    <row r="112" spans="1:23" ht="15.5" x14ac:dyDescent="0.35">
      <c r="A112" s="6"/>
      <c r="B112" s="7" t="s">
        <v>50</v>
      </c>
      <c r="C112" s="49">
        <v>10000</v>
      </c>
      <c r="D112" s="34">
        <f t="shared" si="114"/>
        <v>1000</v>
      </c>
      <c r="E112" s="34">
        <f t="shared" si="120"/>
        <v>11000</v>
      </c>
      <c r="F112" s="8">
        <v>1000</v>
      </c>
      <c r="G112" s="61">
        <f t="shared" si="115"/>
        <v>10000</v>
      </c>
      <c r="H112" s="61">
        <f t="shared" si="116"/>
        <v>10500</v>
      </c>
      <c r="I112" s="8">
        <v>500</v>
      </c>
      <c r="J112" s="61">
        <f t="shared" si="117"/>
        <v>10000</v>
      </c>
      <c r="K112" s="61">
        <f t="shared" si="118"/>
        <v>10500</v>
      </c>
      <c r="L112" s="8"/>
      <c r="M112" s="61">
        <f t="shared" si="119"/>
        <v>10500</v>
      </c>
      <c r="N112" s="61">
        <f t="shared" si="121"/>
        <v>10500</v>
      </c>
      <c r="O112" s="8"/>
      <c r="P112" s="61"/>
      <c r="Q112" s="61"/>
      <c r="R112" s="8"/>
      <c r="S112" s="61"/>
      <c r="T112" s="61"/>
    </row>
    <row r="113" spans="1:20" ht="15.5" x14ac:dyDescent="0.35">
      <c r="A113" s="6"/>
      <c r="B113" s="7" t="s">
        <v>36</v>
      </c>
      <c r="C113" s="49">
        <v>13569.5</v>
      </c>
      <c r="D113" s="34">
        <f t="shared" si="114"/>
        <v>1356.95</v>
      </c>
      <c r="E113" s="34">
        <f t="shared" si="120"/>
        <v>14926.45</v>
      </c>
      <c r="F113" s="8">
        <v>2000</v>
      </c>
      <c r="G113" s="61">
        <f t="shared" si="115"/>
        <v>12926.45</v>
      </c>
      <c r="H113" s="61">
        <f t="shared" si="116"/>
        <v>13572.772500000001</v>
      </c>
      <c r="I113" s="8">
        <v>3000</v>
      </c>
      <c r="J113" s="61">
        <f t="shared" si="117"/>
        <v>10572.772500000001</v>
      </c>
      <c r="K113" s="61">
        <f t="shared" si="118"/>
        <v>11101.411125000001</v>
      </c>
      <c r="L113" s="8"/>
      <c r="M113" s="61">
        <f t="shared" si="119"/>
        <v>11101.411125000001</v>
      </c>
      <c r="N113" s="61">
        <f t="shared" si="121"/>
        <v>11101.411125000001</v>
      </c>
      <c r="O113" s="8"/>
      <c r="P113" s="61"/>
      <c r="Q113" s="61"/>
      <c r="R113" s="8"/>
      <c r="S113" s="61"/>
      <c r="T113" s="61"/>
    </row>
    <row r="114" spans="1:20" ht="15.5" x14ac:dyDescent="0.35">
      <c r="A114" s="424" t="s">
        <v>71</v>
      </c>
      <c r="B114" s="425"/>
      <c r="C114" s="80">
        <f t="shared" ref="C114:T114" si="122">SUM(C107:C113)</f>
        <v>126569.5</v>
      </c>
      <c r="D114" s="80">
        <f t="shared" si="122"/>
        <v>12656.95</v>
      </c>
      <c r="E114" s="80">
        <f t="shared" si="122"/>
        <v>139226.45000000001</v>
      </c>
      <c r="F114" s="80">
        <f t="shared" si="122"/>
        <v>14500</v>
      </c>
      <c r="G114" s="80">
        <f t="shared" si="122"/>
        <v>124726.45</v>
      </c>
      <c r="H114" s="80">
        <f t="shared" si="122"/>
        <v>130962.77250000001</v>
      </c>
      <c r="I114" s="80">
        <f t="shared" si="122"/>
        <v>32000</v>
      </c>
      <c r="J114" s="80">
        <f t="shared" si="122"/>
        <v>98962.772500000006</v>
      </c>
      <c r="K114" s="80">
        <f t="shared" si="122"/>
        <v>103910.911125</v>
      </c>
      <c r="L114" s="80">
        <f t="shared" si="122"/>
        <v>0</v>
      </c>
      <c r="M114" s="80">
        <f t="shared" si="122"/>
        <v>103910.911125</v>
      </c>
      <c r="N114" s="80">
        <f t="shared" si="122"/>
        <v>103910.911125</v>
      </c>
      <c r="O114" s="80">
        <f t="shared" si="122"/>
        <v>0</v>
      </c>
      <c r="P114" s="80">
        <f t="shared" si="122"/>
        <v>0</v>
      </c>
      <c r="Q114" s="80">
        <f t="shared" si="122"/>
        <v>0</v>
      </c>
      <c r="R114" s="80">
        <f t="shared" si="122"/>
        <v>0</v>
      </c>
      <c r="S114" s="80">
        <f t="shared" si="122"/>
        <v>0</v>
      </c>
      <c r="T114" s="80">
        <f t="shared" si="122"/>
        <v>0</v>
      </c>
    </row>
    <row r="117" spans="1:20" ht="15.5" x14ac:dyDescent="0.35">
      <c r="A117" s="426" t="s">
        <v>150</v>
      </c>
      <c r="B117" s="427"/>
      <c r="C117" s="427"/>
      <c r="D117" s="427"/>
      <c r="E117" s="428"/>
      <c r="F117" s="92" t="s">
        <v>81</v>
      </c>
      <c r="G117" s="92"/>
      <c r="H117" s="92"/>
      <c r="I117" s="431" t="s">
        <v>82</v>
      </c>
      <c r="J117" s="432"/>
      <c r="K117" s="433"/>
      <c r="L117" s="429" t="s">
        <v>83</v>
      </c>
      <c r="M117" s="429"/>
      <c r="N117" s="429"/>
      <c r="O117" s="429" t="s">
        <v>83</v>
      </c>
      <c r="P117" s="429"/>
      <c r="Q117" s="429"/>
    </row>
    <row r="118" spans="1:20" ht="31" x14ac:dyDescent="0.35">
      <c r="A118" s="9" t="s">
        <v>11</v>
      </c>
      <c r="B118" s="9" t="s">
        <v>12</v>
      </c>
      <c r="C118" s="9" t="s">
        <v>124</v>
      </c>
      <c r="D118" s="9" t="s">
        <v>125</v>
      </c>
      <c r="E118" s="9" t="s">
        <v>126</v>
      </c>
      <c r="F118" s="60" t="s">
        <v>127</v>
      </c>
      <c r="G118" s="60" t="s">
        <v>128</v>
      </c>
      <c r="H118" s="60" t="s">
        <v>129</v>
      </c>
      <c r="I118" s="60" t="s">
        <v>127</v>
      </c>
      <c r="J118" s="60" t="s">
        <v>128</v>
      </c>
      <c r="K118" s="60" t="s">
        <v>129</v>
      </c>
      <c r="L118" s="60" t="s">
        <v>127</v>
      </c>
      <c r="M118" s="60" t="s">
        <v>128</v>
      </c>
      <c r="N118" s="60" t="s">
        <v>129</v>
      </c>
      <c r="O118" s="60" t="s">
        <v>127</v>
      </c>
      <c r="P118" s="60" t="s">
        <v>128</v>
      </c>
      <c r="Q118" s="60" t="s">
        <v>129</v>
      </c>
    </row>
    <row r="119" spans="1:20" ht="15.5" x14ac:dyDescent="0.35">
      <c r="A119" s="6"/>
      <c r="B119" s="98" t="s">
        <v>151</v>
      </c>
      <c r="C119" s="49">
        <v>6940</v>
      </c>
      <c r="D119" s="34">
        <f t="shared" ref="D119:D127" si="123">0.1*C119</f>
        <v>694</v>
      </c>
      <c r="E119" s="34">
        <f>D119+C119</f>
        <v>7634</v>
      </c>
      <c r="F119" s="61">
        <v>1000</v>
      </c>
      <c r="G119" s="61">
        <f t="shared" ref="G119:G126" si="124">E119-F119</f>
        <v>6634</v>
      </c>
      <c r="H119" s="61">
        <f t="shared" ref="H119:H126" si="125">G119+(0.05*G119)</f>
        <v>6965.7</v>
      </c>
      <c r="I119" s="61"/>
      <c r="J119" s="61">
        <f t="shared" ref="J119:J127" si="126">H119-I119</f>
        <v>6965.7</v>
      </c>
      <c r="K119" s="61">
        <f>J119</f>
        <v>6965.7</v>
      </c>
      <c r="L119" s="61"/>
      <c r="M119" s="61">
        <f>IF(L119&gt;0,K119-L119,0)</f>
        <v>0</v>
      </c>
      <c r="N119" s="61">
        <f>M119+(0.05*M119)</f>
        <v>0</v>
      </c>
      <c r="O119" s="61"/>
      <c r="P119" s="61">
        <f>IF(O119&gt;0,N119-O119,0)</f>
        <v>0</v>
      </c>
      <c r="Q119" s="61">
        <f>P119+(0.05*P119)</f>
        <v>0</v>
      </c>
    </row>
    <row r="120" spans="1:20" ht="15.5" x14ac:dyDescent="0.35">
      <c r="A120" s="6"/>
      <c r="B120" s="7" t="s">
        <v>20</v>
      </c>
      <c r="C120" s="49">
        <v>10000</v>
      </c>
      <c r="D120" s="34">
        <f t="shared" si="123"/>
        <v>1000</v>
      </c>
      <c r="E120" s="34">
        <f t="shared" ref="E120:E127" si="127">D120+C120</f>
        <v>11000</v>
      </c>
      <c r="F120" s="62">
        <v>1000</v>
      </c>
      <c r="G120" s="61">
        <f t="shared" si="124"/>
        <v>10000</v>
      </c>
      <c r="H120" s="61">
        <f t="shared" si="125"/>
        <v>10500</v>
      </c>
      <c r="I120" s="62"/>
      <c r="J120" s="61">
        <f t="shared" si="126"/>
        <v>10500</v>
      </c>
      <c r="K120" s="61">
        <f t="shared" ref="K120:K127" si="128">J120</f>
        <v>10500</v>
      </c>
      <c r="L120" s="62"/>
      <c r="M120" s="61">
        <f>IF(L120&gt;0,K120-L120,0)</f>
        <v>0</v>
      </c>
      <c r="N120" s="61">
        <f>M120+(0.05*M120)</f>
        <v>0</v>
      </c>
      <c r="O120" s="62"/>
      <c r="P120" s="61">
        <f>IF(O120&gt;0,N120-O120,0)</f>
        <v>0</v>
      </c>
      <c r="Q120" s="61">
        <f>P120+(0.05*P120)</f>
        <v>0</v>
      </c>
    </row>
    <row r="121" spans="1:20" ht="15.5" x14ac:dyDescent="0.35">
      <c r="A121" s="6"/>
      <c r="B121" s="7" t="s">
        <v>148</v>
      </c>
      <c r="C121" s="49">
        <v>10000</v>
      </c>
      <c r="D121" s="34">
        <f t="shared" si="123"/>
        <v>1000</v>
      </c>
      <c r="E121" s="34">
        <f t="shared" si="127"/>
        <v>11000</v>
      </c>
      <c r="F121" s="61">
        <v>4500</v>
      </c>
      <c r="G121" s="61">
        <f t="shared" si="124"/>
        <v>6500</v>
      </c>
      <c r="H121" s="61">
        <f t="shared" si="125"/>
        <v>6825</v>
      </c>
      <c r="I121" s="61"/>
      <c r="J121" s="61">
        <f t="shared" si="126"/>
        <v>6825</v>
      </c>
      <c r="K121" s="61">
        <f t="shared" si="128"/>
        <v>6825</v>
      </c>
      <c r="L121" s="61"/>
      <c r="M121" s="61">
        <f>IF(L121&gt;0,K121-L121,0)</f>
        <v>0</v>
      </c>
      <c r="N121" s="61">
        <f>M121+(0.05*M121)</f>
        <v>0</v>
      </c>
      <c r="O121" s="61"/>
      <c r="P121" s="61">
        <f>IF(O121&gt;0,N121-O121,0)</f>
        <v>0</v>
      </c>
      <c r="Q121" s="61">
        <f>P121+(0.05*P121)</f>
        <v>0</v>
      </c>
    </row>
    <row r="122" spans="1:20" ht="15.5" x14ac:dyDescent="0.35">
      <c r="A122" s="6"/>
      <c r="B122" s="7" t="s">
        <v>144</v>
      </c>
      <c r="C122" s="49">
        <v>40000</v>
      </c>
      <c r="D122" s="34">
        <f t="shared" si="123"/>
        <v>4000</v>
      </c>
      <c r="E122" s="34">
        <f t="shared" si="127"/>
        <v>44000</v>
      </c>
      <c r="F122" s="61">
        <v>10000</v>
      </c>
      <c r="G122" s="61">
        <f t="shared" si="124"/>
        <v>34000</v>
      </c>
      <c r="H122" s="61">
        <f t="shared" si="125"/>
        <v>35700</v>
      </c>
      <c r="I122" s="61"/>
      <c r="J122" s="61">
        <f t="shared" si="126"/>
        <v>35700</v>
      </c>
      <c r="K122" s="61">
        <f t="shared" si="128"/>
        <v>35700</v>
      </c>
      <c r="L122" s="61"/>
      <c r="M122" s="61">
        <f>IF(L122&gt;0,K122-L122,0)</f>
        <v>0</v>
      </c>
      <c r="N122" s="61">
        <f>M122+(0.05*M122)</f>
        <v>0</v>
      </c>
      <c r="O122" s="61"/>
      <c r="P122" s="61">
        <f>IF(O122&gt;0,N122-O122,0)</f>
        <v>0</v>
      </c>
      <c r="Q122" s="61">
        <f>P122+(0.05*P122)</f>
        <v>0</v>
      </c>
    </row>
    <row r="123" spans="1:20" ht="15.5" x14ac:dyDescent="0.35">
      <c r="A123" s="6"/>
      <c r="B123" s="7" t="s">
        <v>37</v>
      </c>
      <c r="C123" s="49">
        <v>5000</v>
      </c>
      <c r="D123" s="34">
        <f t="shared" si="123"/>
        <v>500</v>
      </c>
      <c r="E123" s="34">
        <f t="shared" si="127"/>
        <v>5500</v>
      </c>
      <c r="F123" s="8">
        <v>1000</v>
      </c>
      <c r="G123" s="61">
        <f t="shared" si="124"/>
        <v>4500</v>
      </c>
      <c r="H123" s="61">
        <f t="shared" si="125"/>
        <v>4725</v>
      </c>
      <c r="I123" s="8"/>
      <c r="J123" s="61">
        <f t="shared" si="126"/>
        <v>4725</v>
      </c>
      <c r="K123" s="61">
        <f t="shared" si="128"/>
        <v>4725</v>
      </c>
      <c r="L123" s="8"/>
      <c r="M123" s="61">
        <f>IF(L123&gt;0,K123-L123,0)</f>
        <v>0</v>
      </c>
      <c r="N123" s="61">
        <f>M123+(0.05*M123)</f>
        <v>0</v>
      </c>
      <c r="O123" s="8"/>
      <c r="P123" s="61">
        <f>IF(O123&gt;0,N123-O123,0)</f>
        <v>0</v>
      </c>
      <c r="Q123" s="61">
        <f>P123+(0.05*P123)</f>
        <v>0</v>
      </c>
    </row>
    <row r="124" spans="1:20" ht="15.5" x14ac:dyDescent="0.35">
      <c r="A124" s="6"/>
      <c r="B124" s="7" t="s">
        <v>149</v>
      </c>
      <c r="C124" s="49">
        <v>6500</v>
      </c>
      <c r="D124" s="34">
        <f t="shared" si="123"/>
        <v>650</v>
      </c>
      <c r="E124" s="34">
        <f t="shared" si="127"/>
        <v>7150</v>
      </c>
      <c r="F124" s="8">
        <v>1000</v>
      </c>
      <c r="G124" s="61">
        <f t="shared" si="124"/>
        <v>6150</v>
      </c>
      <c r="H124" s="61">
        <f t="shared" si="125"/>
        <v>6457.5</v>
      </c>
      <c r="I124" s="8"/>
      <c r="J124" s="61">
        <f t="shared" si="126"/>
        <v>6457.5</v>
      </c>
      <c r="K124" s="61">
        <f t="shared" si="128"/>
        <v>6457.5</v>
      </c>
      <c r="L124" s="8"/>
      <c r="M124" s="61"/>
      <c r="N124" s="61"/>
      <c r="O124" s="8"/>
      <c r="P124" s="61"/>
      <c r="Q124" s="61"/>
    </row>
    <row r="125" spans="1:20" ht="15.5" x14ac:dyDescent="0.35">
      <c r="A125" s="6"/>
      <c r="B125" s="7" t="s">
        <v>136</v>
      </c>
      <c r="C125" s="49">
        <v>5500</v>
      </c>
      <c r="D125" s="34">
        <f t="shared" si="123"/>
        <v>550</v>
      </c>
      <c r="E125" s="34">
        <f t="shared" si="127"/>
        <v>6050</v>
      </c>
      <c r="F125" s="8">
        <v>6050</v>
      </c>
      <c r="G125" s="422" t="s">
        <v>130</v>
      </c>
      <c r="H125" s="423"/>
      <c r="I125" s="8"/>
      <c r="J125" s="61">
        <f t="shared" si="126"/>
        <v>0</v>
      </c>
      <c r="K125" s="61">
        <f t="shared" si="128"/>
        <v>0</v>
      </c>
      <c r="L125" s="8"/>
      <c r="M125" s="61"/>
      <c r="N125" s="61"/>
      <c r="O125" s="8"/>
      <c r="P125" s="61"/>
      <c r="Q125" s="61"/>
    </row>
    <row r="126" spans="1:20" ht="15.5" x14ac:dyDescent="0.35">
      <c r="A126" s="6"/>
      <c r="B126" s="7" t="s">
        <v>52</v>
      </c>
      <c r="C126" s="49">
        <v>10000</v>
      </c>
      <c r="D126" s="34">
        <f t="shared" si="123"/>
        <v>1000</v>
      </c>
      <c r="E126" s="34">
        <f t="shared" si="127"/>
        <v>11000</v>
      </c>
      <c r="F126" s="8">
        <v>1000</v>
      </c>
      <c r="G126" s="61">
        <f t="shared" si="124"/>
        <v>10000</v>
      </c>
      <c r="H126" s="61">
        <f t="shared" si="125"/>
        <v>10500</v>
      </c>
      <c r="I126" s="8"/>
      <c r="J126" s="61">
        <f t="shared" si="126"/>
        <v>10500</v>
      </c>
      <c r="K126" s="61">
        <f t="shared" si="128"/>
        <v>10500</v>
      </c>
      <c r="L126" s="8"/>
      <c r="M126" s="61"/>
      <c r="N126" s="61"/>
      <c r="O126" s="8"/>
      <c r="P126" s="61"/>
      <c r="Q126" s="61"/>
    </row>
    <row r="127" spans="1:20" ht="15.5" x14ac:dyDescent="0.35">
      <c r="A127" s="6"/>
      <c r="B127" s="7" t="s">
        <v>39</v>
      </c>
      <c r="C127" s="49">
        <v>800</v>
      </c>
      <c r="D127" s="34">
        <f t="shared" si="123"/>
        <v>80</v>
      </c>
      <c r="E127" s="34">
        <f t="shared" si="127"/>
        <v>880</v>
      </c>
      <c r="F127" s="8">
        <v>880</v>
      </c>
      <c r="G127" s="422" t="s">
        <v>130</v>
      </c>
      <c r="H127" s="423"/>
      <c r="I127" s="8"/>
      <c r="J127" s="61">
        <f t="shared" si="126"/>
        <v>0</v>
      </c>
      <c r="K127" s="61">
        <f t="shared" si="128"/>
        <v>0</v>
      </c>
      <c r="L127" s="8"/>
      <c r="M127" s="61"/>
      <c r="N127" s="61"/>
      <c r="O127" s="8"/>
      <c r="P127" s="61"/>
      <c r="Q127" s="61"/>
    </row>
    <row r="128" spans="1:20" ht="15.5" x14ac:dyDescent="0.35">
      <c r="A128" s="424" t="s">
        <v>71</v>
      </c>
      <c r="B128" s="425"/>
      <c r="C128" s="80">
        <f t="shared" ref="C128:Q128" si="129">SUM(C119:C127)</f>
        <v>94740</v>
      </c>
      <c r="D128" s="80">
        <f t="shared" si="129"/>
        <v>9474</v>
      </c>
      <c r="E128" s="80">
        <f t="shared" si="129"/>
        <v>104214</v>
      </c>
      <c r="F128" s="80">
        <f t="shared" si="129"/>
        <v>26430</v>
      </c>
      <c r="G128" s="80">
        <f t="shared" si="129"/>
        <v>77784</v>
      </c>
      <c r="H128" s="80">
        <f t="shared" si="129"/>
        <v>81673.2</v>
      </c>
      <c r="I128" s="80">
        <f t="shared" si="129"/>
        <v>0</v>
      </c>
      <c r="J128" s="80">
        <f t="shared" si="129"/>
        <v>81673.2</v>
      </c>
      <c r="K128" s="80">
        <f t="shared" si="129"/>
        <v>81673.2</v>
      </c>
      <c r="L128" s="80">
        <f t="shared" si="129"/>
        <v>0</v>
      </c>
      <c r="M128" s="80">
        <f t="shared" si="129"/>
        <v>0</v>
      </c>
      <c r="N128" s="80">
        <f t="shared" si="129"/>
        <v>0</v>
      </c>
      <c r="O128" s="80">
        <f t="shared" si="129"/>
        <v>0</v>
      </c>
      <c r="P128" s="80">
        <f t="shared" si="129"/>
        <v>0</v>
      </c>
      <c r="Q128" s="80">
        <f t="shared" si="129"/>
        <v>0</v>
      </c>
    </row>
    <row r="131" spans="1:11" ht="15.5" x14ac:dyDescent="0.35">
      <c r="A131" s="426" t="s">
        <v>152</v>
      </c>
      <c r="B131" s="427"/>
      <c r="C131" s="427"/>
      <c r="D131" s="427"/>
      <c r="E131" s="428"/>
      <c r="F131" s="431" t="s">
        <v>82</v>
      </c>
      <c r="G131" s="432"/>
      <c r="H131" s="433"/>
      <c r="I131" s="429" t="s">
        <v>83</v>
      </c>
      <c r="J131" s="429"/>
      <c r="K131" s="429"/>
    </row>
    <row r="132" spans="1:11" ht="31" x14ac:dyDescent="0.35">
      <c r="A132" s="9" t="s">
        <v>11</v>
      </c>
      <c r="B132" s="9" t="s">
        <v>12</v>
      </c>
      <c r="C132" s="9" t="s">
        <v>124</v>
      </c>
      <c r="D132" s="9" t="s">
        <v>125</v>
      </c>
      <c r="E132" s="9" t="s">
        <v>126</v>
      </c>
      <c r="F132" s="60" t="s">
        <v>127</v>
      </c>
      <c r="G132" s="60" t="s">
        <v>128</v>
      </c>
      <c r="H132" s="60" t="s">
        <v>129</v>
      </c>
      <c r="I132" s="60" t="s">
        <v>127</v>
      </c>
      <c r="J132" s="60" t="s">
        <v>128</v>
      </c>
      <c r="K132" s="60" t="s">
        <v>129</v>
      </c>
    </row>
    <row r="133" spans="1:11" ht="15.5" x14ac:dyDescent="0.35">
      <c r="A133" s="6"/>
      <c r="B133" s="98" t="s">
        <v>28</v>
      </c>
      <c r="C133" s="49">
        <v>13000</v>
      </c>
      <c r="D133" s="34">
        <f t="shared" ref="D133:D141" si="130">0.1*C133</f>
        <v>1300</v>
      </c>
      <c r="E133" s="34">
        <f>D133+C133</f>
        <v>14300</v>
      </c>
      <c r="F133" s="61"/>
      <c r="G133" s="61">
        <f t="shared" ref="G133:G141" si="131">E133-F133</f>
        <v>14300</v>
      </c>
      <c r="H133" s="61">
        <f>G133</f>
        <v>14300</v>
      </c>
      <c r="I133" s="61"/>
      <c r="J133" s="61">
        <f>IF(I133&gt;0,H133-I133,0)</f>
        <v>0</v>
      </c>
      <c r="K133" s="61">
        <f>J133+(0.05*J133)</f>
        <v>0</v>
      </c>
    </row>
    <row r="134" spans="1:11" ht="15.5" x14ac:dyDescent="0.35">
      <c r="A134" s="6"/>
      <c r="B134" s="7" t="s">
        <v>19</v>
      </c>
      <c r="C134" s="49">
        <v>10000</v>
      </c>
      <c r="D134" s="34">
        <f t="shared" si="130"/>
        <v>1000</v>
      </c>
      <c r="E134" s="34">
        <f t="shared" ref="E134:E141" si="132">D134+C134</f>
        <v>11000</v>
      </c>
      <c r="F134" s="62"/>
      <c r="G134" s="61">
        <f t="shared" si="131"/>
        <v>11000</v>
      </c>
      <c r="H134" s="61">
        <f t="shared" ref="H134:H141" si="133">G134</f>
        <v>11000</v>
      </c>
      <c r="I134" s="62"/>
      <c r="J134" s="61">
        <f>IF(I134&gt;0,H134-I134,0)</f>
        <v>0</v>
      </c>
      <c r="K134" s="61">
        <f>J134+(0.05*J134)</f>
        <v>0</v>
      </c>
    </row>
    <row r="135" spans="1:11" ht="15.5" x14ac:dyDescent="0.35">
      <c r="A135" s="6"/>
      <c r="B135" s="7" t="s">
        <v>55</v>
      </c>
      <c r="C135" s="49">
        <v>3000</v>
      </c>
      <c r="D135" s="34">
        <f t="shared" si="130"/>
        <v>300</v>
      </c>
      <c r="E135" s="34">
        <f t="shared" si="132"/>
        <v>3300</v>
      </c>
      <c r="F135" s="61"/>
      <c r="G135" s="61">
        <f t="shared" si="131"/>
        <v>3300</v>
      </c>
      <c r="H135" s="61">
        <f t="shared" si="133"/>
        <v>3300</v>
      </c>
      <c r="I135" s="61"/>
      <c r="J135" s="61">
        <f>IF(I135&gt;0,H135-I135,0)</f>
        <v>0</v>
      </c>
      <c r="K135" s="61">
        <f>J135+(0.05*J135)</f>
        <v>0</v>
      </c>
    </row>
    <row r="136" spans="1:11" ht="15.5" x14ac:dyDescent="0.35">
      <c r="A136" s="6"/>
      <c r="B136" s="7" t="s">
        <v>23</v>
      </c>
      <c r="C136" s="49">
        <v>40000</v>
      </c>
      <c r="D136" s="34">
        <f t="shared" si="130"/>
        <v>4000</v>
      </c>
      <c r="E136" s="34">
        <f t="shared" si="132"/>
        <v>44000</v>
      </c>
      <c r="F136" s="61">
        <v>44000</v>
      </c>
      <c r="G136" s="61">
        <f t="shared" si="131"/>
        <v>0</v>
      </c>
      <c r="H136" s="61">
        <f t="shared" si="133"/>
        <v>0</v>
      </c>
      <c r="I136" s="61"/>
      <c r="J136" s="61">
        <f>IF(I136&gt;0,H136-I136,0)</f>
        <v>0</v>
      </c>
      <c r="K136" s="61">
        <f>J136+(0.05*J136)</f>
        <v>0</v>
      </c>
    </row>
    <row r="137" spans="1:11" ht="15.5" x14ac:dyDescent="0.35">
      <c r="A137" s="6"/>
      <c r="B137" s="7" t="s">
        <v>33</v>
      </c>
      <c r="C137" s="49">
        <v>30000</v>
      </c>
      <c r="D137" s="34">
        <f t="shared" si="130"/>
        <v>3000</v>
      </c>
      <c r="E137" s="34">
        <f t="shared" si="132"/>
        <v>33000</v>
      </c>
      <c r="F137" s="8">
        <v>30000</v>
      </c>
      <c r="G137" s="61">
        <f t="shared" si="131"/>
        <v>3000</v>
      </c>
      <c r="H137" s="61">
        <f t="shared" si="133"/>
        <v>3000</v>
      </c>
      <c r="I137" s="8"/>
      <c r="J137" s="61">
        <f>IF(I137&gt;0,H137-I137,0)</f>
        <v>0</v>
      </c>
      <c r="K137" s="61">
        <f>J137+(0.05*J137)</f>
        <v>0</v>
      </c>
    </row>
    <row r="138" spans="1:11" ht="15.5" x14ac:dyDescent="0.35">
      <c r="A138" s="6"/>
      <c r="B138" s="7" t="s">
        <v>52</v>
      </c>
      <c r="C138" s="49">
        <v>2700</v>
      </c>
      <c r="D138" s="34">
        <f t="shared" si="130"/>
        <v>270</v>
      </c>
      <c r="E138" s="34">
        <f t="shared" si="132"/>
        <v>2970</v>
      </c>
      <c r="F138" s="8"/>
      <c r="G138" s="61">
        <f t="shared" si="131"/>
        <v>2970</v>
      </c>
      <c r="H138" s="61">
        <f t="shared" si="133"/>
        <v>2970</v>
      </c>
      <c r="I138" s="8"/>
      <c r="J138" s="61"/>
      <c r="K138" s="61"/>
    </row>
    <row r="139" spans="1:11" ht="15.5" x14ac:dyDescent="0.35">
      <c r="A139" s="6"/>
      <c r="B139" s="7" t="s">
        <v>139</v>
      </c>
      <c r="C139" s="49">
        <v>4200</v>
      </c>
      <c r="D139" s="34">
        <f t="shared" si="130"/>
        <v>420</v>
      </c>
      <c r="E139" s="34">
        <f t="shared" si="132"/>
        <v>4620</v>
      </c>
      <c r="F139" s="8"/>
      <c r="G139" s="61">
        <f t="shared" si="131"/>
        <v>4620</v>
      </c>
      <c r="H139" s="61">
        <f t="shared" si="133"/>
        <v>4620</v>
      </c>
      <c r="I139" s="8"/>
      <c r="J139" s="61"/>
      <c r="K139" s="61"/>
    </row>
    <row r="140" spans="1:11" ht="15.5" x14ac:dyDescent="0.35">
      <c r="A140" s="6"/>
      <c r="B140" s="7" t="s">
        <v>132</v>
      </c>
      <c r="C140" s="49">
        <v>6000</v>
      </c>
      <c r="D140" s="34">
        <f t="shared" si="130"/>
        <v>600</v>
      </c>
      <c r="E140" s="34">
        <f t="shared" si="132"/>
        <v>6600</v>
      </c>
      <c r="F140" s="8"/>
      <c r="G140" s="61">
        <f t="shared" si="131"/>
        <v>6600</v>
      </c>
      <c r="H140" s="61">
        <f t="shared" si="133"/>
        <v>6600</v>
      </c>
      <c r="I140" s="8"/>
      <c r="J140" s="61"/>
      <c r="K140" s="61"/>
    </row>
    <row r="141" spans="1:11" ht="15.5" x14ac:dyDescent="0.35">
      <c r="A141" s="6"/>
      <c r="B141" s="7" t="s">
        <v>153</v>
      </c>
      <c r="C141" s="49">
        <v>21405.200000000012</v>
      </c>
      <c r="D141" s="34">
        <f t="shared" si="130"/>
        <v>2140.5200000000013</v>
      </c>
      <c r="E141" s="34">
        <f t="shared" si="132"/>
        <v>23545.720000000012</v>
      </c>
      <c r="F141" s="8"/>
      <c r="G141" s="61">
        <f t="shared" si="131"/>
        <v>23545.720000000012</v>
      </c>
      <c r="H141" s="61">
        <f t="shared" si="133"/>
        <v>23545.720000000012</v>
      </c>
      <c r="I141" s="8"/>
      <c r="J141" s="61"/>
      <c r="K141" s="61"/>
    </row>
    <row r="142" spans="1:11" ht="15.5" x14ac:dyDescent="0.35">
      <c r="A142" s="424" t="s">
        <v>71</v>
      </c>
      <c r="B142" s="425"/>
      <c r="C142" s="80">
        <f t="shared" ref="C142:K142" si="134">SUM(C133:C141)</f>
        <v>130305.20000000001</v>
      </c>
      <c r="D142" s="80">
        <f t="shared" si="134"/>
        <v>13030.52</v>
      </c>
      <c r="E142" s="80">
        <f t="shared" si="134"/>
        <v>143335.72</v>
      </c>
      <c r="F142" s="80">
        <f t="shared" si="134"/>
        <v>74000</v>
      </c>
      <c r="G142" s="80">
        <f t="shared" si="134"/>
        <v>69335.720000000016</v>
      </c>
      <c r="H142" s="80">
        <f t="shared" si="134"/>
        <v>69335.720000000016</v>
      </c>
      <c r="I142" s="80">
        <f t="shared" si="134"/>
        <v>0</v>
      </c>
      <c r="J142" s="80">
        <f t="shared" si="134"/>
        <v>0</v>
      </c>
      <c r="K142" s="80">
        <f t="shared" si="134"/>
        <v>0</v>
      </c>
    </row>
  </sheetData>
  <mergeCells count="108">
    <mergeCell ref="X47:Z47"/>
    <mergeCell ref="AA47:AC47"/>
    <mergeCell ref="U89:W89"/>
    <mergeCell ref="G20:H20"/>
    <mergeCell ref="A142:B142"/>
    <mergeCell ref="F131:H131"/>
    <mergeCell ref="I117:K117"/>
    <mergeCell ref="L105:N105"/>
    <mergeCell ref="O89:Q89"/>
    <mergeCell ref="A131:E131"/>
    <mergeCell ref="I131:K131"/>
    <mergeCell ref="A27:B27"/>
    <mergeCell ref="M40:N40"/>
    <mergeCell ref="A47:E47"/>
    <mergeCell ref="A56:B56"/>
    <mergeCell ref="F47:H47"/>
    <mergeCell ref="M51:N51"/>
    <mergeCell ref="AB14:AC14"/>
    <mergeCell ref="S66:T66"/>
    <mergeCell ref="S67:T67"/>
    <mergeCell ref="G127:H127"/>
    <mergeCell ref="G125:H125"/>
    <mergeCell ref="U75:W75"/>
    <mergeCell ref="X75:Z75"/>
    <mergeCell ref="X31:Z31"/>
    <mergeCell ref="X59:Z59"/>
    <mergeCell ref="P36:Q36"/>
    <mergeCell ref="P39:Q39"/>
    <mergeCell ref="V43:W43"/>
    <mergeCell ref="P65:Q65"/>
    <mergeCell ref="J41:K41"/>
    <mergeCell ref="J53:K53"/>
    <mergeCell ref="AA31:AC31"/>
    <mergeCell ref="AA59:AC59"/>
    <mergeCell ref="G82:H82"/>
    <mergeCell ref="P37:Q37"/>
    <mergeCell ref="P33:Q33"/>
    <mergeCell ref="M35:N35"/>
    <mergeCell ref="P69:Q69"/>
    <mergeCell ref="I47:K47"/>
    <mergeCell ref="L47:N47"/>
    <mergeCell ref="AD31:AF31"/>
    <mergeCell ref="I31:K31"/>
    <mergeCell ref="L31:N31"/>
    <mergeCell ref="O31:Q31"/>
    <mergeCell ref="R31:T31"/>
    <mergeCell ref="U31:W31"/>
    <mergeCell ref="M16:N16"/>
    <mergeCell ref="S24:T24"/>
    <mergeCell ref="J22:K22"/>
    <mergeCell ref="J23:K23"/>
    <mergeCell ref="J25:K25"/>
    <mergeCell ref="P26:Q26"/>
    <mergeCell ref="P21:Q21"/>
    <mergeCell ref="P18:Q18"/>
    <mergeCell ref="P19:Q19"/>
    <mergeCell ref="A1:E1"/>
    <mergeCell ref="F1:H1"/>
    <mergeCell ref="A11:E11"/>
    <mergeCell ref="F11:H11"/>
    <mergeCell ref="I1:K1"/>
    <mergeCell ref="I11:K11"/>
    <mergeCell ref="L11:N11"/>
    <mergeCell ref="O11:Q11"/>
    <mergeCell ref="R11:T11"/>
    <mergeCell ref="S3:T3"/>
    <mergeCell ref="P7:Q7"/>
    <mergeCell ref="A8:B8"/>
    <mergeCell ref="Y4:Z4"/>
    <mergeCell ref="AD1:AF1"/>
    <mergeCell ref="AG1:AI1"/>
    <mergeCell ref="AJ1:AL1"/>
    <mergeCell ref="X11:Z11"/>
    <mergeCell ref="AA11:AC11"/>
    <mergeCell ref="AD11:AF11"/>
    <mergeCell ref="AG11:AI11"/>
    <mergeCell ref="L1:N1"/>
    <mergeCell ref="O1:Q1"/>
    <mergeCell ref="R1:T1"/>
    <mergeCell ref="U1:W1"/>
    <mergeCell ref="AA1:AC1"/>
    <mergeCell ref="X1:Z1"/>
    <mergeCell ref="V5:W5"/>
    <mergeCell ref="U11:W11"/>
    <mergeCell ref="M13:N13"/>
    <mergeCell ref="A71:B71"/>
    <mergeCell ref="A59:E59"/>
    <mergeCell ref="O47:Q47"/>
    <mergeCell ref="R47:T47"/>
    <mergeCell ref="U47:W47"/>
    <mergeCell ref="A128:B128"/>
    <mergeCell ref="A105:E105"/>
    <mergeCell ref="O105:Q105"/>
    <mergeCell ref="R105:T105"/>
    <mergeCell ref="A114:B114"/>
    <mergeCell ref="A101:B101"/>
    <mergeCell ref="M63:N63"/>
    <mergeCell ref="A89:E89"/>
    <mergeCell ref="R89:T89"/>
    <mergeCell ref="M83:N83"/>
    <mergeCell ref="A75:E75"/>
    <mergeCell ref="A117:E117"/>
    <mergeCell ref="L117:N117"/>
    <mergeCell ref="O117:Q117"/>
    <mergeCell ref="A31:E31"/>
    <mergeCell ref="A44:B44"/>
    <mergeCell ref="F31:H31"/>
    <mergeCell ref="A85:B85"/>
  </mergeCells>
  <phoneticPr fontId="2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zoomScale="91" zoomScaleNormal="91" workbookViewId="0">
      <selection activeCell="L6" sqref="L6"/>
    </sheetView>
  </sheetViews>
  <sheetFormatPr defaultRowHeight="14.5" x14ac:dyDescent="0.35"/>
  <cols>
    <col min="1" max="1" width="3.453125" bestFit="1" customWidth="1"/>
    <col min="2" max="2" width="23.54296875" bestFit="1" customWidth="1"/>
    <col min="3" max="3" width="15.1796875" customWidth="1"/>
    <col min="4" max="4" width="17.54296875" bestFit="1" customWidth="1"/>
    <col min="5" max="5" width="17.453125" bestFit="1" customWidth="1"/>
    <col min="6" max="6" width="15.453125" customWidth="1"/>
    <col min="7" max="7" width="12.1796875" customWidth="1"/>
    <col min="8" max="8" width="11.81640625" customWidth="1"/>
    <col min="9" max="9" width="10.1796875" bestFit="1" customWidth="1"/>
    <col min="10" max="10" width="10.81640625" customWidth="1"/>
    <col min="11" max="11" width="11.1796875" customWidth="1"/>
    <col min="12" max="12" width="10.81640625" customWidth="1"/>
    <col min="13" max="13" width="10" bestFit="1" customWidth="1"/>
    <col min="15" max="15" width="11.1796875" bestFit="1" customWidth="1"/>
  </cols>
  <sheetData>
    <row r="1" spans="1:15" ht="21" x14ac:dyDescent="0.5">
      <c r="B1" s="436" t="s">
        <v>154</v>
      </c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</row>
    <row r="2" spans="1:15" s="47" customFormat="1" x14ac:dyDescent="0.35">
      <c r="A2" s="67"/>
      <c r="B2" s="68" t="s">
        <v>155</v>
      </c>
      <c r="C2" s="222" t="s">
        <v>156</v>
      </c>
      <c r="D2" s="222" t="s">
        <v>117</v>
      </c>
      <c r="E2" s="222" t="s">
        <v>118</v>
      </c>
      <c r="F2" s="222" t="s">
        <v>119</v>
      </c>
      <c r="G2" s="222" t="s">
        <v>120</v>
      </c>
      <c r="H2" s="222" t="s">
        <v>121</v>
      </c>
      <c r="I2" s="222" t="s">
        <v>122</v>
      </c>
      <c r="J2" s="222" t="s">
        <v>123</v>
      </c>
      <c r="K2" s="222" t="s">
        <v>80</v>
      </c>
      <c r="L2" s="222" t="s">
        <v>81</v>
      </c>
      <c r="M2" s="222" t="s">
        <v>82</v>
      </c>
      <c r="N2" s="222"/>
      <c r="O2" s="222" t="s">
        <v>71</v>
      </c>
    </row>
    <row r="3" spans="1:15" x14ac:dyDescent="0.35">
      <c r="A3" s="11">
        <v>1</v>
      </c>
      <c r="B3" s="11" t="s">
        <v>18</v>
      </c>
      <c r="C3" s="91">
        <f>'New Repayment Schedule'!K6</f>
        <v>0</v>
      </c>
      <c r="D3" s="91">
        <f>'New Repayment Schedule'!S6</f>
        <v>44800</v>
      </c>
      <c r="E3" s="91">
        <f>'New Repayment Schedule'!AA6</f>
        <v>0</v>
      </c>
      <c r="F3" s="91">
        <f>'New Repayment Schedule'!AI6</f>
        <v>0</v>
      </c>
      <c r="G3" s="91">
        <f>'New Repayment Schedule'!AQ6</f>
        <v>50000</v>
      </c>
      <c r="H3" s="91"/>
      <c r="I3" s="91">
        <v>3429</v>
      </c>
      <c r="J3" s="91"/>
      <c r="K3" s="91"/>
      <c r="L3" s="91">
        <v>4509.4716242661443</v>
      </c>
      <c r="M3" s="91"/>
      <c r="N3" s="91"/>
      <c r="O3" s="163">
        <f>SUM(C3:N3)</f>
        <v>102738.47162426614</v>
      </c>
    </row>
    <row r="4" spans="1:15" x14ac:dyDescent="0.35">
      <c r="A4" s="11">
        <v>2</v>
      </c>
      <c r="B4" s="11" t="s">
        <v>209</v>
      </c>
      <c r="C4" s="91">
        <f>'New Repayment Schedule'!K7</f>
        <v>0</v>
      </c>
      <c r="D4" s="91">
        <f>'New Repayment Schedule'!S7</f>
        <v>0</v>
      </c>
      <c r="E4" s="91">
        <f>'New Repayment Schedule'!AA7</f>
        <v>0</v>
      </c>
      <c r="F4" s="91">
        <f>'New Repayment Schedule'!AI7</f>
        <v>0</v>
      </c>
      <c r="G4" s="91">
        <f>'New Repayment Schedule'!AQ7</f>
        <v>0</v>
      </c>
      <c r="H4" s="91"/>
      <c r="I4" s="91"/>
      <c r="J4" s="91">
        <v>14025</v>
      </c>
      <c r="K4" s="91">
        <v>26090</v>
      </c>
      <c r="L4" s="91">
        <v>8064.3835616438355</v>
      </c>
      <c r="M4" s="91"/>
      <c r="N4" s="91"/>
      <c r="O4" s="163">
        <f t="shared" ref="O4:O27" si="0">SUM(C4:N4)</f>
        <v>48179.383561643837</v>
      </c>
    </row>
    <row r="5" spans="1:15" x14ac:dyDescent="0.35">
      <c r="A5" s="11">
        <v>3</v>
      </c>
      <c r="B5" s="11" t="s">
        <v>19</v>
      </c>
      <c r="C5" s="91">
        <f>'New Repayment Schedule'!K8</f>
        <v>6400</v>
      </c>
      <c r="D5" s="91">
        <f>'New Repayment Schedule'!S8</f>
        <v>0</v>
      </c>
      <c r="E5" s="91">
        <f>'New Repayment Schedule'!AA8</f>
        <v>0</v>
      </c>
      <c r="F5" s="91">
        <f>'New Repayment Schedule'!AI8</f>
        <v>0</v>
      </c>
      <c r="G5" s="91">
        <f>'New Repayment Schedule'!AQ8</f>
        <v>24000</v>
      </c>
      <c r="H5" s="91"/>
      <c r="I5" s="91">
        <v>8000</v>
      </c>
      <c r="J5" s="91"/>
      <c r="K5" s="91"/>
      <c r="L5" s="91">
        <v>954.55968688845394</v>
      </c>
      <c r="M5" s="91"/>
      <c r="N5" s="91"/>
      <c r="O5" s="163">
        <f t="shared" si="0"/>
        <v>39354.559686888453</v>
      </c>
    </row>
    <row r="6" spans="1:15" x14ac:dyDescent="0.35">
      <c r="A6" s="11">
        <v>4</v>
      </c>
      <c r="B6" s="11" t="s">
        <v>20</v>
      </c>
      <c r="C6" s="91">
        <f>'New Repayment Schedule'!K9</f>
        <v>0</v>
      </c>
      <c r="D6" s="91">
        <f>'New Repayment Schedule'!S9</f>
        <v>0</v>
      </c>
      <c r="E6" s="91">
        <f>'New Repayment Schedule'!AA9</f>
        <v>0</v>
      </c>
      <c r="F6" s="91">
        <f>'New Repayment Schedule'!AI9</f>
        <v>0</v>
      </c>
      <c r="G6" s="91">
        <f>'New Repayment Schedule'!AQ9</f>
        <v>0</v>
      </c>
      <c r="H6" s="91"/>
      <c r="I6" s="91"/>
      <c r="J6" s="91">
        <v>17000</v>
      </c>
      <c r="K6" s="91"/>
      <c r="L6" s="91">
        <v>1020.3913894324853</v>
      </c>
      <c r="M6" s="91"/>
      <c r="N6" s="91"/>
      <c r="O6" s="163">
        <f t="shared" si="0"/>
        <v>18020.391389432487</v>
      </c>
    </row>
    <row r="7" spans="1:15" x14ac:dyDescent="0.35">
      <c r="A7" s="11">
        <v>5</v>
      </c>
      <c r="B7" s="11" t="s">
        <v>21</v>
      </c>
      <c r="C7" s="91">
        <f>'New Repayment Schedule'!K10</f>
        <v>20000</v>
      </c>
      <c r="D7" s="91">
        <f>'New Repayment Schedule'!S10</f>
        <v>11340</v>
      </c>
      <c r="E7" s="91">
        <f>'New Repayment Schedule'!AA10</f>
        <v>0</v>
      </c>
      <c r="F7" s="91">
        <f>'New Repayment Schedule'!AI10</f>
        <v>0</v>
      </c>
      <c r="G7" s="91">
        <f>'New Repayment Schedule'!AQ10</f>
        <v>0</v>
      </c>
      <c r="H7" s="91">
        <v>9967.81</v>
      </c>
      <c r="I7" s="91">
        <v>5300</v>
      </c>
      <c r="J7" s="91"/>
      <c r="K7" s="91">
        <v>10000</v>
      </c>
      <c r="L7" s="91">
        <v>1711.6242661448141</v>
      </c>
      <c r="M7" s="91"/>
      <c r="N7" s="91"/>
      <c r="O7" s="163">
        <f t="shared" si="0"/>
        <v>58319.43426614481</v>
      </c>
    </row>
    <row r="8" spans="1:15" x14ac:dyDescent="0.35">
      <c r="A8" s="11">
        <v>6</v>
      </c>
      <c r="B8" s="11" t="s">
        <v>22</v>
      </c>
      <c r="C8" s="91">
        <f>'New Repayment Schedule'!K11</f>
        <v>0</v>
      </c>
      <c r="D8" s="91">
        <f>'New Repayment Schedule'!S11</f>
        <v>0</v>
      </c>
      <c r="E8" s="91">
        <f>'New Repayment Schedule'!AA11</f>
        <v>0</v>
      </c>
      <c r="F8" s="91">
        <f>'New Repayment Schedule'!AI11</f>
        <v>0</v>
      </c>
      <c r="G8" s="91">
        <f>'New Repayment Schedule'!AQ11</f>
        <v>0</v>
      </c>
      <c r="H8" s="91"/>
      <c r="I8" s="91"/>
      <c r="J8" s="91"/>
      <c r="K8" s="91"/>
      <c r="L8" s="91">
        <v>362.07436399217221</v>
      </c>
      <c r="M8" s="91"/>
      <c r="N8" s="91"/>
      <c r="O8" s="163">
        <f t="shared" si="0"/>
        <v>362.07436399217221</v>
      </c>
    </row>
    <row r="9" spans="1:15" x14ac:dyDescent="0.35">
      <c r="A9" s="11">
        <v>7</v>
      </c>
      <c r="B9" s="11" t="s">
        <v>23</v>
      </c>
      <c r="C9" s="91">
        <f>'New Repayment Schedule'!K12</f>
        <v>0</v>
      </c>
      <c r="D9" s="91">
        <f>'New Repayment Schedule'!S12</f>
        <v>0</v>
      </c>
      <c r="E9" s="91">
        <f>'New Repayment Schedule'!AA12</f>
        <v>3400</v>
      </c>
      <c r="F9" s="91">
        <f>'New Repayment Schedule'!AI12</f>
        <v>0</v>
      </c>
      <c r="G9" s="91">
        <f>'New Repayment Schedule'!AQ12</f>
        <v>0</v>
      </c>
      <c r="H9" s="91"/>
      <c r="I9" s="91"/>
      <c r="J9" s="91"/>
      <c r="K9" s="91"/>
      <c r="L9" s="91">
        <v>11000</v>
      </c>
      <c r="M9" s="91"/>
      <c r="N9" s="91"/>
      <c r="O9" s="163">
        <f t="shared" si="0"/>
        <v>14400</v>
      </c>
    </row>
    <row r="10" spans="1:15" x14ac:dyDescent="0.35">
      <c r="A10" s="11">
        <v>8</v>
      </c>
      <c r="B10" s="11" t="s">
        <v>24</v>
      </c>
      <c r="C10" s="91">
        <f>'New Repayment Schedule'!K13</f>
        <v>600</v>
      </c>
      <c r="D10" s="91">
        <f>'New Repayment Schedule'!S13</f>
        <v>0</v>
      </c>
      <c r="E10" s="91">
        <f>'New Repayment Schedule'!AA13</f>
        <v>0</v>
      </c>
      <c r="F10" s="91">
        <f>'New Repayment Schedule'!AI13</f>
        <v>0</v>
      </c>
      <c r="G10" s="91">
        <f>'New Repayment Schedule'!AQ13</f>
        <v>0</v>
      </c>
      <c r="H10" s="91">
        <v>17500</v>
      </c>
      <c r="I10" s="91"/>
      <c r="J10" s="91"/>
      <c r="K10" s="91"/>
      <c r="L10" s="91">
        <v>1217.8864970645791</v>
      </c>
      <c r="M10" s="91"/>
      <c r="N10" s="91"/>
      <c r="O10" s="163">
        <f t="shared" si="0"/>
        <v>19317.886497064581</v>
      </c>
    </row>
    <row r="11" spans="1:15" x14ac:dyDescent="0.35">
      <c r="A11" s="11">
        <v>9</v>
      </c>
      <c r="B11" s="11" t="s">
        <v>25</v>
      </c>
      <c r="C11" s="91">
        <f>'New Repayment Schedule'!K14</f>
        <v>0</v>
      </c>
      <c r="D11" s="91">
        <f>'New Repayment Schedule'!S14</f>
        <v>0</v>
      </c>
      <c r="E11" s="91">
        <f>'New Repayment Schedule'!AA14</f>
        <v>11300</v>
      </c>
      <c r="F11" s="91">
        <f>'New Repayment Schedule'!AI14</f>
        <v>0</v>
      </c>
      <c r="G11" s="91">
        <f>'New Repayment Schedule'!AQ14</f>
        <v>0</v>
      </c>
      <c r="H11" s="91"/>
      <c r="I11" s="91"/>
      <c r="J11" s="91">
        <v>50000</v>
      </c>
      <c r="K11" s="91"/>
      <c r="L11" s="91">
        <v>855.81213307240705</v>
      </c>
      <c r="M11" s="91"/>
      <c r="N11" s="91"/>
      <c r="O11" s="163">
        <f t="shared" si="0"/>
        <v>62155.81213307241</v>
      </c>
    </row>
    <row r="12" spans="1:15" x14ac:dyDescent="0.35">
      <c r="A12" s="11">
        <v>10</v>
      </c>
      <c r="B12" s="11" t="s">
        <v>26</v>
      </c>
      <c r="C12" s="91">
        <f>'New Repayment Schedule'!K15</f>
        <v>6100</v>
      </c>
      <c r="D12" s="91">
        <f>'New Repayment Schedule'!S15</f>
        <v>0</v>
      </c>
      <c r="E12" s="91">
        <f>'New Repayment Schedule'!AA15</f>
        <v>0</v>
      </c>
      <c r="F12" s="91">
        <f>'New Repayment Schedule'!AI15</f>
        <v>21000</v>
      </c>
      <c r="G12" s="91">
        <f>'New Repayment Schedule'!AQ15</f>
        <v>0</v>
      </c>
      <c r="H12" s="91"/>
      <c r="I12" s="91"/>
      <c r="J12" s="91"/>
      <c r="K12" s="91"/>
      <c r="L12" s="91">
        <v>1086.2230919765166</v>
      </c>
      <c r="M12" s="91"/>
      <c r="N12" s="91"/>
      <c r="O12" s="163">
        <f t="shared" si="0"/>
        <v>28186.223091976517</v>
      </c>
    </row>
    <row r="13" spans="1:15" x14ac:dyDescent="0.35">
      <c r="A13" s="11">
        <v>11</v>
      </c>
      <c r="B13" s="11" t="s">
        <v>27</v>
      </c>
      <c r="C13" s="91">
        <f>'New Repayment Schedule'!K16</f>
        <v>0</v>
      </c>
      <c r="D13" s="91">
        <f>'New Repayment Schedule'!S16</f>
        <v>6000</v>
      </c>
      <c r="E13" s="91">
        <f>'New Repayment Schedule'!AA16</f>
        <v>8750</v>
      </c>
      <c r="F13" s="91">
        <f>'New Repayment Schedule'!AI16</f>
        <v>0</v>
      </c>
      <c r="G13" s="91">
        <f>'New Repayment Schedule'!AQ16</f>
        <v>50000</v>
      </c>
      <c r="H13" s="91"/>
      <c r="I13" s="91">
        <v>55000</v>
      </c>
      <c r="J13" s="91"/>
      <c r="K13" s="91"/>
      <c r="L13" s="91">
        <v>5233.6203522504893</v>
      </c>
      <c r="M13" s="91"/>
      <c r="N13" s="91"/>
      <c r="O13" s="163">
        <f t="shared" si="0"/>
        <v>124983.62035225049</v>
      </c>
    </row>
    <row r="14" spans="1:15" x14ac:dyDescent="0.35">
      <c r="A14" s="11">
        <v>12</v>
      </c>
      <c r="B14" s="11" t="s">
        <v>28</v>
      </c>
      <c r="C14" s="91">
        <f>'New Repayment Schedule'!K17</f>
        <v>0</v>
      </c>
      <c r="D14" s="91">
        <f>'New Repayment Schedule'!S17</f>
        <v>0</v>
      </c>
      <c r="E14" s="91">
        <f>'New Repayment Schedule'!AA17</f>
        <v>1400</v>
      </c>
      <c r="F14" s="91">
        <f>'New Repayment Schedule'!AI17</f>
        <v>0</v>
      </c>
      <c r="G14" s="91">
        <f>'New Repayment Schedule'!AQ17</f>
        <v>0</v>
      </c>
      <c r="H14" s="91"/>
      <c r="I14" s="91"/>
      <c r="J14" s="91"/>
      <c r="K14" s="91"/>
      <c r="L14" s="91">
        <v>526.65362035225041</v>
      </c>
      <c r="M14" s="91"/>
      <c r="N14" s="91"/>
      <c r="O14" s="163">
        <f t="shared" si="0"/>
        <v>1926.6536203522505</v>
      </c>
    </row>
    <row r="15" spans="1:15" x14ac:dyDescent="0.35">
      <c r="A15" s="11">
        <v>13</v>
      </c>
      <c r="B15" s="11" t="s">
        <v>29</v>
      </c>
      <c r="C15" s="91">
        <f>'New Repayment Schedule'!K18</f>
        <v>15000</v>
      </c>
      <c r="D15" s="91">
        <f>'New Repayment Schedule'!S18</f>
        <v>3500</v>
      </c>
      <c r="E15" s="91">
        <f>'New Repayment Schedule'!AA18</f>
        <v>2800</v>
      </c>
      <c r="F15" s="91">
        <f>'New Repayment Schedule'!AI18</f>
        <v>0</v>
      </c>
      <c r="G15" s="91">
        <f>'New Repayment Schedule'!AQ18</f>
        <v>0</v>
      </c>
      <c r="H15" s="91">
        <v>8000</v>
      </c>
      <c r="I15" s="91"/>
      <c r="J15" s="91"/>
      <c r="K15" s="91"/>
      <c r="L15" s="91">
        <v>1250.8023483365948</v>
      </c>
      <c r="M15" s="91"/>
      <c r="N15" s="91"/>
      <c r="O15" s="163">
        <f t="shared" si="0"/>
        <v>30550.802348336594</v>
      </c>
    </row>
    <row r="16" spans="1:15" x14ac:dyDescent="0.35">
      <c r="A16" s="11">
        <v>14</v>
      </c>
      <c r="B16" s="11" t="s">
        <v>30</v>
      </c>
      <c r="C16" s="91">
        <f>'New Repayment Schedule'!K19</f>
        <v>0</v>
      </c>
      <c r="D16" s="91">
        <f>'New Repayment Schedule'!S19</f>
        <v>0</v>
      </c>
      <c r="E16" s="91">
        <f>'New Repayment Schedule'!AA19</f>
        <v>0</v>
      </c>
      <c r="F16" s="91">
        <f>'New Repayment Schedule'!AI19</f>
        <v>0</v>
      </c>
      <c r="G16" s="91">
        <f>'New Repayment Schedule'!AQ19</f>
        <v>0</v>
      </c>
      <c r="H16" s="91">
        <v>15000</v>
      </c>
      <c r="I16" s="91"/>
      <c r="J16" s="91"/>
      <c r="K16" s="91"/>
      <c r="L16" s="91">
        <v>8031.4677103718195</v>
      </c>
      <c r="M16" s="91"/>
      <c r="N16" s="91"/>
      <c r="O16" s="163">
        <f t="shared" si="0"/>
        <v>23031.46771037182</v>
      </c>
    </row>
    <row r="17" spans="1:15" x14ac:dyDescent="0.35">
      <c r="A17" s="11">
        <v>15</v>
      </c>
      <c r="B17" s="11" t="s">
        <v>31</v>
      </c>
      <c r="C17" s="91">
        <f>'New Repayment Schedule'!K20</f>
        <v>0</v>
      </c>
      <c r="D17" s="91">
        <f>'New Repayment Schedule'!S20</f>
        <v>0</v>
      </c>
      <c r="E17" s="91">
        <f>'New Repayment Schedule'!AA20</f>
        <v>10000</v>
      </c>
      <c r="F17" s="91">
        <f>'New Repayment Schedule'!AI20</f>
        <v>0</v>
      </c>
      <c r="G17" s="91">
        <f>'New Repayment Schedule'!AQ20</f>
        <v>0</v>
      </c>
      <c r="H17" s="91"/>
      <c r="I17" s="91"/>
      <c r="J17" s="91">
        <v>10000</v>
      </c>
      <c r="K17" s="91"/>
      <c r="L17" s="91">
        <v>592.48532289628179</v>
      </c>
      <c r="M17" s="91"/>
      <c r="N17" s="91"/>
      <c r="O17" s="163">
        <f t="shared" si="0"/>
        <v>20592.485322896282</v>
      </c>
    </row>
    <row r="18" spans="1:15" x14ac:dyDescent="0.35">
      <c r="A18" s="11">
        <v>16</v>
      </c>
      <c r="B18" s="11" t="s">
        <v>32</v>
      </c>
      <c r="C18" s="91">
        <f>'New Repayment Schedule'!K21</f>
        <v>0</v>
      </c>
      <c r="D18" s="91">
        <f>'New Repayment Schedule'!S21</f>
        <v>0</v>
      </c>
      <c r="E18" s="91">
        <f>'New Repayment Schedule'!AA21</f>
        <v>3000</v>
      </c>
      <c r="F18" s="91">
        <f>'New Repayment Schedule'!AI21</f>
        <v>0</v>
      </c>
      <c r="G18" s="91">
        <f>'New Repayment Schedule'!AQ21</f>
        <v>0</v>
      </c>
      <c r="H18" s="91">
        <v>10000</v>
      </c>
      <c r="I18" s="91"/>
      <c r="J18" s="91"/>
      <c r="K18" s="91"/>
      <c r="L18" s="91">
        <v>4147.3972602739723</v>
      </c>
      <c r="M18" s="91"/>
      <c r="N18" s="91"/>
      <c r="O18" s="163">
        <f t="shared" si="0"/>
        <v>17147.397260273974</v>
      </c>
    </row>
    <row r="19" spans="1:15" x14ac:dyDescent="0.35">
      <c r="A19" s="11">
        <v>17</v>
      </c>
      <c r="B19" s="11" t="s">
        <v>33</v>
      </c>
      <c r="C19" s="91">
        <f>'New Repayment Schedule'!K22</f>
        <v>0</v>
      </c>
      <c r="D19" s="91">
        <f>'New Repayment Schedule'!S22</f>
        <v>0</v>
      </c>
      <c r="E19" s="91">
        <f>'New Repayment Schedule'!AA22</f>
        <v>0</v>
      </c>
      <c r="F19" s="91">
        <f>'New Repayment Schedule'!AI22</f>
        <v>0</v>
      </c>
      <c r="G19" s="91">
        <f>'New Repayment Schedule'!AQ22</f>
        <v>10000</v>
      </c>
      <c r="H19" s="91"/>
      <c r="I19" s="91"/>
      <c r="J19" s="91"/>
      <c r="K19" s="91"/>
      <c r="L19" s="91">
        <v>4147.3972602739723</v>
      </c>
      <c r="M19" s="91"/>
      <c r="N19" s="91"/>
      <c r="O19" s="163">
        <f t="shared" si="0"/>
        <v>14147.397260273972</v>
      </c>
    </row>
    <row r="20" spans="1:15" x14ac:dyDescent="0.35">
      <c r="A20" s="11">
        <v>18</v>
      </c>
      <c r="B20" s="11" t="s">
        <v>34</v>
      </c>
      <c r="C20" s="91">
        <f>'New Repayment Schedule'!K23</f>
        <v>0</v>
      </c>
      <c r="D20" s="91">
        <f>'New Repayment Schedule'!S23</f>
        <v>3000</v>
      </c>
      <c r="E20" s="91">
        <f>'New Repayment Schedule'!AA23</f>
        <v>3000</v>
      </c>
      <c r="F20" s="91">
        <f>'New Repayment Schedule'!AI23</f>
        <v>0</v>
      </c>
      <c r="G20" s="91">
        <f>'New Repayment Schedule'!AQ23</f>
        <v>0</v>
      </c>
      <c r="H20" s="91"/>
      <c r="I20" s="91">
        <v>5000</v>
      </c>
      <c r="J20" s="91"/>
      <c r="K20" s="91"/>
      <c r="L20" s="91">
        <v>4443.6399217221133</v>
      </c>
      <c r="M20" s="91"/>
      <c r="N20" s="91"/>
      <c r="O20" s="163">
        <f t="shared" si="0"/>
        <v>15443.639921722113</v>
      </c>
    </row>
    <row r="21" spans="1:15" x14ac:dyDescent="0.35">
      <c r="A21" s="11">
        <v>19</v>
      </c>
      <c r="B21" s="11" t="s">
        <v>48</v>
      </c>
      <c r="C21" s="91">
        <f>'New Repayment Schedule'!K24</f>
        <v>0</v>
      </c>
      <c r="D21" s="91">
        <f>'New Repayment Schedule'!S24</f>
        <v>0</v>
      </c>
      <c r="E21" s="91">
        <f>'New Repayment Schedule'!AA24</f>
        <v>0</v>
      </c>
      <c r="F21" s="91">
        <f>'New Repayment Schedule'!AI24</f>
        <v>0</v>
      </c>
      <c r="G21" s="91">
        <f>'New Repayment Schedule'!AQ24</f>
        <v>0</v>
      </c>
      <c r="H21" s="91"/>
      <c r="I21" s="91"/>
      <c r="J21" s="91"/>
      <c r="K21" s="91">
        <v>15000</v>
      </c>
      <c r="L21" s="91">
        <v>5562.7788649706454</v>
      </c>
      <c r="M21" s="91"/>
      <c r="N21" s="91"/>
      <c r="O21" s="163">
        <f t="shared" si="0"/>
        <v>20562.778864970645</v>
      </c>
    </row>
    <row r="22" spans="1:15" x14ac:dyDescent="0.35">
      <c r="A22" s="11">
        <v>20</v>
      </c>
      <c r="B22" s="11" t="s">
        <v>35</v>
      </c>
      <c r="C22" s="91">
        <f>'New Repayment Schedule'!K25</f>
        <v>0</v>
      </c>
      <c r="D22" s="91">
        <f>'New Repayment Schedule'!S25</f>
        <v>0</v>
      </c>
      <c r="E22" s="91">
        <f>'New Repayment Schedule'!AA25</f>
        <v>0</v>
      </c>
      <c r="F22" s="91">
        <f>'New Repayment Schedule'!AI25</f>
        <v>51300</v>
      </c>
      <c r="G22" s="91">
        <f>'New Repayment Schedule'!AQ25</f>
        <v>0</v>
      </c>
      <c r="H22" s="91"/>
      <c r="I22" s="91"/>
      <c r="J22" s="91"/>
      <c r="K22" s="91"/>
      <c r="L22" s="91">
        <v>4114.4814090019563</v>
      </c>
      <c r="M22" s="91"/>
      <c r="N22" s="91"/>
      <c r="O22" s="163">
        <f t="shared" si="0"/>
        <v>55414.481409001957</v>
      </c>
    </row>
    <row r="23" spans="1:15" x14ac:dyDescent="0.35">
      <c r="A23" s="11">
        <v>21</v>
      </c>
      <c r="B23" s="11" t="s">
        <v>36</v>
      </c>
      <c r="C23" s="91">
        <f>'New Repayment Schedule'!K26</f>
        <v>0</v>
      </c>
      <c r="D23" s="91">
        <f>'New Repayment Schedule'!S26</f>
        <v>0</v>
      </c>
      <c r="E23" s="91">
        <f>'New Repayment Schedule'!AA26</f>
        <v>0</v>
      </c>
      <c r="F23" s="91">
        <f>'New Repayment Schedule'!AI26</f>
        <v>0</v>
      </c>
      <c r="G23" s="91">
        <f>'New Repayment Schedule'!AQ26</f>
        <v>30000</v>
      </c>
      <c r="H23" s="91"/>
      <c r="I23" s="91"/>
      <c r="J23" s="91"/>
      <c r="K23" s="91"/>
      <c r="L23" s="91">
        <v>2337.0254403131116</v>
      </c>
      <c r="M23" s="91"/>
      <c r="N23" s="91"/>
      <c r="O23" s="163">
        <f t="shared" si="0"/>
        <v>32337.025440313111</v>
      </c>
    </row>
    <row r="24" spans="1:15" x14ac:dyDescent="0.35">
      <c r="A24" s="11">
        <v>22</v>
      </c>
      <c r="B24" s="11" t="s">
        <v>37</v>
      </c>
      <c r="C24" s="91">
        <f>'New Repayment Schedule'!K27</f>
        <v>0</v>
      </c>
      <c r="D24" s="91">
        <f>'New Repayment Schedule'!S27</f>
        <v>0</v>
      </c>
      <c r="E24" s="91">
        <f>'New Repayment Schedule'!AA27</f>
        <v>0</v>
      </c>
      <c r="F24" s="91">
        <f>'New Repayment Schedule'!AI27</f>
        <v>0</v>
      </c>
      <c r="G24" s="91">
        <f>'New Repayment Schedule'!AQ27</f>
        <v>0</v>
      </c>
      <c r="H24" s="91"/>
      <c r="I24" s="91"/>
      <c r="J24" s="91"/>
      <c r="K24" s="91">
        <v>25000</v>
      </c>
      <c r="L24" s="91">
        <v>5299.4520547945203</v>
      </c>
      <c r="M24" s="91"/>
      <c r="N24" s="91"/>
      <c r="O24" s="163">
        <f t="shared" si="0"/>
        <v>30299.452054794521</v>
      </c>
    </row>
    <row r="25" spans="1:15" x14ac:dyDescent="0.35">
      <c r="A25" s="11">
        <v>23</v>
      </c>
      <c r="B25" s="11" t="s">
        <v>38</v>
      </c>
      <c r="C25" s="91">
        <f>'New Repayment Schedule'!K28</f>
        <v>0</v>
      </c>
      <c r="D25" s="91">
        <f>'New Repayment Schedule'!S28</f>
        <v>0</v>
      </c>
      <c r="E25" s="91">
        <f>'New Repayment Schedule'!AA28</f>
        <v>0</v>
      </c>
      <c r="F25" s="91">
        <f>'New Repayment Schedule'!AI28</f>
        <v>0</v>
      </c>
      <c r="G25" s="91">
        <f>'New Repayment Schedule'!AQ28</f>
        <v>13265</v>
      </c>
      <c r="H25" s="91"/>
      <c r="I25" s="91"/>
      <c r="J25" s="91"/>
      <c r="K25" s="91"/>
      <c r="L25" s="91">
        <v>1810.3718199608609</v>
      </c>
      <c r="M25" s="91"/>
      <c r="N25" s="91"/>
      <c r="O25" s="163">
        <f t="shared" si="0"/>
        <v>15075.371819960861</v>
      </c>
    </row>
    <row r="26" spans="1:15" x14ac:dyDescent="0.35">
      <c r="A26" s="11">
        <v>24</v>
      </c>
      <c r="B26" s="11" t="s">
        <v>39</v>
      </c>
      <c r="C26" s="91">
        <f>'New Repayment Schedule'!K29</f>
        <v>0</v>
      </c>
      <c r="D26" s="91">
        <f>'New Repayment Schedule'!S29</f>
        <v>0</v>
      </c>
      <c r="E26" s="91">
        <f>'New Repayment Schedule'!AA29</f>
        <v>0</v>
      </c>
      <c r="F26" s="91">
        <f>'New Repayment Schedule'!AI29</f>
        <v>0</v>
      </c>
      <c r="G26" s="91">
        <f>'New Repayment Schedule'!AQ29</f>
        <v>0</v>
      </c>
      <c r="H26" s="91"/>
      <c r="I26" s="91"/>
      <c r="J26" s="91"/>
      <c r="K26" s="91"/>
      <c r="L26" s="91">
        <v>15000</v>
      </c>
      <c r="M26" s="91"/>
      <c r="N26" s="91"/>
      <c r="O26" s="163">
        <f t="shared" si="0"/>
        <v>15000</v>
      </c>
    </row>
    <row r="27" spans="1:15" x14ac:dyDescent="0.35">
      <c r="A27" s="11">
        <v>25</v>
      </c>
      <c r="B27" s="11" t="s">
        <v>40</v>
      </c>
      <c r="C27" s="91">
        <f>'New Repayment Schedule'!K30</f>
        <v>0</v>
      </c>
      <c r="D27" s="91">
        <f>'New Repayment Schedule'!S30</f>
        <v>0</v>
      </c>
      <c r="E27" s="91">
        <f>'New Repayment Schedule'!AA30</f>
        <v>0</v>
      </c>
      <c r="F27" s="91">
        <f>'New Repayment Schedule'!AI30</f>
        <v>0</v>
      </c>
      <c r="G27" s="91">
        <f>'New Repayment Schedule'!AQ30</f>
        <v>0</v>
      </c>
      <c r="H27" s="91"/>
      <c r="I27" s="91"/>
      <c r="J27" s="91"/>
      <c r="K27" s="91"/>
      <c r="L27" s="91"/>
      <c r="M27" s="91"/>
      <c r="N27" s="91"/>
      <c r="O27" s="163">
        <f t="shared" si="0"/>
        <v>0</v>
      </c>
    </row>
    <row r="28" spans="1:15" x14ac:dyDescent="0.35">
      <c r="A28" s="11"/>
      <c r="B28" s="11" t="s">
        <v>74</v>
      </c>
      <c r="C28" s="91">
        <f>'New Repayment Schedule'!K31</f>
        <v>48100</v>
      </c>
      <c r="D28" s="91">
        <f>'New Repayment Schedule'!S31</f>
        <v>68640</v>
      </c>
      <c r="E28" s="91">
        <f>'New Repayment Schedule'!AA31</f>
        <v>43650</v>
      </c>
      <c r="F28" s="91">
        <f>'New Repayment Schedule'!AI31</f>
        <v>72300</v>
      </c>
      <c r="G28" s="91">
        <f>'New Repayment Schedule'!AQ31</f>
        <v>177265</v>
      </c>
      <c r="H28" s="91">
        <f t="shared" ref="H28:O28" si="1">SUM(H3:H27)</f>
        <v>60467.81</v>
      </c>
      <c r="I28" s="91">
        <f t="shared" si="1"/>
        <v>76729</v>
      </c>
      <c r="J28" s="91">
        <f t="shared" si="1"/>
        <v>91025</v>
      </c>
      <c r="K28" s="91">
        <f t="shared" si="1"/>
        <v>76090</v>
      </c>
      <c r="L28" s="91">
        <f t="shared" si="1"/>
        <v>93279.999999999971</v>
      </c>
      <c r="M28" s="91">
        <f t="shared" si="1"/>
        <v>0</v>
      </c>
      <c r="N28" s="91">
        <f t="shared" si="1"/>
        <v>0</v>
      </c>
      <c r="O28" s="91">
        <f t="shared" si="1"/>
        <v>807546.81</v>
      </c>
    </row>
  </sheetData>
  <autoFilter ref="B2:O28" xr:uid="{00000000-0001-0000-0100-000000000000}"/>
  <mergeCells count="1">
    <mergeCell ref="B1:O1"/>
  </mergeCells>
  <phoneticPr fontId="2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ADD7-3E9D-4EE3-A4C6-BEDA8972EF46}">
  <dimension ref="A1:U38"/>
  <sheetViews>
    <sheetView topLeftCell="B28" zoomScale="40" zoomScaleNormal="40" workbookViewId="0">
      <selection sqref="A1:G26"/>
    </sheetView>
  </sheetViews>
  <sheetFormatPr defaultColWidth="8.7265625" defaultRowHeight="18.5" x14ac:dyDescent="0.45"/>
  <cols>
    <col min="1" max="1" width="8.54296875" style="54" customWidth="1"/>
    <col min="2" max="2" width="47.1796875" style="54" bestFit="1" customWidth="1"/>
    <col min="3" max="3" width="28.26953125" style="54" hidden="1" customWidth="1"/>
    <col min="4" max="4" width="29.81640625" style="270" hidden="1" customWidth="1"/>
    <col min="5" max="5" width="24.6328125" style="270" hidden="1" customWidth="1"/>
    <col min="6" max="6" width="35.36328125" style="270" hidden="1" customWidth="1"/>
    <col min="7" max="7" width="28.7265625" style="270" bestFit="1" customWidth="1"/>
    <col min="8" max="8" width="27.36328125" style="54" bestFit="1" customWidth="1"/>
    <col min="9" max="9" width="26" style="54" bestFit="1" customWidth="1"/>
    <col min="10" max="10" width="31.26953125" style="54" customWidth="1"/>
    <col min="11" max="11" width="25.81640625" style="54" bestFit="1" customWidth="1"/>
    <col min="12" max="12" width="8.7265625" style="54"/>
    <col min="13" max="13" width="12.1796875" style="54" bestFit="1" customWidth="1"/>
    <col min="14" max="14" width="6.1796875" style="54" bestFit="1" customWidth="1"/>
    <col min="15" max="15" width="32.81640625" style="54" bestFit="1" customWidth="1"/>
    <col min="16" max="19" width="22.7265625" style="54" bestFit="1" customWidth="1"/>
    <col min="20" max="20" width="23.26953125" style="54" bestFit="1" customWidth="1"/>
    <col min="21" max="21" width="6.26953125" style="54" bestFit="1" customWidth="1"/>
    <col min="22" max="16384" width="8.7265625" style="54"/>
  </cols>
  <sheetData>
    <row r="1" spans="1:21" ht="68" x14ac:dyDescent="0.7">
      <c r="A1" s="271" t="s">
        <v>11</v>
      </c>
      <c r="B1" s="369" t="s">
        <v>12</v>
      </c>
      <c r="C1" s="272" t="s">
        <v>66</v>
      </c>
      <c r="D1" s="272" t="s">
        <v>87</v>
      </c>
      <c r="E1" s="367" t="s">
        <v>88</v>
      </c>
      <c r="F1" s="272" t="s">
        <v>89</v>
      </c>
      <c r="G1" s="273" t="s">
        <v>90</v>
      </c>
      <c r="H1" s="371" t="s">
        <v>91</v>
      </c>
      <c r="I1" s="271" t="s">
        <v>46</v>
      </c>
      <c r="J1" s="271" t="s">
        <v>69</v>
      </c>
      <c r="K1" s="260" t="s">
        <v>92</v>
      </c>
      <c r="N1" s="437" t="s">
        <v>93</v>
      </c>
      <c r="O1" s="438"/>
      <c r="P1" s="227" t="s">
        <v>35</v>
      </c>
      <c r="Q1" s="228" t="s">
        <v>21</v>
      </c>
      <c r="R1" s="229" t="s">
        <v>29</v>
      </c>
      <c r="S1" s="230" t="s">
        <v>36</v>
      </c>
      <c r="T1" s="439" t="s">
        <v>94</v>
      </c>
    </row>
    <row r="2" spans="1:21" ht="40" thickBot="1" x14ac:dyDescent="1.05">
      <c r="A2" s="274">
        <v>1</v>
      </c>
      <c r="B2" s="370" t="s">
        <v>18</v>
      </c>
      <c r="C2" s="275">
        <f>Shares!Y4</f>
        <v>27400</v>
      </c>
      <c r="D2" s="276">
        <f>Shareout!C85</f>
        <v>41458.426226456693</v>
      </c>
      <c r="E2" s="276">
        <f>Shareout!C86</f>
        <v>75216.482351629631</v>
      </c>
      <c r="F2" s="277">
        <f>D2-E2</f>
        <v>-33758.056125172938</v>
      </c>
      <c r="G2" s="278">
        <f>IF(F2&gt;0,F2,0)</f>
        <v>0</v>
      </c>
      <c r="H2" s="372">
        <f>(IF(F2&lt;0,F2,0))*-1</f>
        <v>33758.056125172938</v>
      </c>
      <c r="I2" s="278"/>
      <c r="J2" s="278"/>
      <c r="K2" s="261">
        <f>G2-H2+I2</f>
        <v>-33758.056125172938</v>
      </c>
      <c r="N2" s="231"/>
      <c r="O2" s="232"/>
      <c r="P2" s="233">
        <f>SUM(P3:P29)</f>
        <v>43162.514921027425</v>
      </c>
      <c r="Q2" s="234">
        <f t="shared" ref="Q2:S2" si="0">SUM(Q3:Q29)</f>
        <v>69027.490092599182</v>
      </c>
      <c r="R2" s="235">
        <f t="shared" si="0"/>
        <v>33938.870804229926</v>
      </c>
      <c r="S2" s="236">
        <f t="shared" si="0"/>
        <v>68646.212431806402</v>
      </c>
      <c r="T2" s="440"/>
    </row>
    <row r="3" spans="1:21" ht="36.5" x14ac:dyDescent="0.85">
      <c r="A3" s="274">
        <v>2</v>
      </c>
      <c r="B3" s="245" t="s">
        <v>209</v>
      </c>
      <c r="C3" s="275">
        <f>Shares!Y5</f>
        <v>49000</v>
      </c>
      <c r="D3" s="276">
        <f>Shareout!G85</f>
        <v>68603.305375000025</v>
      </c>
      <c r="E3" s="276">
        <f>Shareout!G86</f>
        <v>16162.944484546233</v>
      </c>
      <c r="F3" s="277">
        <f t="shared" ref="F3:F27" si="1">D3-E3</f>
        <v>52440.36089045379</v>
      </c>
      <c r="G3" s="278">
        <f t="shared" ref="G3:G26" si="2">IF(F3&gt;0,F3,0)</f>
        <v>52440.36089045379</v>
      </c>
      <c r="H3" s="372">
        <f t="shared" ref="H3:H27" si="3">(IF(F3&lt;0,F3,0))*-1</f>
        <v>0</v>
      </c>
      <c r="I3" s="278"/>
      <c r="J3" s="278"/>
      <c r="K3" s="261">
        <f t="shared" ref="K3:K25" si="4">G3-H3+I3</f>
        <v>52440.36089045379</v>
      </c>
      <c r="N3" s="237">
        <v>1</v>
      </c>
      <c r="O3" s="238" t="s">
        <v>18</v>
      </c>
      <c r="P3" s="239">
        <v>4004.8593545926869</v>
      </c>
      <c r="Q3" s="240"/>
      <c r="R3" s="241"/>
      <c r="S3" s="242"/>
      <c r="T3" s="243">
        <f>SUM(P3:S3)</f>
        <v>4004.8593545926869</v>
      </c>
      <c r="U3" s="262">
        <f>K2-T3</f>
        <v>-37762.915479765623</v>
      </c>
    </row>
    <row r="4" spans="1:21" ht="36.5" x14ac:dyDescent="0.85">
      <c r="A4" s="274">
        <v>3</v>
      </c>
      <c r="B4" s="245" t="s">
        <v>19</v>
      </c>
      <c r="C4" s="275">
        <f>Shares!Y6</f>
        <v>5800</v>
      </c>
      <c r="D4" s="276">
        <f>Shareout!K85</f>
        <v>8404.5446078971127</v>
      </c>
      <c r="E4" s="276">
        <f>Shareout!K86</f>
        <v>1141.2562191540105</v>
      </c>
      <c r="F4" s="277">
        <f t="shared" si="1"/>
        <v>7263.2883887431017</v>
      </c>
      <c r="G4" s="278">
        <f t="shared" si="2"/>
        <v>7263.2883887431017</v>
      </c>
      <c r="H4" s="372">
        <f t="shared" si="3"/>
        <v>0</v>
      </c>
      <c r="I4" s="278"/>
      <c r="J4" s="278"/>
      <c r="K4" s="261">
        <f t="shared" si="4"/>
        <v>7263.2883887431017</v>
      </c>
      <c r="N4" s="244">
        <v>2</v>
      </c>
      <c r="O4" s="245" t="s">
        <v>19</v>
      </c>
      <c r="P4" s="246">
        <v>331.24916188040606</v>
      </c>
      <c r="Q4" s="247"/>
      <c r="R4" s="248"/>
      <c r="S4" s="249"/>
      <c r="T4" s="250">
        <f t="shared" ref="T4:T29" si="5">SUM(P4:S4)</f>
        <v>331.24916188040606</v>
      </c>
    </row>
    <row r="5" spans="1:21" ht="36.5" x14ac:dyDescent="0.85">
      <c r="A5" s="274">
        <v>4</v>
      </c>
      <c r="B5" s="251" t="s">
        <v>20</v>
      </c>
      <c r="C5" s="275">
        <f>Shares!Y7</f>
        <v>6200</v>
      </c>
      <c r="D5" s="276">
        <f>Shareout!O85</f>
        <v>8039.3017695551189</v>
      </c>
      <c r="E5" s="276">
        <f>Shareout!O86</f>
        <v>5351.8096756849309</v>
      </c>
      <c r="F5" s="277">
        <f t="shared" si="1"/>
        <v>2687.492093870188</v>
      </c>
      <c r="G5" s="278">
        <f t="shared" si="2"/>
        <v>2687.492093870188</v>
      </c>
      <c r="H5" s="372">
        <f t="shared" si="3"/>
        <v>0</v>
      </c>
      <c r="I5" s="278"/>
      <c r="J5" s="278"/>
      <c r="K5" s="261">
        <f>I5</f>
        <v>0</v>
      </c>
      <c r="M5" s="262">
        <f>I5+I12+I19</f>
        <v>0</v>
      </c>
      <c r="N5" s="244">
        <v>3</v>
      </c>
      <c r="O5" s="251" t="s">
        <v>20</v>
      </c>
      <c r="P5" s="246">
        <v>4150.3196087744973</v>
      </c>
      <c r="Q5" s="247"/>
      <c r="R5" s="248"/>
      <c r="S5" s="249"/>
      <c r="T5" s="250">
        <f t="shared" si="5"/>
        <v>4150.3196087744973</v>
      </c>
    </row>
    <row r="6" spans="1:21" ht="39.5" x14ac:dyDescent="0.85">
      <c r="A6" s="274">
        <v>5</v>
      </c>
      <c r="B6" s="373" t="s">
        <v>21</v>
      </c>
      <c r="C6" s="275">
        <f>Shares!Y8</f>
        <v>10400</v>
      </c>
      <c r="D6" s="276">
        <f>Shareout!S85</f>
        <v>16150.910550046683</v>
      </c>
      <c r="E6" s="276">
        <f>Shareout!S86</f>
        <v>10566.476761135542</v>
      </c>
      <c r="F6" s="277">
        <f t="shared" si="1"/>
        <v>5584.4337889111412</v>
      </c>
      <c r="G6" s="278">
        <f t="shared" si="2"/>
        <v>5584.4337889111412</v>
      </c>
      <c r="H6" s="372">
        <f t="shared" si="3"/>
        <v>0</v>
      </c>
      <c r="I6" s="278"/>
      <c r="J6" s="278"/>
      <c r="K6" s="261">
        <f t="shared" si="4"/>
        <v>5584.4337889111412</v>
      </c>
      <c r="N6" s="244">
        <v>5</v>
      </c>
      <c r="O6" s="251" t="s">
        <v>51</v>
      </c>
      <c r="P6" s="246"/>
      <c r="Q6" s="247">
        <v>1977.9589839015953</v>
      </c>
      <c r="R6" s="248"/>
      <c r="S6" s="249"/>
      <c r="T6" s="250">
        <f t="shared" si="5"/>
        <v>1977.9589839015953</v>
      </c>
    </row>
    <row r="7" spans="1:21" ht="36.5" x14ac:dyDescent="0.85">
      <c r="A7" s="274">
        <v>6</v>
      </c>
      <c r="B7" s="251" t="s">
        <v>22</v>
      </c>
      <c r="C7" s="275">
        <f>Shares!Y9</f>
        <v>2200</v>
      </c>
      <c r="D7" s="276">
        <f>Shareout!X85</f>
        <v>3009.6863578207431</v>
      </c>
      <c r="E7" s="276">
        <f>Shareout!X86</f>
        <v>-4.1813013698630126</v>
      </c>
      <c r="F7" s="277">
        <f t="shared" si="1"/>
        <v>3013.867659190606</v>
      </c>
      <c r="G7" s="278">
        <f t="shared" si="2"/>
        <v>3013.867659190606</v>
      </c>
      <c r="H7" s="372">
        <f t="shared" si="3"/>
        <v>0</v>
      </c>
      <c r="I7" s="278"/>
      <c r="J7" s="278"/>
      <c r="K7" s="261">
        <f t="shared" si="4"/>
        <v>3013.867659190606</v>
      </c>
      <c r="N7" s="244">
        <v>6</v>
      </c>
      <c r="O7" s="245" t="s">
        <v>52</v>
      </c>
      <c r="P7" s="246"/>
      <c r="Q7" s="247">
        <v>7198.667858575498</v>
      </c>
      <c r="R7" s="248"/>
      <c r="S7" s="249"/>
      <c r="T7" s="250">
        <f t="shared" si="5"/>
        <v>7198.667858575498</v>
      </c>
    </row>
    <row r="8" spans="1:21" ht="36.5" x14ac:dyDescent="0.85">
      <c r="A8" s="274">
        <v>7</v>
      </c>
      <c r="B8" s="245" t="s">
        <v>23</v>
      </c>
      <c r="C8" s="275">
        <f>Shares!Y10</f>
        <v>13400</v>
      </c>
      <c r="D8" s="276">
        <f>Shareout!AB85</f>
        <v>16456.086357820743</v>
      </c>
      <c r="E8" s="276">
        <f>Shareout!AB86</f>
        <v>12127.5</v>
      </c>
      <c r="F8" s="277">
        <f t="shared" si="1"/>
        <v>4328.5863578207427</v>
      </c>
      <c r="G8" s="278">
        <f t="shared" si="2"/>
        <v>4328.5863578207427</v>
      </c>
      <c r="H8" s="372">
        <f t="shared" si="3"/>
        <v>0</v>
      </c>
      <c r="I8" s="278"/>
      <c r="J8" s="278"/>
      <c r="K8" s="261">
        <f t="shared" si="4"/>
        <v>4328.5863578207427</v>
      </c>
      <c r="N8" s="244">
        <v>7</v>
      </c>
      <c r="O8" s="251" t="s">
        <v>53</v>
      </c>
      <c r="P8" s="246"/>
      <c r="Q8" s="247"/>
      <c r="R8" s="248">
        <v>1175.2799097563236</v>
      </c>
      <c r="S8" s="249"/>
      <c r="T8" s="250">
        <f t="shared" si="5"/>
        <v>1175.2799097563236</v>
      </c>
    </row>
    <row r="9" spans="1:21" ht="39.5" x14ac:dyDescent="0.85">
      <c r="A9" s="274">
        <v>8</v>
      </c>
      <c r="B9" s="373" t="s">
        <v>24</v>
      </c>
      <c r="C9" s="275">
        <f>Shares!Y11</f>
        <v>7400</v>
      </c>
      <c r="D9" s="276">
        <f>Shareout!AF85</f>
        <v>10322.875587578987</v>
      </c>
      <c r="E9" s="276">
        <f>Shareout!AF86</f>
        <v>13494.111324081272</v>
      </c>
      <c r="F9" s="277">
        <f t="shared" si="1"/>
        <v>-3171.2357365022854</v>
      </c>
      <c r="G9" s="278">
        <f t="shared" si="2"/>
        <v>0</v>
      </c>
      <c r="H9" s="372">
        <f t="shared" si="3"/>
        <v>3171.2357365022854</v>
      </c>
      <c r="I9" s="278"/>
      <c r="J9" s="278"/>
      <c r="K9" s="261">
        <f t="shared" si="4"/>
        <v>-3171.2357365022854</v>
      </c>
      <c r="N9" s="244">
        <v>8</v>
      </c>
      <c r="O9" s="251" t="s">
        <v>23</v>
      </c>
      <c r="P9" s="246"/>
      <c r="Q9" s="247">
        <v>23858.853912624701</v>
      </c>
      <c r="R9" s="248"/>
      <c r="S9" s="249"/>
      <c r="T9" s="250">
        <f t="shared" si="5"/>
        <v>23858.853912624701</v>
      </c>
    </row>
    <row r="10" spans="1:21" ht="39.5" x14ac:dyDescent="0.85">
      <c r="A10" s="274">
        <v>9</v>
      </c>
      <c r="B10" s="373" t="s">
        <v>25</v>
      </c>
      <c r="C10" s="275">
        <f>Shares!Y12</f>
        <v>5200</v>
      </c>
      <c r="D10" s="276">
        <f>Shareout!AJ85</f>
        <v>7244.3429628818367</v>
      </c>
      <c r="E10" s="276">
        <f>Shareout!AJ86</f>
        <v>4847.7509397896547</v>
      </c>
      <c r="F10" s="277">
        <f t="shared" si="1"/>
        <v>2396.592023092182</v>
      </c>
      <c r="G10" s="278">
        <f t="shared" si="2"/>
        <v>2396.592023092182</v>
      </c>
      <c r="H10" s="372">
        <f t="shared" si="3"/>
        <v>0</v>
      </c>
      <c r="I10" s="278"/>
      <c r="J10" s="278"/>
      <c r="K10" s="261">
        <f t="shared" si="4"/>
        <v>2396.592023092182</v>
      </c>
      <c r="N10" s="244">
        <v>9</v>
      </c>
      <c r="O10" s="251" t="s">
        <v>24</v>
      </c>
      <c r="P10" s="246">
        <v>852.11519692239199</v>
      </c>
      <c r="Q10" s="247"/>
      <c r="R10" s="248"/>
      <c r="S10" s="249"/>
      <c r="T10" s="250">
        <f t="shared" si="5"/>
        <v>852.11519692239199</v>
      </c>
    </row>
    <row r="11" spans="1:21" ht="39.5" x14ac:dyDescent="0.85">
      <c r="A11" s="274">
        <v>10</v>
      </c>
      <c r="B11" s="373" t="s">
        <v>26</v>
      </c>
      <c r="C11" s="275">
        <f>Shares!Y13</f>
        <v>6600</v>
      </c>
      <c r="D11" s="276">
        <f>Shareout!AN85</f>
        <v>9548.0202993832409</v>
      </c>
      <c r="E11" s="276">
        <f>Shareout!AN86</f>
        <v>10586.080610460773</v>
      </c>
      <c r="F11" s="277">
        <f t="shared" si="1"/>
        <v>-1038.0603110775319</v>
      </c>
      <c r="G11" s="278">
        <f t="shared" si="2"/>
        <v>0</v>
      </c>
      <c r="H11" s="372">
        <f t="shared" si="3"/>
        <v>1038.0603110775319</v>
      </c>
      <c r="I11" s="278"/>
      <c r="J11" s="278"/>
      <c r="K11" s="261">
        <f t="shared" si="4"/>
        <v>-1038.0603110775319</v>
      </c>
      <c r="N11" s="244">
        <v>10</v>
      </c>
      <c r="O11" s="245" t="s">
        <v>25</v>
      </c>
      <c r="P11" s="246">
        <v>2410.8575155719122</v>
      </c>
      <c r="Q11" s="247"/>
      <c r="R11" s="248"/>
      <c r="S11" s="249"/>
      <c r="T11" s="250">
        <f t="shared" si="5"/>
        <v>2410.8575155719122</v>
      </c>
    </row>
    <row r="12" spans="1:21" ht="34" customHeight="1" x14ac:dyDescent="1">
      <c r="A12" s="274">
        <v>11</v>
      </c>
      <c r="B12" s="370" t="s">
        <v>27</v>
      </c>
      <c r="C12" s="275">
        <f>Shares!Y14</f>
        <v>31800</v>
      </c>
      <c r="D12" s="276">
        <f>Shareout!AV85</f>
        <v>42633.685195320744</v>
      </c>
      <c r="E12" s="276">
        <f>Shareout!AV86</f>
        <v>83718.175243260222</v>
      </c>
      <c r="F12" s="277">
        <f t="shared" si="1"/>
        <v>-41084.490047939478</v>
      </c>
      <c r="G12" s="278">
        <f t="shared" si="2"/>
        <v>0</v>
      </c>
      <c r="H12" s="372">
        <f t="shared" si="3"/>
        <v>41084.490047939478</v>
      </c>
      <c r="I12" s="278"/>
      <c r="J12" s="278"/>
      <c r="K12" s="261">
        <f>I12</f>
        <v>0</v>
      </c>
      <c r="N12" s="244">
        <v>12</v>
      </c>
      <c r="O12" s="251" t="s">
        <v>26</v>
      </c>
      <c r="P12" s="246">
        <v>9145.498434302579</v>
      </c>
      <c r="Q12" s="247"/>
      <c r="R12" s="248"/>
      <c r="S12" s="249"/>
      <c r="T12" s="250">
        <f t="shared" si="5"/>
        <v>9145.498434302579</v>
      </c>
    </row>
    <row r="13" spans="1:21" ht="36.5" x14ac:dyDescent="0.85">
      <c r="A13" s="274">
        <v>12</v>
      </c>
      <c r="B13" s="245" t="s">
        <v>28</v>
      </c>
      <c r="C13" s="275">
        <f>Shares!Y15</f>
        <v>3200</v>
      </c>
      <c r="D13" s="276">
        <f>Shareout!AR85</f>
        <v>4258.7265554543374</v>
      </c>
      <c r="E13" s="276">
        <f>Shareout!AR86</f>
        <v>-416.72232592893801</v>
      </c>
      <c r="F13" s="277">
        <f t="shared" si="1"/>
        <v>4675.448881383275</v>
      </c>
      <c r="G13" s="278">
        <f t="shared" si="2"/>
        <v>4675.448881383275</v>
      </c>
      <c r="H13" s="372">
        <f t="shared" si="3"/>
        <v>0</v>
      </c>
      <c r="I13" s="278"/>
      <c r="J13" s="278"/>
      <c r="K13" s="261">
        <f t="shared" si="4"/>
        <v>4675.448881383275</v>
      </c>
      <c r="N13" s="244">
        <v>13</v>
      </c>
      <c r="O13" s="251" t="s">
        <v>27</v>
      </c>
      <c r="P13" s="246">
        <v>2822.9009965656469</v>
      </c>
      <c r="Q13" s="247"/>
      <c r="R13" s="248"/>
      <c r="S13" s="249"/>
      <c r="T13" s="250">
        <f t="shared" si="5"/>
        <v>2822.9009965656469</v>
      </c>
    </row>
    <row r="14" spans="1:21" ht="36.5" x14ac:dyDescent="0.85">
      <c r="A14" s="274">
        <v>13</v>
      </c>
      <c r="B14" s="251" t="s">
        <v>29</v>
      </c>
      <c r="C14" s="275">
        <f>Shares!Y16</f>
        <v>7600</v>
      </c>
      <c r="D14" s="276">
        <f>Shareout!AZ85</f>
        <v>11976.859338187309</v>
      </c>
      <c r="E14" s="276">
        <f>Shareout!AZ86</f>
        <v>11425.695597496884</v>
      </c>
      <c r="F14" s="277">
        <f t="shared" si="1"/>
        <v>551.16374069042467</v>
      </c>
      <c r="G14" s="278">
        <f t="shared" si="2"/>
        <v>551.16374069042467</v>
      </c>
      <c r="H14" s="372">
        <f t="shared" si="3"/>
        <v>0</v>
      </c>
      <c r="I14" s="278"/>
      <c r="J14" s="278"/>
      <c r="K14" s="261">
        <f t="shared" si="4"/>
        <v>551.16374069042467</v>
      </c>
      <c r="N14" s="244">
        <v>14</v>
      </c>
      <c r="O14" s="251" t="s">
        <v>28</v>
      </c>
      <c r="P14" s="246">
        <v>3143.2081459463298</v>
      </c>
      <c r="Q14" s="247"/>
      <c r="R14" s="248"/>
      <c r="S14" s="249"/>
      <c r="T14" s="250">
        <f t="shared" si="5"/>
        <v>3143.2081459463298</v>
      </c>
    </row>
    <row r="15" spans="1:21" ht="36.5" x14ac:dyDescent="0.85">
      <c r="A15" s="274">
        <v>14</v>
      </c>
      <c r="B15" s="251" t="s">
        <v>30</v>
      </c>
      <c r="C15" s="275">
        <f>Shares!Y17</f>
        <v>48800</v>
      </c>
      <c r="D15" s="276">
        <f>Shareout!BD85</f>
        <v>69300.957539268566</v>
      </c>
      <c r="E15" s="276">
        <f>Shareout!BE86</f>
        <v>0</v>
      </c>
      <c r="F15" s="277">
        <f t="shared" si="1"/>
        <v>69300.957539268566</v>
      </c>
      <c r="G15" s="278">
        <f t="shared" si="2"/>
        <v>69300.957539268566</v>
      </c>
      <c r="H15" s="372">
        <f t="shared" si="3"/>
        <v>0</v>
      </c>
      <c r="I15" s="278"/>
      <c r="J15" s="278"/>
      <c r="K15" s="261">
        <f t="shared" si="4"/>
        <v>69300.957539268566</v>
      </c>
      <c r="N15" s="244">
        <v>15</v>
      </c>
      <c r="O15" s="251" t="s">
        <v>29</v>
      </c>
      <c r="P15" s="246"/>
      <c r="Q15" s="247"/>
      <c r="R15" s="248">
        <v>713.59970984557856</v>
      </c>
      <c r="S15" s="249"/>
      <c r="T15" s="250">
        <f t="shared" si="5"/>
        <v>713.59970984557856</v>
      </c>
    </row>
    <row r="16" spans="1:21" ht="36.5" x14ac:dyDescent="0.85">
      <c r="A16" s="274">
        <v>15</v>
      </c>
      <c r="B16" s="251" t="s">
        <v>31</v>
      </c>
      <c r="C16" s="275">
        <f>Shares!Y18</f>
        <v>3600</v>
      </c>
      <c r="D16" s="276">
        <f>Shareout!BH85</f>
        <v>5100.8299477106657</v>
      </c>
      <c r="E16" s="276">
        <f>Shareout!BH86</f>
        <v>5178.3220840290023</v>
      </c>
      <c r="F16" s="277">
        <f t="shared" si="1"/>
        <v>-77.492136318336634</v>
      </c>
      <c r="G16" s="278">
        <f t="shared" si="2"/>
        <v>0</v>
      </c>
      <c r="H16" s="372">
        <f t="shared" si="3"/>
        <v>77.492136318336634</v>
      </c>
      <c r="I16" s="278"/>
      <c r="J16" s="278"/>
      <c r="K16" s="261">
        <f>I16</f>
        <v>0</v>
      </c>
      <c r="N16" s="244">
        <v>16</v>
      </c>
      <c r="O16" s="245" t="s">
        <v>30</v>
      </c>
      <c r="P16" s="246">
        <v>12283.397530568358</v>
      </c>
      <c r="Q16" s="247"/>
      <c r="R16" s="248"/>
      <c r="S16" s="249"/>
      <c r="T16" s="250">
        <f t="shared" si="5"/>
        <v>12283.397530568358</v>
      </c>
    </row>
    <row r="17" spans="1:20" ht="36.5" x14ac:dyDescent="0.85">
      <c r="A17" s="274">
        <v>16</v>
      </c>
      <c r="B17" s="251" t="s">
        <v>32</v>
      </c>
      <c r="C17" s="275">
        <f>Shares!Y19</f>
        <v>25200</v>
      </c>
      <c r="D17" s="276">
        <f>Shareout!BL85</f>
        <v>35608.031025279888</v>
      </c>
      <c r="E17" s="276">
        <f>Shareout!BL86</f>
        <v>1003.2705635702055</v>
      </c>
      <c r="F17" s="277">
        <f t="shared" si="1"/>
        <v>34604.76046170968</v>
      </c>
      <c r="G17" s="278">
        <f t="shared" si="2"/>
        <v>34604.76046170968</v>
      </c>
      <c r="H17" s="372">
        <f t="shared" si="3"/>
        <v>0</v>
      </c>
      <c r="I17" s="278"/>
      <c r="J17" s="278"/>
      <c r="K17" s="261">
        <f t="shared" si="4"/>
        <v>34604.76046170968</v>
      </c>
      <c r="N17" s="244">
        <v>17</v>
      </c>
      <c r="O17" s="245" t="s">
        <v>56</v>
      </c>
      <c r="P17" s="246"/>
      <c r="Q17" s="247"/>
      <c r="R17" s="248">
        <v>2261.2037879110253</v>
      </c>
      <c r="S17" s="249"/>
      <c r="T17" s="250">
        <f t="shared" si="5"/>
        <v>2261.2037879110253</v>
      </c>
    </row>
    <row r="18" spans="1:20" ht="36.5" x14ac:dyDescent="0.85">
      <c r="A18" s="274">
        <v>17</v>
      </c>
      <c r="B18" s="245" t="s">
        <v>33</v>
      </c>
      <c r="C18" s="275">
        <f>Shares!Y20</f>
        <v>25200</v>
      </c>
      <c r="D18" s="276">
        <f>Shareout!BP85</f>
        <v>35718.612540275593</v>
      </c>
      <c r="E18" s="276">
        <f>Shareout!BP86</f>
        <v>-3.0205479455375439E-4</v>
      </c>
      <c r="F18" s="277">
        <f t="shared" si="1"/>
        <v>35718.612842330389</v>
      </c>
      <c r="G18" s="278">
        <f t="shared" si="2"/>
        <v>35718.612842330389</v>
      </c>
      <c r="H18" s="372">
        <f t="shared" si="3"/>
        <v>0</v>
      </c>
      <c r="I18" s="278"/>
      <c r="J18" s="278"/>
      <c r="K18" s="261">
        <f t="shared" si="4"/>
        <v>35718.612842330389</v>
      </c>
      <c r="N18" s="244">
        <v>18</v>
      </c>
      <c r="O18" s="251" t="s">
        <v>31</v>
      </c>
      <c r="P18" s="246"/>
      <c r="Q18" s="247"/>
      <c r="R18" s="248"/>
      <c r="S18" s="249">
        <v>547.09311088161019</v>
      </c>
      <c r="T18" s="250">
        <f t="shared" si="5"/>
        <v>547.09311088161019</v>
      </c>
    </row>
    <row r="19" spans="1:20" ht="36.5" x14ac:dyDescent="0.85">
      <c r="A19" s="274">
        <v>18</v>
      </c>
      <c r="B19" s="245" t="s">
        <v>34</v>
      </c>
      <c r="C19" s="275">
        <f>Shares!Y21</f>
        <v>27000</v>
      </c>
      <c r="D19" s="276">
        <f>Shareout!BT85</f>
        <v>39807.920003287312</v>
      </c>
      <c r="E19" s="276">
        <f>Shareout!BT86</f>
        <v>6491.2086094137176</v>
      </c>
      <c r="F19" s="277">
        <f t="shared" si="1"/>
        <v>33316.711393873593</v>
      </c>
      <c r="G19" s="278">
        <f t="shared" si="2"/>
        <v>33316.711393873593</v>
      </c>
      <c r="H19" s="372">
        <f t="shared" si="3"/>
        <v>0</v>
      </c>
      <c r="I19" s="278"/>
      <c r="J19" s="278"/>
      <c r="K19" s="261">
        <f>I19</f>
        <v>0</v>
      </c>
      <c r="N19" s="244">
        <v>19</v>
      </c>
      <c r="O19" s="245" t="s">
        <v>57</v>
      </c>
      <c r="P19" s="246"/>
      <c r="Q19" s="247"/>
      <c r="R19" s="248"/>
      <c r="S19" s="249">
        <v>7386.687203169261</v>
      </c>
      <c r="T19" s="250">
        <f t="shared" si="5"/>
        <v>7386.687203169261</v>
      </c>
    </row>
    <row r="20" spans="1:20" ht="36.5" x14ac:dyDescent="0.85">
      <c r="A20" s="274">
        <v>19</v>
      </c>
      <c r="B20" s="251" t="s">
        <v>48</v>
      </c>
      <c r="C20" s="275">
        <f>Shares!Y22</f>
        <v>33800</v>
      </c>
      <c r="D20" s="276">
        <f>Shareout!BX85</f>
        <v>48194.340251277354</v>
      </c>
      <c r="E20" s="276">
        <f>Shareout!BX86</f>
        <v>9143.7200000000012</v>
      </c>
      <c r="F20" s="277">
        <f t="shared" si="1"/>
        <v>39050.620251277353</v>
      </c>
      <c r="G20" s="278">
        <f t="shared" si="2"/>
        <v>39050.620251277353</v>
      </c>
      <c r="H20" s="372">
        <f t="shared" si="3"/>
        <v>0</v>
      </c>
      <c r="I20" s="278"/>
      <c r="J20" s="278"/>
      <c r="K20" s="261">
        <f t="shared" si="4"/>
        <v>39050.620251277353</v>
      </c>
      <c r="N20" s="244">
        <v>20</v>
      </c>
      <c r="O20" s="245" t="s">
        <v>32</v>
      </c>
      <c r="P20" s="246"/>
      <c r="Q20" s="247"/>
      <c r="R20" s="248"/>
      <c r="S20" s="249">
        <v>37044.944817026779</v>
      </c>
      <c r="T20" s="250">
        <f t="shared" si="5"/>
        <v>37044.944817026779</v>
      </c>
    </row>
    <row r="21" spans="1:20" ht="36.5" x14ac:dyDescent="0.85">
      <c r="A21" s="274">
        <v>20</v>
      </c>
      <c r="B21" s="245" t="s">
        <v>35</v>
      </c>
      <c r="C21" s="275">
        <f>Shares!Y23</f>
        <v>25000</v>
      </c>
      <c r="D21" s="276">
        <f>Shareout!CB85</f>
        <v>39135.115546669149</v>
      </c>
      <c r="E21" s="276">
        <f>Shareout!CB86</f>
        <v>2044.6104369139427</v>
      </c>
      <c r="F21" s="277">
        <f t="shared" si="1"/>
        <v>37090.505109755206</v>
      </c>
      <c r="G21" s="278">
        <f t="shared" si="2"/>
        <v>37090.505109755206</v>
      </c>
      <c r="H21" s="372">
        <f t="shared" si="3"/>
        <v>0</v>
      </c>
      <c r="I21" s="278"/>
      <c r="J21" s="278"/>
      <c r="K21" s="261">
        <f t="shared" si="4"/>
        <v>37090.505109755206</v>
      </c>
      <c r="N21" s="244">
        <v>21</v>
      </c>
      <c r="O21" s="245" t="s">
        <v>33</v>
      </c>
      <c r="P21" s="246"/>
      <c r="Q21" s="247"/>
      <c r="R21" s="248">
        <v>4611.9388825990718</v>
      </c>
      <c r="S21" s="249"/>
      <c r="T21" s="250">
        <f t="shared" si="5"/>
        <v>4611.9388825990718</v>
      </c>
    </row>
    <row r="22" spans="1:20" ht="39.5" x14ac:dyDescent="1">
      <c r="A22" s="274">
        <v>21</v>
      </c>
      <c r="B22" s="370" t="s">
        <v>36</v>
      </c>
      <c r="C22" s="275">
        <f>Shares!Y24</f>
        <v>14200</v>
      </c>
      <c r="D22" s="276">
        <f>Shareout!CF85</f>
        <v>20082.570764042619</v>
      </c>
      <c r="E22" s="276">
        <f>Shareout!CF86</f>
        <v>19210.884011449532</v>
      </c>
      <c r="F22" s="277">
        <f t="shared" si="1"/>
        <v>871.68675259308657</v>
      </c>
      <c r="G22" s="278">
        <f t="shared" si="2"/>
        <v>871.68675259308657</v>
      </c>
      <c r="H22" s="372">
        <f t="shared" si="3"/>
        <v>0</v>
      </c>
      <c r="I22" s="278"/>
      <c r="J22" s="278"/>
      <c r="K22" s="261">
        <f t="shared" si="4"/>
        <v>871.68675259308657</v>
      </c>
      <c r="N22" s="244">
        <v>22</v>
      </c>
      <c r="O22" s="251" t="s">
        <v>34</v>
      </c>
      <c r="P22" s="246"/>
      <c r="Q22" s="247"/>
      <c r="R22" s="248">
        <v>25176.848514117923</v>
      </c>
      <c r="S22" s="249"/>
      <c r="T22" s="250">
        <f t="shared" si="5"/>
        <v>25176.848514117923</v>
      </c>
    </row>
    <row r="23" spans="1:20" ht="36.5" x14ac:dyDescent="0.85">
      <c r="A23" s="274">
        <v>22</v>
      </c>
      <c r="B23" s="245" t="s">
        <v>37</v>
      </c>
      <c r="C23" s="275">
        <f>Shares!Y25</f>
        <v>32200</v>
      </c>
      <c r="D23" s="276">
        <f>Shareout!CJ85</f>
        <v>48288.144526670905</v>
      </c>
      <c r="E23" s="276">
        <f>Shareout!CJ86</f>
        <v>29574.557214041095</v>
      </c>
      <c r="F23" s="277">
        <f t="shared" si="1"/>
        <v>18713.58731262981</v>
      </c>
      <c r="G23" s="278">
        <f t="shared" si="2"/>
        <v>18713.58731262981</v>
      </c>
      <c r="H23" s="372">
        <f t="shared" si="3"/>
        <v>0</v>
      </c>
      <c r="I23" s="278"/>
      <c r="J23" s="278"/>
      <c r="K23" s="261">
        <f t="shared" si="4"/>
        <v>18713.58731262981</v>
      </c>
      <c r="N23" s="244">
        <v>23</v>
      </c>
      <c r="O23" s="251" t="s">
        <v>35</v>
      </c>
      <c r="P23" s="246">
        <v>2212.1591005212936</v>
      </c>
      <c r="Q23" s="247"/>
      <c r="R23" s="248"/>
      <c r="S23" s="249"/>
      <c r="T23" s="250">
        <f t="shared" si="5"/>
        <v>2212.1591005212936</v>
      </c>
    </row>
    <row r="24" spans="1:20" ht="36.5" x14ac:dyDescent="0.85">
      <c r="A24" s="274">
        <v>23</v>
      </c>
      <c r="B24" s="251" t="s">
        <v>38</v>
      </c>
      <c r="C24" s="275">
        <f>Shares!Y26</f>
        <v>11000</v>
      </c>
      <c r="D24" s="276">
        <f>Shareout!CN85</f>
        <v>17250.525644096684</v>
      </c>
      <c r="E24" s="276">
        <f>Shareout!CN86</f>
        <v>16577.724892995608</v>
      </c>
      <c r="F24" s="277">
        <f t="shared" si="1"/>
        <v>672.80075110107646</v>
      </c>
      <c r="G24" s="278">
        <f t="shared" si="2"/>
        <v>672.80075110107646</v>
      </c>
      <c r="H24" s="372">
        <f t="shared" si="3"/>
        <v>0</v>
      </c>
      <c r="I24" s="278"/>
      <c r="J24" s="278"/>
      <c r="K24" s="261">
        <f>I24</f>
        <v>0</v>
      </c>
      <c r="N24" s="244">
        <v>24</v>
      </c>
      <c r="O24" s="251" t="s">
        <v>36</v>
      </c>
      <c r="P24" s="246"/>
      <c r="Q24" s="247"/>
      <c r="R24" s="248"/>
      <c r="S24" s="249">
        <v>1218.7283639383277</v>
      </c>
      <c r="T24" s="250">
        <f t="shared" si="5"/>
        <v>1218.7283639383277</v>
      </c>
    </row>
    <row r="25" spans="1:20" ht="39.5" x14ac:dyDescent="0.85">
      <c r="A25" s="274">
        <v>24</v>
      </c>
      <c r="B25" s="373" t="s">
        <v>39</v>
      </c>
      <c r="C25" s="275">
        <f>Shares!Y27</f>
        <v>9400</v>
      </c>
      <c r="D25" s="276">
        <f>Shareout!CR85</f>
        <v>14514.644727433986</v>
      </c>
      <c r="E25" s="276">
        <f>Shareout!CR86</f>
        <v>0</v>
      </c>
      <c r="F25" s="277">
        <f t="shared" si="1"/>
        <v>14514.644727433986</v>
      </c>
      <c r="G25" s="278">
        <f t="shared" si="2"/>
        <v>14514.644727433986</v>
      </c>
      <c r="H25" s="372">
        <f t="shared" si="3"/>
        <v>0</v>
      </c>
      <c r="I25" s="278"/>
      <c r="J25" s="278"/>
      <c r="K25" s="261">
        <f t="shared" si="4"/>
        <v>14514.644727433986</v>
      </c>
      <c r="N25" s="244">
        <v>26</v>
      </c>
      <c r="O25" s="251" t="s">
        <v>37</v>
      </c>
      <c r="P25" s="246"/>
      <c r="Q25" s="247"/>
      <c r="R25" s="248"/>
      <c r="S25" s="249">
        <v>9310.2101516605308</v>
      </c>
      <c r="T25" s="250">
        <f t="shared" si="5"/>
        <v>9310.2101516605308</v>
      </c>
    </row>
    <row r="26" spans="1:20" ht="36.5" x14ac:dyDescent="0.85">
      <c r="A26" s="274">
        <v>25</v>
      </c>
      <c r="B26" s="251" t="s">
        <v>40</v>
      </c>
      <c r="C26" s="275">
        <f>Shares!Y28</f>
        <v>200</v>
      </c>
      <c r="D26" s="276">
        <f>Shareout!CV85</f>
        <v>341.29220751527367</v>
      </c>
      <c r="E26" s="276">
        <f>Shareout!CV86</f>
        <v>0</v>
      </c>
      <c r="F26" s="277">
        <f t="shared" si="1"/>
        <v>341.29220751527367</v>
      </c>
      <c r="G26" s="278">
        <f t="shared" si="2"/>
        <v>341.29220751527367</v>
      </c>
      <c r="H26" s="372">
        <f t="shared" si="3"/>
        <v>0</v>
      </c>
      <c r="I26" s="278"/>
      <c r="J26" s="278"/>
      <c r="K26" s="261">
        <f>I26</f>
        <v>0</v>
      </c>
      <c r="N26" s="244">
        <v>27</v>
      </c>
      <c r="O26" s="251" t="s">
        <v>38</v>
      </c>
      <c r="P26" s="246"/>
      <c r="Q26" s="247"/>
      <c r="R26" s="248"/>
      <c r="S26" s="249">
        <v>13138.548785129897</v>
      </c>
      <c r="T26" s="250">
        <f t="shared" si="5"/>
        <v>13138.548785129897</v>
      </c>
    </row>
    <row r="27" spans="1:20" ht="36.5" x14ac:dyDescent="0.85">
      <c r="A27" s="274"/>
      <c r="B27" s="251"/>
      <c r="C27" s="275">
        <f>Shares!Y29</f>
        <v>27800</v>
      </c>
      <c r="D27" s="276">
        <f>Shareout!CZ85</f>
        <v>42115.685673627086</v>
      </c>
      <c r="E27" s="276">
        <f>Shareout!CZ86</f>
        <v>0</v>
      </c>
      <c r="F27" s="277">
        <f t="shared" si="1"/>
        <v>42115.685673627086</v>
      </c>
      <c r="G27" s="278"/>
      <c r="H27" s="372">
        <f t="shared" si="3"/>
        <v>0</v>
      </c>
      <c r="I27" s="278"/>
      <c r="J27" s="278"/>
      <c r="K27" s="261"/>
      <c r="N27" s="244">
        <v>28</v>
      </c>
      <c r="O27" s="251" t="s">
        <v>39</v>
      </c>
      <c r="P27" s="246"/>
      <c r="Q27" s="247">
        <v>10324.315844730983</v>
      </c>
      <c r="R27" s="248"/>
      <c r="S27" s="249"/>
      <c r="T27" s="250">
        <f t="shared" si="5"/>
        <v>10324.315844730983</v>
      </c>
    </row>
    <row r="28" spans="1:20" ht="34" x14ac:dyDescent="0.7">
      <c r="A28" s="267"/>
      <c r="B28" s="268" t="s">
        <v>14</v>
      </c>
      <c r="C28" s="269">
        <f t="shared" ref="C28:F28" si="6">SUM(C2:C27)</f>
        <v>459600</v>
      </c>
      <c r="D28" s="269">
        <f t="shared" si="6"/>
        <v>663565.44158055878</v>
      </c>
      <c r="E28" s="269">
        <f t="shared" si="6"/>
        <v>333441.67709029856</v>
      </c>
      <c r="F28" s="269">
        <f t="shared" si="6"/>
        <v>330123.76449025993</v>
      </c>
      <c r="G28" s="269">
        <f>SUM(G2:G27)</f>
        <v>367137.41317364341</v>
      </c>
      <c r="H28" s="269">
        <f>SUM(H2:H27)</f>
        <v>79129.334357010564</v>
      </c>
      <c r="I28" s="269">
        <f t="shared" ref="I28:K28" si="7">SUM(I2:I27)</f>
        <v>0</v>
      </c>
      <c r="J28" s="269">
        <f t="shared" si="7"/>
        <v>0</v>
      </c>
      <c r="K28" s="269">
        <f t="shared" si="7"/>
        <v>292151.76455453056</v>
      </c>
      <c r="N28" s="244">
        <v>29</v>
      </c>
      <c r="O28" s="251" t="s">
        <v>40</v>
      </c>
      <c r="P28" s="246">
        <v>1805.9498753813236</v>
      </c>
      <c r="Q28" s="247"/>
      <c r="R28" s="248"/>
      <c r="S28" s="249"/>
      <c r="T28" s="250">
        <f t="shared" si="5"/>
        <v>1805.9498753813236</v>
      </c>
    </row>
    <row r="29" spans="1:20" ht="34.5" thickBot="1" x14ac:dyDescent="0.75">
      <c r="N29" s="231">
        <v>30</v>
      </c>
      <c r="O29" s="252" t="s">
        <v>60</v>
      </c>
      <c r="P29" s="253"/>
      <c r="Q29" s="254">
        <v>25667.693492766404</v>
      </c>
      <c r="R29" s="255"/>
      <c r="S29" s="256"/>
      <c r="T29" s="257">
        <f t="shared" si="5"/>
        <v>25667.693492766404</v>
      </c>
    </row>
    <row r="30" spans="1:20" x14ac:dyDescent="0.45">
      <c r="N30" s="258"/>
      <c r="O30" s="258"/>
      <c r="P30" s="259">
        <v>49396.370014637621</v>
      </c>
      <c r="Q30" s="259">
        <v>73316.73</v>
      </c>
      <c r="R30" s="259">
        <v>38585.613693135318</v>
      </c>
      <c r="S30" s="259">
        <v>68760</v>
      </c>
      <c r="T30" s="259">
        <f>SUM(T3:T29)</f>
        <v>214775.08824966295</v>
      </c>
    </row>
    <row r="31" spans="1:20" ht="36" x14ac:dyDescent="0.8">
      <c r="B31" s="407" t="s">
        <v>96</v>
      </c>
      <c r="C31" s="407"/>
      <c r="D31" s="441">
        <f>Admins!L8</f>
        <v>341793.43186833372</v>
      </c>
      <c r="E31" s="441"/>
      <c r="F31" s="441"/>
      <c r="G31" s="441"/>
      <c r="H31" s="441"/>
      <c r="I31" s="262"/>
      <c r="N31" s="263">
        <v>333</v>
      </c>
      <c r="O31" s="264" t="s">
        <v>95</v>
      </c>
      <c r="P31" s="265">
        <f>P30-P2</f>
        <v>6233.8550936101965</v>
      </c>
      <c r="Q31" s="265">
        <f>Q30-Q2-Q34</f>
        <v>947.21459962403605</v>
      </c>
      <c r="R31" s="265">
        <f t="shared" ref="R31:S31" si="8">R30-R2</f>
        <v>4646.7428889053917</v>
      </c>
      <c r="S31" s="265">
        <f t="shared" si="8"/>
        <v>113.78756819359842</v>
      </c>
      <c r="T31" s="266">
        <f>SUM(P31:S31)</f>
        <v>11941.600150333223</v>
      </c>
    </row>
    <row r="32" spans="1:20" ht="36" x14ac:dyDescent="0.8">
      <c r="B32" s="407" t="s">
        <v>97</v>
      </c>
      <c r="C32" s="407"/>
      <c r="D32" s="441">
        <f>H28</f>
        <v>79129.334357010564</v>
      </c>
      <c r="E32" s="441"/>
      <c r="F32" s="441"/>
      <c r="G32" s="441"/>
      <c r="H32" s="441"/>
      <c r="Q32" s="262">
        <f>Q31-T34</f>
        <v>-48008.034234092665</v>
      </c>
      <c r="T32" s="262">
        <f>H28+T31</f>
        <v>91070.934507343787</v>
      </c>
    </row>
    <row r="33" spans="2:20" ht="36" x14ac:dyDescent="0.8">
      <c r="B33" s="408" t="s">
        <v>71</v>
      </c>
      <c r="C33" s="408"/>
      <c r="D33" s="442">
        <f>SUM(D31:H32)</f>
        <v>420922.76622534427</v>
      </c>
      <c r="E33" s="442"/>
      <c r="F33" s="442"/>
      <c r="G33" s="442"/>
      <c r="H33" s="442"/>
      <c r="I33" s="262"/>
      <c r="T33" s="262">
        <f>H28+T31</f>
        <v>91070.934507343787</v>
      </c>
    </row>
    <row r="34" spans="2:20" ht="36" x14ac:dyDescent="0.8">
      <c r="B34" s="407" t="s">
        <v>90</v>
      </c>
      <c r="C34" s="407"/>
      <c r="D34" s="441">
        <f>G28</f>
        <v>367137.41317364341</v>
      </c>
      <c r="E34" s="441"/>
      <c r="F34" s="441"/>
      <c r="G34" s="441"/>
      <c r="H34" s="441"/>
      <c r="Q34" s="54">
        <v>3342.0253077767775</v>
      </c>
      <c r="T34" s="262">
        <f>T33-D35</f>
        <v>48955.248833716701</v>
      </c>
    </row>
    <row r="35" spans="2:20" ht="36" x14ac:dyDescent="0.8">
      <c r="B35" s="407" t="s">
        <v>69</v>
      </c>
      <c r="C35" s="407"/>
      <c r="D35" s="441">
        <f>F27</f>
        <v>42115.685673627086</v>
      </c>
      <c r="E35" s="441"/>
      <c r="F35" s="441"/>
      <c r="G35" s="441"/>
      <c r="H35" s="441"/>
    </row>
    <row r="36" spans="2:20" ht="36" x14ac:dyDescent="0.8">
      <c r="B36" s="408" t="s">
        <v>211</v>
      </c>
      <c r="C36" s="408"/>
      <c r="D36" s="442">
        <f>D34+D35</f>
        <v>409253.09884727048</v>
      </c>
      <c r="E36" s="442"/>
      <c r="F36" s="442"/>
      <c r="G36" s="442"/>
      <c r="H36" s="442"/>
    </row>
    <row r="37" spans="2:20" ht="36" x14ac:dyDescent="0.8">
      <c r="B37" s="407"/>
      <c r="C37" s="407"/>
      <c r="D37" s="409"/>
      <c r="E37" s="409"/>
      <c r="F37" s="409"/>
      <c r="G37" s="409"/>
      <c r="H37" s="407"/>
    </row>
    <row r="38" spans="2:20" ht="36" x14ac:dyDescent="0.8">
      <c r="B38" s="407" t="s">
        <v>46</v>
      </c>
      <c r="C38" s="407"/>
      <c r="D38" s="441">
        <f>D33-D36</f>
        <v>11669.667378073791</v>
      </c>
      <c r="E38" s="441"/>
      <c r="F38" s="441"/>
      <c r="G38" s="441"/>
      <c r="H38" s="441"/>
    </row>
  </sheetData>
  <autoFilter ref="A1:K28" xr:uid="{FAF5ADD7-3E9D-4EE3-A4C6-BEDA8972EF46}"/>
  <sortState xmlns:xlrd2="http://schemas.microsoft.com/office/spreadsheetml/2017/richdata2" ref="B1:B109">
    <sortCondition ref="B1:B109"/>
  </sortState>
  <mergeCells count="9">
    <mergeCell ref="N1:O1"/>
    <mergeCell ref="T1:T2"/>
    <mergeCell ref="D38:H38"/>
    <mergeCell ref="D31:H31"/>
    <mergeCell ref="D32:H32"/>
    <mergeCell ref="D33:H33"/>
    <mergeCell ref="D34:H34"/>
    <mergeCell ref="D36:H36"/>
    <mergeCell ref="D35:H35"/>
  </mergeCells>
  <phoneticPr fontId="2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6EE4-6131-4900-80C1-21F8781074CB}">
  <dimension ref="B1:DA88"/>
  <sheetViews>
    <sheetView tabSelected="1" topLeftCell="CL1" zoomScale="80" zoomScaleNormal="80" workbookViewId="0">
      <pane ySplit="1" topLeftCell="A72" activePane="bottomLeft" state="frozen"/>
      <selection pane="bottomLeft" activeCell="E93" sqref="E93"/>
    </sheetView>
  </sheetViews>
  <sheetFormatPr defaultRowHeight="14.5" x14ac:dyDescent="0.35"/>
  <cols>
    <col min="2" max="2" width="18.7265625" customWidth="1"/>
    <col min="3" max="3" width="15.1796875" bestFit="1" customWidth="1"/>
    <col min="4" max="4" width="12.26953125" bestFit="1" customWidth="1"/>
    <col min="5" max="5" width="12.26953125" customWidth="1"/>
    <col min="6" max="6" width="13.453125" customWidth="1"/>
    <col min="7" max="7" width="12" bestFit="1" customWidth="1"/>
    <col min="8" max="8" width="11" customWidth="1"/>
    <col min="9" max="9" width="11.26953125" bestFit="1" customWidth="1"/>
    <col min="10" max="10" width="13.453125" customWidth="1"/>
    <col min="11" max="11" width="12" bestFit="1" customWidth="1"/>
    <col min="12" max="12" width="11" customWidth="1"/>
    <col min="13" max="13" width="10.54296875" bestFit="1" customWidth="1"/>
    <col min="14" max="14" width="13.26953125" customWidth="1"/>
    <col min="15" max="15" width="12" bestFit="1" customWidth="1"/>
    <col min="17" max="17" width="13.54296875" customWidth="1"/>
    <col min="18" max="18" width="12" customWidth="1"/>
    <col min="19" max="19" width="12" bestFit="1" customWidth="1"/>
    <col min="23" max="23" width="11.81640625" customWidth="1"/>
    <col min="24" max="24" width="11.26953125" bestFit="1" customWidth="1"/>
    <col min="27" max="27" width="10.7265625" customWidth="1"/>
    <col min="28" max="28" width="11.453125" customWidth="1"/>
    <col min="31" max="31" width="11.54296875" customWidth="1"/>
    <col min="32" max="32" width="12.54296875" customWidth="1"/>
    <col min="35" max="35" width="12.54296875" customWidth="1"/>
    <col min="36" max="36" width="12.36328125" bestFit="1" customWidth="1"/>
    <col min="39" max="39" width="14.1796875" bestFit="1" customWidth="1"/>
    <col min="40" max="40" width="11.26953125" bestFit="1" customWidth="1"/>
    <col min="43" max="43" width="11" customWidth="1"/>
    <col min="44" max="44" width="11.26953125" bestFit="1" customWidth="1"/>
    <col min="47" max="47" width="15" customWidth="1"/>
    <col min="48" max="48" width="12" bestFit="1" customWidth="1"/>
    <col min="51" max="51" width="15" customWidth="1"/>
    <col min="52" max="52" width="12" bestFit="1" customWidth="1"/>
    <col min="55" max="55" width="11" customWidth="1"/>
    <col min="56" max="56" width="11.26953125" bestFit="1" customWidth="1"/>
    <col min="59" max="59" width="13.453125" customWidth="1"/>
    <col min="60" max="60" width="12" bestFit="1" customWidth="1"/>
    <col min="63" max="63" width="12.453125" bestFit="1" customWidth="1"/>
    <col min="64" max="64" width="11.26953125" bestFit="1" customWidth="1"/>
    <col min="67" max="67" width="12.453125" bestFit="1" customWidth="1"/>
    <col min="68" max="68" width="11.26953125" bestFit="1" customWidth="1"/>
    <col min="71" max="71" width="12.453125" bestFit="1" customWidth="1"/>
    <col min="72" max="72" width="11.26953125" bestFit="1" customWidth="1"/>
    <col min="75" max="75" width="21.26953125" bestFit="1" customWidth="1"/>
    <col min="76" max="76" width="11.7265625" bestFit="1" customWidth="1"/>
    <col min="79" max="79" width="21.26953125" bestFit="1" customWidth="1"/>
    <col min="80" max="80" width="11.7265625" bestFit="1" customWidth="1"/>
    <col min="83" max="83" width="12.453125" bestFit="1" customWidth="1"/>
    <col min="84" max="84" width="11.26953125" bestFit="1" customWidth="1"/>
    <col min="87" max="87" width="15.453125" bestFit="1" customWidth="1"/>
    <col min="88" max="88" width="10.6328125" bestFit="1" customWidth="1"/>
    <col min="89" max="89" width="6.81640625" bestFit="1" customWidth="1"/>
    <col min="91" max="91" width="15.453125" bestFit="1" customWidth="1"/>
    <col min="92" max="92" width="10.54296875" bestFit="1" customWidth="1"/>
    <col min="95" max="95" width="16.54296875" bestFit="1" customWidth="1"/>
    <col min="96" max="96" width="11.26953125" bestFit="1" customWidth="1"/>
    <col min="99" max="99" width="16.54296875" bestFit="1" customWidth="1"/>
    <col min="100" max="100" width="11.26953125" bestFit="1" customWidth="1"/>
    <col min="103" max="103" width="12.453125" bestFit="1" customWidth="1"/>
    <col min="104" max="104" width="11.26953125" bestFit="1" customWidth="1"/>
  </cols>
  <sheetData>
    <row r="1" spans="2:105" ht="17" x14ac:dyDescent="0.45">
      <c r="B1" s="445" t="s">
        <v>18</v>
      </c>
      <c r="C1" s="446"/>
      <c r="D1" s="446"/>
      <c r="F1" s="445" t="s">
        <v>209</v>
      </c>
      <c r="G1" s="446"/>
      <c r="H1" s="446"/>
      <c r="J1" s="445" t="s">
        <v>19</v>
      </c>
      <c r="K1" s="446"/>
      <c r="L1" s="446"/>
      <c r="N1" s="445" t="s">
        <v>20</v>
      </c>
      <c r="O1" s="446"/>
      <c r="P1" s="446"/>
      <c r="R1" s="445" t="s">
        <v>21</v>
      </c>
      <c r="S1" s="446"/>
      <c r="T1" s="446"/>
      <c r="W1" s="445" t="s">
        <v>22</v>
      </c>
      <c r="X1" s="446"/>
      <c r="Y1" s="446"/>
      <c r="AA1" s="443" t="s">
        <v>23</v>
      </c>
      <c r="AB1" s="444"/>
      <c r="AC1" s="444"/>
      <c r="AE1" s="445" t="s">
        <v>24</v>
      </c>
      <c r="AF1" s="446"/>
      <c r="AG1" s="446"/>
      <c r="AI1" s="443" t="s">
        <v>25</v>
      </c>
      <c r="AJ1" s="444"/>
      <c r="AK1" s="444"/>
      <c r="AL1" s="160"/>
      <c r="AM1" s="445" t="s">
        <v>26</v>
      </c>
      <c r="AN1" s="446"/>
      <c r="AO1" s="446"/>
      <c r="AQ1" s="445" t="s">
        <v>28</v>
      </c>
      <c r="AR1" s="446"/>
      <c r="AS1" s="446"/>
      <c r="AU1" s="445" t="s">
        <v>27</v>
      </c>
      <c r="AV1" s="446"/>
      <c r="AW1" s="446"/>
      <c r="AY1" s="445" t="s">
        <v>29</v>
      </c>
      <c r="AZ1" s="446"/>
      <c r="BA1" s="446"/>
      <c r="BC1" s="445" t="s">
        <v>30</v>
      </c>
      <c r="BD1" s="446"/>
      <c r="BE1" s="446"/>
      <c r="BG1" s="445" t="s">
        <v>31</v>
      </c>
      <c r="BH1" s="446"/>
      <c r="BI1" s="446"/>
      <c r="BK1" s="445" t="s">
        <v>32</v>
      </c>
      <c r="BL1" s="446"/>
      <c r="BM1" s="446"/>
      <c r="BO1" s="445" t="s">
        <v>33</v>
      </c>
      <c r="BP1" s="446"/>
      <c r="BQ1" s="446"/>
      <c r="BS1" s="445" t="s">
        <v>34</v>
      </c>
      <c r="BT1" s="446"/>
      <c r="BU1" s="446"/>
      <c r="BV1" s="368"/>
      <c r="BW1" s="443" t="s">
        <v>48</v>
      </c>
      <c r="BX1" s="444"/>
      <c r="BY1" s="444"/>
      <c r="CA1" s="443" t="s">
        <v>35</v>
      </c>
      <c r="CB1" s="444"/>
      <c r="CC1" s="444"/>
      <c r="CD1" s="159"/>
      <c r="CE1" s="443" t="s">
        <v>36</v>
      </c>
      <c r="CF1" s="444"/>
      <c r="CG1" s="444"/>
      <c r="CI1" s="443" t="s">
        <v>37</v>
      </c>
      <c r="CJ1" s="444"/>
      <c r="CK1" s="444"/>
      <c r="CM1" s="443" t="s">
        <v>38</v>
      </c>
      <c r="CN1" s="444"/>
      <c r="CO1" s="444"/>
      <c r="CQ1" s="443" t="s">
        <v>39</v>
      </c>
      <c r="CR1" s="444"/>
      <c r="CS1" s="444"/>
      <c r="CU1" s="443" t="s">
        <v>40</v>
      </c>
      <c r="CV1" s="444"/>
      <c r="CW1" s="444"/>
      <c r="CY1" s="443" t="s">
        <v>41</v>
      </c>
      <c r="CZ1" s="444"/>
      <c r="DA1" s="444"/>
    </row>
    <row r="2" spans="2:105" x14ac:dyDescent="0.35">
      <c r="B2" s="35"/>
      <c r="C2" s="36" t="s">
        <v>157</v>
      </c>
      <c r="D2" s="36" t="s">
        <v>158</v>
      </c>
      <c r="E2" s="159"/>
      <c r="F2" s="35"/>
      <c r="G2" s="36" t="s">
        <v>157</v>
      </c>
      <c r="H2" s="36" t="s">
        <v>158</v>
      </c>
      <c r="J2" s="35"/>
      <c r="K2" s="36" t="s">
        <v>157</v>
      </c>
      <c r="L2" s="36" t="s">
        <v>158</v>
      </c>
      <c r="N2" s="35"/>
      <c r="O2" s="36" t="s">
        <v>157</v>
      </c>
      <c r="P2" s="36" t="s">
        <v>158</v>
      </c>
      <c r="R2" s="35"/>
      <c r="S2" s="36" t="s">
        <v>157</v>
      </c>
      <c r="T2" s="36" t="s">
        <v>158</v>
      </c>
      <c r="W2" s="35"/>
      <c r="X2" s="36" t="s">
        <v>157</v>
      </c>
      <c r="Y2" s="36" t="s">
        <v>158</v>
      </c>
      <c r="AA2" s="35"/>
      <c r="AB2" s="36" t="s">
        <v>157</v>
      </c>
      <c r="AC2" s="36" t="s">
        <v>158</v>
      </c>
      <c r="AE2" s="35"/>
      <c r="AF2" s="36" t="s">
        <v>157</v>
      </c>
      <c r="AG2" s="36" t="s">
        <v>158</v>
      </c>
      <c r="AI2" s="35"/>
      <c r="AJ2" s="36" t="s">
        <v>157</v>
      </c>
      <c r="AK2" s="36" t="s">
        <v>158</v>
      </c>
      <c r="AL2" s="159"/>
      <c r="AM2" s="35"/>
      <c r="AN2" s="36" t="s">
        <v>157</v>
      </c>
      <c r="AO2" s="36" t="s">
        <v>158</v>
      </c>
      <c r="AQ2" s="35"/>
      <c r="AR2" s="36" t="s">
        <v>157</v>
      </c>
      <c r="AS2" s="36" t="s">
        <v>158</v>
      </c>
      <c r="AU2" s="35"/>
      <c r="AV2" s="36" t="s">
        <v>157</v>
      </c>
      <c r="AW2" s="36" t="s">
        <v>158</v>
      </c>
      <c r="AY2" s="35"/>
      <c r="AZ2" s="36" t="s">
        <v>157</v>
      </c>
      <c r="BA2" s="36" t="s">
        <v>158</v>
      </c>
      <c r="BC2" s="35"/>
      <c r="BD2" s="36" t="s">
        <v>157</v>
      </c>
      <c r="BE2" s="36" t="s">
        <v>158</v>
      </c>
      <c r="BG2" s="35"/>
      <c r="BH2" s="36" t="s">
        <v>157</v>
      </c>
      <c r="BI2" s="36" t="s">
        <v>158</v>
      </c>
      <c r="BK2" s="35"/>
      <c r="BL2" s="36" t="s">
        <v>157</v>
      </c>
      <c r="BM2" s="36" t="s">
        <v>158</v>
      </c>
      <c r="BO2" s="35"/>
      <c r="BP2" s="36" t="s">
        <v>157</v>
      </c>
      <c r="BQ2" s="36" t="s">
        <v>158</v>
      </c>
      <c r="BS2" s="35"/>
      <c r="BT2" s="36" t="s">
        <v>157</v>
      </c>
      <c r="BU2" s="36" t="s">
        <v>158</v>
      </c>
      <c r="BV2" s="159"/>
      <c r="BW2" s="35"/>
      <c r="BX2" s="36" t="s">
        <v>157</v>
      </c>
      <c r="BY2" s="36" t="s">
        <v>158</v>
      </c>
      <c r="CA2" s="35"/>
      <c r="CB2" s="36" t="s">
        <v>157</v>
      </c>
      <c r="CC2" s="36" t="s">
        <v>158</v>
      </c>
      <c r="CD2" s="159"/>
      <c r="CE2" s="35"/>
      <c r="CF2" s="36" t="s">
        <v>157</v>
      </c>
      <c r="CG2" s="36" t="s">
        <v>158</v>
      </c>
      <c r="CI2" s="35"/>
      <c r="CJ2" s="36" t="s">
        <v>157</v>
      </c>
      <c r="CK2" s="36" t="s">
        <v>158</v>
      </c>
      <c r="CM2" s="35"/>
      <c r="CN2" s="36" t="s">
        <v>157</v>
      </c>
      <c r="CO2" s="36" t="s">
        <v>158</v>
      </c>
      <c r="CQ2" s="35"/>
      <c r="CR2" s="36" t="s">
        <v>157</v>
      </c>
      <c r="CS2" s="36" t="s">
        <v>158</v>
      </c>
      <c r="CU2" s="35"/>
      <c r="CV2" s="36" t="s">
        <v>157</v>
      </c>
      <c r="CW2" s="36" t="s">
        <v>158</v>
      </c>
      <c r="CY2" s="35"/>
      <c r="CZ2" s="36" t="s">
        <v>157</v>
      </c>
      <c r="DA2" s="36" t="s">
        <v>158</v>
      </c>
    </row>
    <row r="3" spans="2:105" x14ac:dyDescent="0.35">
      <c r="B3" s="35"/>
      <c r="C3" s="36"/>
      <c r="D3" s="36"/>
      <c r="E3" s="159"/>
      <c r="F3" s="35"/>
      <c r="G3" s="36"/>
      <c r="H3" s="36"/>
      <c r="J3" s="35"/>
      <c r="K3" s="36"/>
      <c r="L3" s="36"/>
      <c r="N3" s="35"/>
      <c r="O3" s="36"/>
      <c r="P3" s="36"/>
      <c r="R3" s="35"/>
      <c r="S3" s="36"/>
      <c r="T3" s="36"/>
      <c r="W3" s="35"/>
      <c r="X3" s="36"/>
      <c r="Y3" s="36"/>
      <c r="AA3" s="35"/>
      <c r="AB3" s="36"/>
      <c r="AC3" s="36"/>
      <c r="AE3" s="35"/>
      <c r="AF3" s="36"/>
      <c r="AG3" s="36"/>
      <c r="AI3" s="35"/>
      <c r="AJ3" s="36"/>
      <c r="AK3" s="36"/>
      <c r="AL3" s="159"/>
      <c r="AM3" s="35"/>
      <c r="AN3" s="36"/>
      <c r="AO3" s="36"/>
      <c r="AQ3" s="35"/>
      <c r="AR3" s="36"/>
      <c r="AS3" s="36"/>
      <c r="AU3" s="35"/>
      <c r="AV3" s="36"/>
      <c r="AW3" s="36"/>
      <c r="AY3" s="35"/>
      <c r="AZ3" s="36"/>
      <c r="BA3" s="36"/>
      <c r="BC3" s="35"/>
      <c r="BD3" s="36"/>
      <c r="BE3" s="36"/>
      <c r="BG3" s="35"/>
      <c r="BH3" s="36"/>
      <c r="BI3" s="36"/>
      <c r="BK3" s="35"/>
      <c r="BL3" s="36"/>
      <c r="BM3" s="36"/>
      <c r="BO3" s="35"/>
      <c r="BP3" s="36"/>
      <c r="BQ3" s="36"/>
      <c r="BS3" s="35"/>
      <c r="BT3" s="36"/>
      <c r="BU3" s="36"/>
      <c r="BV3" s="159"/>
      <c r="BW3" s="35"/>
      <c r="BX3" s="36"/>
      <c r="BY3" s="36"/>
      <c r="CA3" s="35"/>
      <c r="CB3" s="36"/>
      <c r="CC3" s="36"/>
      <c r="CD3" s="159"/>
      <c r="CE3" s="35"/>
      <c r="CF3" s="36"/>
      <c r="CG3" s="36"/>
      <c r="CI3" s="35"/>
      <c r="CJ3" s="36"/>
      <c r="CK3" s="36"/>
      <c r="CM3" s="35"/>
      <c r="CN3" s="36"/>
      <c r="CO3" s="36"/>
      <c r="CQ3" s="35"/>
      <c r="CR3" s="36"/>
      <c r="CS3" s="36"/>
      <c r="CU3" s="35"/>
      <c r="CV3" s="36"/>
      <c r="CW3" s="36"/>
      <c r="CY3" s="35"/>
      <c r="CZ3" s="36"/>
      <c r="DA3" s="36"/>
    </row>
    <row r="4" spans="2:105" s="47" customFormat="1" x14ac:dyDescent="0.35">
      <c r="B4" s="37" t="s">
        <v>159</v>
      </c>
      <c r="C4" s="41">
        <f>VLOOKUP(B1,INFRACASHshares2025,3,0)</f>
        <v>200</v>
      </c>
      <c r="D4" s="41"/>
      <c r="E4" s="43"/>
      <c r="F4" s="37" t="s">
        <v>159</v>
      </c>
      <c r="G4" s="41">
        <f>VLOOKUP(F1,INFRACASHshares2025,3,0)</f>
        <v>0</v>
      </c>
      <c r="H4" s="41"/>
      <c r="J4" s="37" t="s">
        <v>159</v>
      </c>
      <c r="K4" s="41">
        <f>VLOOKUP(J1,INFRACASHshares2025,3,0)</f>
        <v>1200</v>
      </c>
      <c r="L4" s="41"/>
      <c r="N4" s="37" t="s">
        <v>159</v>
      </c>
      <c r="O4" s="41">
        <f>VLOOKUP(N1,INFRACASHshares2025,3,0)</f>
        <v>200</v>
      </c>
      <c r="P4" s="41"/>
      <c r="R4" s="37" t="s">
        <v>159</v>
      </c>
      <c r="S4" s="41">
        <f>VLOOKUP(R1,INFRACASHshares2025,3,0)</f>
        <v>5000</v>
      </c>
      <c r="T4" s="41"/>
      <c r="W4" s="37" t="s">
        <v>159</v>
      </c>
      <c r="X4" s="41">
        <f>VLOOKUP(W1,INFSHARES,3,0)</f>
        <v>200</v>
      </c>
      <c r="Y4" s="41"/>
      <c r="AA4" s="37" t="s">
        <v>159</v>
      </c>
      <c r="AB4" s="41">
        <f>VLOOKUP(AA1,INFRACASHshares2025,3,0)</f>
        <v>200</v>
      </c>
      <c r="AC4" s="41"/>
      <c r="AE4" s="37" t="s">
        <v>159</v>
      </c>
      <c r="AF4" s="41">
        <f>VLOOKUP(AE1,INFRACASHshares2025,3,0)</f>
        <v>400</v>
      </c>
      <c r="AG4" s="41"/>
      <c r="AI4" s="37" t="s">
        <v>159</v>
      </c>
      <c r="AJ4" s="41">
        <f>VLOOKUP(AI1,INFRACASHshares2025,3,0)</f>
        <v>1000</v>
      </c>
      <c r="AK4" s="41"/>
      <c r="AL4" s="43"/>
      <c r="AM4" s="37" t="s">
        <v>159</v>
      </c>
      <c r="AN4" s="41">
        <f>VLOOKUP(AM1,INFRACASHshares2025,3,0)</f>
        <v>200</v>
      </c>
      <c r="AO4" s="41"/>
      <c r="AQ4" s="37" t="s">
        <v>159</v>
      </c>
      <c r="AR4" s="41">
        <f>VLOOKUP(AQ1,INFRACASHshares2025,3,0)</f>
        <v>200</v>
      </c>
      <c r="AS4" s="41"/>
      <c r="AU4" s="37" t="s">
        <v>159</v>
      </c>
      <c r="AV4" s="41">
        <f>VLOOKUP(AU1,INFSHARES,3,0)</f>
        <v>200</v>
      </c>
      <c r="AW4" s="41"/>
      <c r="AY4" s="37" t="s">
        <v>159</v>
      </c>
      <c r="AZ4" s="41">
        <f>VLOOKUP(AY1,INFSHARES,3,0)</f>
        <v>5000</v>
      </c>
      <c r="BA4" s="41"/>
      <c r="BC4" s="37" t="s">
        <v>159</v>
      </c>
      <c r="BD4" s="41">
        <f>VLOOKUP(BC1,INFRACASHshares2025,3,0)</f>
        <v>5000</v>
      </c>
      <c r="BE4" s="41"/>
      <c r="BG4" s="37" t="s">
        <v>159</v>
      </c>
      <c r="BH4" s="41">
        <f>VLOOKUP(BG1,INFRACASHshares2025,3,0)</f>
        <v>600</v>
      </c>
      <c r="BI4" s="41"/>
      <c r="BK4" s="37" t="s">
        <v>159</v>
      </c>
      <c r="BL4" s="41">
        <f>VLOOKUP(BK1,INFRACASHshares2025,3,0)</f>
        <v>3000</v>
      </c>
      <c r="BM4" s="41"/>
      <c r="BO4" s="37" t="s">
        <v>159</v>
      </c>
      <c r="BP4" s="41">
        <f>VLOOKUP(BO1,INFRACASHshares2025,3,0)</f>
        <v>1000</v>
      </c>
      <c r="BQ4" s="41"/>
      <c r="BS4" s="37" t="s">
        <v>159</v>
      </c>
      <c r="BT4" s="41">
        <f>VLOOKUP(BS1,INFRACASHshares2025,3,0)</f>
        <v>1000</v>
      </c>
      <c r="BU4" s="41"/>
      <c r="BV4" s="43"/>
      <c r="BW4" s="37" t="s">
        <v>159</v>
      </c>
      <c r="BX4" s="41">
        <f>VLOOKUP(BW1,INFRACASHshares2025,3,0)</f>
        <v>0</v>
      </c>
      <c r="BY4" s="41"/>
      <c r="CA4" s="37" t="s">
        <v>159</v>
      </c>
      <c r="CB4" s="41">
        <f>VLOOKUP(CA1,INFRACASHshares2025,3,0)</f>
        <v>6000</v>
      </c>
      <c r="CC4" s="41"/>
      <c r="CD4" s="43"/>
      <c r="CE4" s="37" t="s">
        <v>159</v>
      </c>
      <c r="CF4" s="41">
        <f>VLOOKUP(CE1,INFRACASHshares2025,3,0)</f>
        <v>200</v>
      </c>
      <c r="CG4" s="41"/>
      <c r="CI4" s="37" t="s">
        <v>159</v>
      </c>
      <c r="CJ4" s="41">
        <f>VLOOKUP(CI1,INFRACASHshares2025,3,0)</f>
        <v>5000</v>
      </c>
      <c r="CK4" s="41"/>
      <c r="CM4" s="37" t="s">
        <v>159</v>
      </c>
      <c r="CN4" s="41">
        <f>VLOOKUP(CM1,INFRACASHshares2025,3,0)</f>
        <v>5000</v>
      </c>
      <c r="CO4" s="41"/>
      <c r="CQ4" s="37" t="s">
        <v>159</v>
      </c>
      <c r="CR4" s="41">
        <f>VLOOKUP(CQ1,INFRACASHshares2025,3,0)</f>
        <v>2000</v>
      </c>
      <c r="CS4" s="41"/>
      <c r="CU4" s="37" t="s">
        <v>159</v>
      </c>
      <c r="CV4" s="41">
        <f>VLOOKUP(CU1,INFRACASHshares2025,3,0)</f>
        <v>200</v>
      </c>
      <c r="CW4" s="41"/>
      <c r="CY4" s="37" t="s">
        <v>159</v>
      </c>
      <c r="CZ4" s="41">
        <f>VLOOKUP(CY1,INFRACASHshares2025,3,0)</f>
        <v>4600</v>
      </c>
      <c r="DA4" s="41"/>
    </row>
    <row r="5" spans="2:105" x14ac:dyDescent="0.35">
      <c r="B5" s="37" t="s">
        <v>160</v>
      </c>
      <c r="C5" s="38">
        <f>C4*1.1</f>
        <v>220.00000000000003</v>
      </c>
      <c r="D5" s="38">
        <f>C4*0.1</f>
        <v>20</v>
      </c>
      <c r="E5" s="44"/>
      <c r="F5" s="37" t="s">
        <v>160</v>
      </c>
      <c r="G5" s="38">
        <f>G4*1.1</f>
        <v>0</v>
      </c>
      <c r="H5" s="38">
        <f>G4*0.1</f>
        <v>0</v>
      </c>
      <c r="J5" s="37" t="s">
        <v>160</v>
      </c>
      <c r="K5" s="38">
        <f>K4*1.1</f>
        <v>1320</v>
      </c>
      <c r="L5" s="38">
        <f>K4*0.1</f>
        <v>120</v>
      </c>
      <c r="N5" s="37" t="s">
        <v>160</v>
      </c>
      <c r="O5" s="38">
        <f>O4*1.1</f>
        <v>220.00000000000003</v>
      </c>
      <c r="P5" s="38">
        <f>O4*0.1</f>
        <v>20</v>
      </c>
      <c r="R5" s="37" t="s">
        <v>160</v>
      </c>
      <c r="S5" s="38">
        <f>S4*1.1</f>
        <v>5500</v>
      </c>
      <c r="T5" s="38">
        <f>S4*0.1</f>
        <v>500</v>
      </c>
      <c r="W5" s="37" t="s">
        <v>160</v>
      </c>
      <c r="X5" s="38">
        <f>X4*1.1</f>
        <v>220.00000000000003</v>
      </c>
      <c r="Y5" s="38">
        <f>X4*0.1</f>
        <v>20</v>
      </c>
      <c r="AA5" s="37" t="s">
        <v>160</v>
      </c>
      <c r="AB5" s="38">
        <f>AB4*1.1</f>
        <v>220.00000000000003</v>
      </c>
      <c r="AC5" s="38">
        <f>AB4*0.1</f>
        <v>20</v>
      </c>
      <c r="AE5" s="37" t="s">
        <v>160</v>
      </c>
      <c r="AF5" s="38">
        <f>AF4*1.1</f>
        <v>440.00000000000006</v>
      </c>
      <c r="AG5" s="38">
        <f>AF4*0.1</f>
        <v>40</v>
      </c>
      <c r="AI5" s="37" t="s">
        <v>160</v>
      </c>
      <c r="AJ5" s="38">
        <f>AJ4*1.1</f>
        <v>1100</v>
      </c>
      <c r="AK5" s="38">
        <f>AJ4*0.1</f>
        <v>100</v>
      </c>
      <c r="AL5" s="44"/>
      <c r="AM5" s="37" t="s">
        <v>160</v>
      </c>
      <c r="AN5" s="38">
        <f>AN4*1.1</f>
        <v>220.00000000000003</v>
      </c>
      <c r="AO5" s="38">
        <f>AN4*0.1</f>
        <v>20</v>
      </c>
      <c r="AQ5" s="37" t="s">
        <v>160</v>
      </c>
      <c r="AR5" s="38">
        <f>AR4*1.1</f>
        <v>220.00000000000003</v>
      </c>
      <c r="AS5" s="38">
        <f>AR4*0.1</f>
        <v>20</v>
      </c>
      <c r="AU5" s="37" t="s">
        <v>160</v>
      </c>
      <c r="AV5" s="38">
        <f>AV4*1.1</f>
        <v>220.00000000000003</v>
      </c>
      <c r="AW5" s="38">
        <f>AV4*0.1</f>
        <v>20</v>
      </c>
      <c r="AY5" s="37" t="s">
        <v>160</v>
      </c>
      <c r="AZ5" s="38">
        <f>AZ4*1.1</f>
        <v>5500</v>
      </c>
      <c r="BA5" s="38">
        <f>AZ4*0.1</f>
        <v>500</v>
      </c>
      <c r="BC5" s="37" t="s">
        <v>160</v>
      </c>
      <c r="BD5" s="38">
        <f>BD4*1.1</f>
        <v>5500</v>
      </c>
      <c r="BE5" s="38">
        <f>BD4*0.1</f>
        <v>500</v>
      </c>
      <c r="BG5" s="37" t="s">
        <v>160</v>
      </c>
      <c r="BH5" s="38">
        <f>BH4*1.1</f>
        <v>660</v>
      </c>
      <c r="BI5" s="38">
        <f>BH4*0.1</f>
        <v>60</v>
      </c>
      <c r="BK5" s="37" t="s">
        <v>160</v>
      </c>
      <c r="BL5" s="38">
        <f>BL4*1.1</f>
        <v>3300.0000000000005</v>
      </c>
      <c r="BM5" s="38">
        <f>BL4*0.1</f>
        <v>300</v>
      </c>
      <c r="BO5" s="37" t="s">
        <v>160</v>
      </c>
      <c r="BP5" s="38">
        <f>BP4*1.1</f>
        <v>1100</v>
      </c>
      <c r="BQ5" s="38">
        <f>BP4*0.1</f>
        <v>100</v>
      </c>
      <c r="BS5" s="37" t="s">
        <v>160</v>
      </c>
      <c r="BT5" s="38">
        <f>BT4*1.1</f>
        <v>1100</v>
      </c>
      <c r="BU5" s="38">
        <f>BT4*0.1</f>
        <v>100</v>
      </c>
      <c r="BV5" s="44"/>
      <c r="BW5" s="37" t="s">
        <v>160</v>
      </c>
      <c r="BX5" s="38">
        <f>BX4*1.1</f>
        <v>0</v>
      </c>
      <c r="BY5" s="38">
        <f>BX4*0.1</f>
        <v>0</v>
      </c>
      <c r="CA5" s="37" t="s">
        <v>160</v>
      </c>
      <c r="CB5" s="38">
        <f>CB4*1.1</f>
        <v>6600.0000000000009</v>
      </c>
      <c r="CC5" s="38">
        <f>CB4*0.1</f>
        <v>600</v>
      </c>
      <c r="CD5" s="44"/>
      <c r="CE5" s="37" t="s">
        <v>160</v>
      </c>
      <c r="CF5" s="38">
        <f>CF4*1.1</f>
        <v>220.00000000000003</v>
      </c>
      <c r="CG5" s="38">
        <f>CF4*0.1</f>
        <v>20</v>
      </c>
      <c r="CI5" s="37" t="s">
        <v>160</v>
      </c>
      <c r="CJ5" s="38">
        <f>CJ4*1.1</f>
        <v>5500</v>
      </c>
      <c r="CK5" s="38">
        <f>CJ4*0.1</f>
        <v>500</v>
      </c>
      <c r="CM5" s="37" t="s">
        <v>160</v>
      </c>
      <c r="CN5" s="38">
        <f>CN4*1.1</f>
        <v>5500</v>
      </c>
      <c r="CO5" s="38">
        <f>CN4*0.1</f>
        <v>500</v>
      </c>
      <c r="CQ5" s="37" t="s">
        <v>160</v>
      </c>
      <c r="CR5" s="38">
        <f>CR4*1.1</f>
        <v>2200</v>
      </c>
      <c r="CS5" s="38">
        <f>CR4*0.1</f>
        <v>200</v>
      </c>
      <c r="CU5" s="37" t="s">
        <v>160</v>
      </c>
      <c r="CV5" s="38">
        <f>CV4*1.1</f>
        <v>220.00000000000003</v>
      </c>
      <c r="CW5" s="38">
        <f>CV4*0.1</f>
        <v>20</v>
      </c>
      <c r="CY5" s="37" t="s">
        <v>160</v>
      </c>
      <c r="CZ5" s="38">
        <f>CZ4*1.1</f>
        <v>5060</v>
      </c>
      <c r="DA5" s="38">
        <f>CZ4*0.1</f>
        <v>460</v>
      </c>
    </row>
    <row r="6" spans="2:105" x14ac:dyDescent="0.35">
      <c r="B6" s="37" t="s">
        <v>161</v>
      </c>
      <c r="C6" s="38">
        <f>C5*1.05</f>
        <v>231.00000000000003</v>
      </c>
      <c r="D6" s="38">
        <f t="shared" ref="D6:D14" si="0">C5*0.05</f>
        <v>11.000000000000002</v>
      </c>
      <c r="E6" s="44"/>
      <c r="F6" s="37" t="s">
        <v>161</v>
      </c>
      <c r="G6" s="38">
        <f>G5*1.05</f>
        <v>0</v>
      </c>
      <c r="H6" s="38">
        <f t="shared" ref="H6:H14" si="1">G5*0.05</f>
        <v>0</v>
      </c>
      <c r="J6" s="37" t="s">
        <v>161</v>
      </c>
      <c r="K6" s="38">
        <f>K5*1.05</f>
        <v>1386</v>
      </c>
      <c r="L6" s="38">
        <f t="shared" ref="L6:L14" si="2">K5*0.05</f>
        <v>66</v>
      </c>
      <c r="N6" s="37" t="s">
        <v>161</v>
      </c>
      <c r="O6" s="38">
        <f>O5*1.05</f>
        <v>231.00000000000003</v>
      </c>
      <c r="P6" s="38">
        <f t="shared" ref="P6:P14" si="3">O5*0.05</f>
        <v>11.000000000000002</v>
      </c>
      <c r="R6" s="37" t="s">
        <v>161</v>
      </c>
      <c r="S6" s="38">
        <f>S5*1.05</f>
        <v>5775</v>
      </c>
      <c r="T6" s="38">
        <f t="shared" ref="T6:T14" si="4">S5*0.05</f>
        <v>275</v>
      </c>
      <c r="W6" s="37" t="s">
        <v>161</v>
      </c>
      <c r="X6" s="38">
        <f>X5*1.05</f>
        <v>231.00000000000003</v>
      </c>
      <c r="Y6" s="38">
        <f t="shared" ref="Y6:Y14" si="5">X5*0.05</f>
        <v>11.000000000000002</v>
      </c>
      <c r="AA6" s="37" t="s">
        <v>161</v>
      </c>
      <c r="AB6" s="38">
        <f>AB5*1.05</f>
        <v>231.00000000000003</v>
      </c>
      <c r="AC6" s="38">
        <f t="shared" ref="AC6:AC14" si="6">AB5*0.05</f>
        <v>11.000000000000002</v>
      </c>
      <c r="AE6" s="37" t="s">
        <v>161</v>
      </c>
      <c r="AF6" s="38">
        <f>AF5*1.05</f>
        <v>462.00000000000006</v>
      </c>
      <c r="AG6" s="38">
        <f t="shared" ref="AG6:AG14" si="7">AF5*0.05</f>
        <v>22.000000000000004</v>
      </c>
      <c r="AI6" s="37" t="s">
        <v>161</v>
      </c>
      <c r="AJ6" s="38">
        <f>AJ5*1.05</f>
        <v>1155</v>
      </c>
      <c r="AK6" s="38">
        <f t="shared" ref="AK6:AK14" si="8">AJ5*0.05</f>
        <v>55</v>
      </c>
      <c r="AL6" s="44"/>
      <c r="AM6" s="37" t="s">
        <v>161</v>
      </c>
      <c r="AN6" s="38">
        <f>AN5*1.05</f>
        <v>231.00000000000003</v>
      </c>
      <c r="AO6" s="38">
        <f t="shared" ref="AO6:AO14" si="9">AN5*0.05</f>
        <v>11.000000000000002</v>
      </c>
      <c r="AQ6" s="37" t="s">
        <v>161</v>
      </c>
      <c r="AR6" s="38">
        <f>AR5*1.05</f>
        <v>231.00000000000003</v>
      </c>
      <c r="AS6" s="38">
        <f t="shared" ref="AS6:AS14" si="10">AR5*0.05</f>
        <v>11.000000000000002</v>
      </c>
      <c r="AU6" s="37" t="s">
        <v>161</v>
      </c>
      <c r="AV6" s="38">
        <f>AV5*1.05</f>
        <v>231.00000000000003</v>
      </c>
      <c r="AW6" s="38">
        <f t="shared" ref="AW6:AW14" si="11">AV5*0.05</f>
        <v>11.000000000000002</v>
      </c>
      <c r="AY6" s="37" t="s">
        <v>161</v>
      </c>
      <c r="AZ6" s="38">
        <f>AZ5*1.05</f>
        <v>5775</v>
      </c>
      <c r="BA6" s="38">
        <f t="shared" ref="BA6:BA14" si="12">AZ5*0.05</f>
        <v>275</v>
      </c>
      <c r="BC6" s="37" t="s">
        <v>161</v>
      </c>
      <c r="BD6" s="38">
        <f>BD5*1.05</f>
        <v>5775</v>
      </c>
      <c r="BE6" s="38">
        <f t="shared" ref="BE6:BE14" si="13">BD5*0.05</f>
        <v>275</v>
      </c>
      <c r="BG6" s="37" t="s">
        <v>161</v>
      </c>
      <c r="BH6" s="38">
        <f>BH5*1.05</f>
        <v>693</v>
      </c>
      <c r="BI6" s="38">
        <f t="shared" ref="BI6:BI14" si="14">BH5*0.05</f>
        <v>33</v>
      </c>
      <c r="BK6" s="37" t="s">
        <v>161</v>
      </c>
      <c r="BL6" s="38">
        <f>BL5*1.05</f>
        <v>3465.0000000000005</v>
      </c>
      <c r="BM6" s="38">
        <f t="shared" ref="BM6:BM14" si="15">BL5*0.05</f>
        <v>165.00000000000003</v>
      </c>
      <c r="BO6" s="37" t="s">
        <v>161</v>
      </c>
      <c r="BP6" s="38">
        <f>BP5*1.05</f>
        <v>1155</v>
      </c>
      <c r="BQ6" s="38">
        <f t="shared" ref="BQ6:BQ14" si="16">BP5*0.05</f>
        <v>55</v>
      </c>
      <c r="BS6" s="37" t="s">
        <v>161</v>
      </c>
      <c r="BT6" s="38">
        <f>BT5*1.05</f>
        <v>1155</v>
      </c>
      <c r="BU6" s="38">
        <f t="shared" ref="BU6:BU14" si="17">BT5*0.05</f>
        <v>55</v>
      </c>
      <c r="BV6" s="44"/>
      <c r="BW6" s="37" t="s">
        <v>161</v>
      </c>
      <c r="BX6" s="38">
        <f>BX5*1.05</f>
        <v>0</v>
      </c>
      <c r="BY6" s="38">
        <f t="shared" ref="BY6:BY14" si="18">BX5*0.05</f>
        <v>0</v>
      </c>
      <c r="CA6" s="37" t="s">
        <v>161</v>
      </c>
      <c r="CB6" s="38">
        <f>CB5*1.05</f>
        <v>6930.0000000000009</v>
      </c>
      <c r="CC6" s="38">
        <f t="shared" ref="CC6:CC14" si="19">CB5*0.05</f>
        <v>330.00000000000006</v>
      </c>
      <c r="CD6" s="44"/>
      <c r="CE6" s="37" t="s">
        <v>161</v>
      </c>
      <c r="CF6" s="38">
        <f>CF5*1.05</f>
        <v>231.00000000000003</v>
      </c>
      <c r="CG6" s="38">
        <f t="shared" ref="CG6:CG14" si="20">CF5*0.05</f>
        <v>11.000000000000002</v>
      </c>
      <c r="CI6" s="37" t="s">
        <v>161</v>
      </c>
      <c r="CJ6" s="38">
        <f>CJ5*1.05</f>
        <v>5775</v>
      </c>
      <c r="CK6" s="38">
        <f t="shared" ref="CK6:CK14" si="21">CJ5*0.05</f>
        <v>275</v>
      </c>
      <c r="CM6" s="37" t="s">
        <v>161</v>
      </c>
      <c r="CN6" s="38">
        <f>CN5*1.05</f>
        <v>5775</v>
      </c>
      <c r="CO6" s="38">
        <f t="shared" ref="CO6:CO14" si="22">CN5*0.05</f>
        <v>275</v>
      </c>
      <c r="CQ6" s="37" t="s">
        <v>161</v>
      </c>
      <c r="CR6" s="38">
        <f>CR5*1.05</f>
        <v>2310</v>
      </c>
      <c r="CS6" s="38">
        <f t="shared" ref="CS6:CS14" si="23">CR5*0.05</f>
        <v>110</v>
      </c>
      <c r="CU6" s="37" t="s">
        <v>161</v>
      </c>
      <c r="CV6" s="38">
        <f>CV5*1.05</f>
        <v>231.00000000000003</v>
      </c>
      <c r="CW6" s="38">
        <f t="shared" ref="CW6:CW14" si="24">CV5*0.05</f>
        <v>11.000000000000002</v>
      </c>
      <c r="CY6" s="37" t="s">
        <v>161</v>
      </c>
      <c r="CZ6" s="38">
        <f>CZ5*1.05</f>
        <v>5313</v>
      </c>
      <c r="DA6" s="38">
        <f t="shared" ref="DA6:DA14" si="25">CZ5*0.05</f>
        <v>253</v>
      </c>
    </row>
    <row r="7" spans="2:105" x14ac:dyDescent="0.35">
      <c r="B7" s="37" t="s">
        <v>162</v>
      </c>
      <c r="C7" s="38">
        <f t="shared" ref="C7:C13" si="26">C6*1.05</f>
        <v>242.55000000000004</v>
      </c>
      <c r="D7" s="38">
        <f t="shared" si="0"/>
        <v>11.550000000000002</v>
      </c>
      <c r="E7" s="44"/>
      <c r="F7" s="37" t="s">
        <v>162</v>
      </c>
      <c r="G7" s="38">
        <f t="shared" ref="G7:G13" si="27">G6*1.05</f>
        <v>0</v>
      </c>
      <c r="H7" s="38">
        <f t="shared" si="1"/>
        <v>0</v>
      </c>
      <c r="J7" s="37" t="s">
        <v>162</v>
      </c>
      <c r="K7" s="38">
        <f t="shared" ref="K7:K13" si="28">K6*1.05</f>
        <v>1455.3</v>
      </c>
      <c r="L7" s="38">
        <f t="shared" si="2"/>
        <v>69.3</v>
      </c>
      <c r="N7" s="37" t="s">
        <v>162</v>
      </c>
      <c r="O7" s="38">
        <f t="shared" ref="O7:O13" si="29">O6*1.05</f>
        <v>242.55000000000004</v>
      </c>
      <c r="P7" s="38">
        <f t="shared" si="3"/>
        <v>11.550000000000002</v>
      </c>
      <c r="R7" s="37" t="s">
        <v>162</v>
      </c>
      <c r="S7" s="38">
        <f t="shared" ref="S7:S13" si="30">S6*1.05</f>
        <v>6063.75</v>
      </c>
      <c r="T7" s="38">
        <f t="shared" si="4"/>
        <v>288.75</v>
      </c>
      <c r="W7" s="37" t="s">
        <v>162</v>
      </c>
      <c r="X7" s="38">
        <f t="shared" ref="X7:X13" si="31">X6*1.05</f>
        <v>242.55000000000004</v>
      </c>
      <c r="Y7" s="38">
        <f t="shared" si="5"/>
        <v>11.550000000000002</v>
      </c>
      <c r="AA7" s="37" t="s">
        <v>162</v>
      </c>
      <c r="AB7" s="38">
        <f t="shared" ref="AB7:AB13" si="32">AB6*1.05</f>
        <v>242.55000000000004</v>
      </c>
      <c r="AC7" s="38">
        <f t="shared" si="6"/>
        <v>11.550000000000002</v>
      </c>
      <c r="AE7" s="37" t="s">
        <v>162</v>
      </c>
      <c r="AF7" s="38">
        <f t="shared" ref="AF7:AF13" si="33">AF6*1.05</f>
        <v>485.10000000000008</v>
      </c>
      <c r="AG7" s="38">
        <f t="shared" si="7"/>
        <v>23.100000000000005</v>
      </c>
      <c r="AI7" s="37" t="s">
        <v>162</v>
      </c>
      <c r="AJ7" s="38">
        <f t="shared" ref="AJ7:AJ13" si="34">AJ6*1.05</f>
        <v>1212.75</v>
      </c>
      <c r="AK7" s="38">
        <f t="shared" si="8"/>
        <v>57.75</v>
      </c>
      <c r="AL7" s="44"/>
      <c r="AM7" s="37" t="s">
        <v>162</v>
      </c>
      <c r="AN7" s="38">
        <f t="shared" ref="AN7:AN13" si="35">AN6*1.05</f>
        <v>242.55000000000004</v>
      </c>
      <c r="AO7" s="38">
        <f t="shared" si="9"/>
        <v>11.550000000000002</v>
      </c>
      <c r="AQ7" s="37" t="s">
        <v>162</v>
      </c>
      <c r="AR7" s="38">
        <f t="shared" ref="AR7:AR13" si="36">AR6*1.05</f>
        <v>242.55000000000004</v>
      </c>
      <c r="AS7" s="38">
        <f t="shared" si="10"/>
        <v>11.550000000000002</v>
      </c>
      <c r="AU7" s="37" t="s">
        <v>162</v>
      </c>
      <c r="AV7" s="38">
        <f t="shared" ref="AV7:AV13" si="37">AV6*1.05</f>
        <v>242.55000000000004</v>
      </c>
      <c r="AW7" s="38">
        <f t="shared" si="11"/>
        <v>11.550000000000002</v>
      </c>
      <c r="AY7" s="37" t="s">
        <v>162</v>
      </c>
      <c r="AZ7" s="38">
        <f t="shared" ref="AZ7:AZ13" si="38">AZ6*1.05</f>
        <v>6063.75</v>
      </c>
      <c r="BA7" s="38">
        <f t="shared" si="12"/>
        <v>288.75</v>
      </c>
      <c r="BC7" s="37" t="s">
        <v>162</v>
      </c>
      <c r="BD7" s="38">
        <f t="shared" ref="BD7:BD13" si="39">BD6*1.05</f>
        <v>6063.75</v>
      </c>
      <c r="BE7" s="38">
        <f t="shared" si="13"/>
        <v>288.75</v>
      </c>
      <c r="BG7" s="37" t="s">
        <v>162</v>
      </c>
      <c r="BH7" s="38">
        <f t="shared" ref="BH7:BH13" si="40">BH6*1.05</f>
        <v>727.65</v>
      </c>
      <c r="BI7" s="38">
        <f t="shared" si="14"/>
        <v>34.65</v>
      </c>
      <c r="BK7" s="37" t="s">
        <v>162</v>
      </c>
      <c r="BL7" s="38">
        <f t="shared" ref="BL7:BL13" si="41">BL6*1.05</f>
        <v>3638.2500000000005</v>
      </c>
      <c r="BM7" s="38">
        <f t="shared" si="15"/>
        <v>173.25000000000003</v>
      </c>
      <c r="BO7" s="37" t="s">
        <v>162</v>
      </c>
      <c r="BP7" s="38">
        <f t="shared" ref="BP7:BP13" si="42">BP6*1.05</f>
        <v>1212.75</v>
      </c>
      <c r="BQ7" s="38">
        <f t="shared" si="16"/>
        <v>57.75</v>
      </c>
      <c r="BS7" s="37" t="s">
        <v>162</v>
      </c>
      <c r="BT7" s="38">
        <f t="shared" ref="BT7:BT13" si="43">BT6*1.05</f>
        <v>1212.75</v>
      </c>
      <c r="BU7" s="38">
        <f t="shared" si="17"/>
        <v>57.75</v>
      </c>
      <c r="BV7" s="44"/>
      <c r="BW7" s="37" t="s">
        <v>162</v>
      </c>
      <c r="BX7" s="38">
        <f t="shared" ref="BX7:BX13" si="44">BX6*1.05</f>
        <v>0</v>
      </c>
      <c r="BY7" s="38">
        <f t="shared" si="18"/>
        <v>0</v>
      </c>
      <c r="CA7" s="37" t="s">
        <v>162</v>
      </c>
      <c r="CB7" s="38">
        <f t="shared" ref="CB7:CB13" si="45">CB6*1.05</f>
        <v>7276.5000000000009</v>
      </c>
      <c r="CC7" s="38">
        <f t="shared" si="19"/>
        <v>346.50000000000006</v>
      </c>
      <c r="CD7" s="44"/>
      <c r="CE7" s="37" t="s">
        <v>162</v>
      </c>
      <c r="CF7" s="38">
        <f t="shared" ref="CF7:CF13" si="46">CF6*1.05</f>
        <v>242.55000000000004</v>
      </c>
      <c r="CG7" s="38">
        <f t="shared" si="20"/>
        <v>11.550000000000002</v>
      </c>
      <c r="CI7" s="37" t="s">
        <v>162</v>
      </c>
      <c r="CJ7" s="38">
        <f t="shared" ref="CJ7:CJ13" si="47">CJ6*1.05</f>
        <v>6063.75</v>
      </c>
      <c r="CK7" s="38">
        <f t="shared" si="21"/>
        <v>288.75</v>
      </c>
      <c r="CM7" s="37" t="s">
        <v>162</v>
      </c>
      <c r="CN7" s="38">
        <f t="shared" ref="CN7:CN13" si="48">CN6*1.05</f>
        <v>6063.75</v>
      </c>
      <c r="CO7" s="38">
        <f t="shared" si="22"/>
        <v>288.75</v>
      </c>
      <c r="CQ7" s="37" t="s">
        <v>162</v>
      </c>
      <c r="CR7" s="38">
        <f t="shared" ref="CR7:CR13" si="49">CR6*1.05</f>
        <v>2425.5</v>
      </c>
      <c r="CS7" s="38">
        <f t="shared" si="23"/>
        <v>115.5</v>
      </c>
      <c r="CU7" s="37" t="s">
        <v>162</v>
      </c>
      <c r="CV7" s="38">
        <f t="shared" ref="CV7:CV13" si="50">CV6*1.05</f>
        <v>242.55000000000004</v>
      </c>
      <c r="CW7" s="38">
        <f t="shared" si="24"/>
        <v>11.550000000000002</v>
      </c>
      <c r="CY7" s="37" t="s">
        <v>162</v>
      </c>
      <c r="CZ7" s="38">
        <f t="shared" ref="CZ7:CZ13" si="51">CZ6*1.05</f>
        <v>5578.6500000000005</v>
      </c>
      <c r="DA7" s="38">
        <f t="shared" si="25"/>
        <v>265.65000000000003</v>
      </c>
    </row>
    <row r="8" spans="2:105" x14ac:dyDescent="0.35">
      <c r="B8" s="37" t="s">
        <v>163</v>
      </c>
      <c r="C8" s="38">
        <f t="shared" si="26"/>
        <v>254.67750000000007</v>
      </c>
      <c r="D8" s="38">
        <f t="shared" si="0"/>
        <v>12.127500000000003</v>
      </c>
      <c r="E8" s="44"/>
      <c r="F8" s="37" t="s">
        <v>163</v>
      </c>
      <c r="G8" s="38">
        <f t="shared" si="27"/>
        <v>0</v>
      </c>
      <c r="H8" s="38">
        <f t="shared" si="1"/>
        <v>0</v>
      </c>
      <c r="J8" s="37" t="s">
        <v>163</v>
      </c>
      <c r="K8" s="38">
        <f t="shared" si="28"/>
        <v>1528.0650000000001</v>
      </c>
      <c r="L8" s="38">
        <f t="shared" si="2"/>
        <v>72.765000000000001</v>
      </c>
      <c r="N8" s="37" t="s">
        <v>163</v>
      </c>
      <c r="O8" s="38">
        <f t="shared" si="29"/>
        <v>254.67750000000007</v>
      </c>
      <c r="P8" s="38">
        <f t="shared" si="3"/>
        <v>12.127500000000003</v>
      </c>
      <c r="R8" s="37" t="s">
        <v>163</v>
      </c>
      <c r="S8" s="38">
        <f t="shared" si="30"/>
        <v>6366.9375</v>
      </c>
      <c r="T8" s="38">
        <f t="shared" si="4"/>
        <v>303.1875</v>
      </c>
      <c r="W8" s="37" t="s">
        <v>163</v>
      </c>
      <c r="X8" s="38">
        <f t="shared" si="31"/>
        <v>254.67750000000007</v>
      </c>
      <c r="Y8" s="38">
        <f t="shared" si="5"/>
        <v>12.127500000000003</v>
      </c>
      <c r="AA8" s="37" t="s">
        <v>163</v>
      </c>
      <c r="AB8" s="38">
        <f t="shared" si="32"/>
        <v>254.67750000000007</v>
      </c>
      <c r="AC8" s="38">
        <f t="shared" si="6"/>
        <v>12.127500000000003</v>
      </c>
      <c r="AE8" s="37" t="s">
        <v>163</v>
      </c>
      <c r="AF8" s="38">
        <f t="shared" si="33"/>
        <v>509.35500000000013</v>
      </c>
      <c r="AG8" s="38">
        <f t="shared" si="7"/>
        <v>24.255000000000006</v>
      </c>
      <c r="AI8" s="37" t="s">
        <v>163</v>
      </c>
      <c r="AJ8" s="38">
        <f t="shared" si="34"/>
        <v>1273.3875</v>
      </c>
      <c r="AK8" s="38">
        <f t="shared" si="8"/>
        <v>60.637500000000003</v>
      </c>
      <c r="AL8" s="44"/>
      <c r="AM8" s="37" t="s">
        <v>163</v>
      </c>
      <c r="AN8" s="38">
        <f t="shared" si="35"/>
        <v>254.67750000000007</v>
      </c>
      <c r="AO8" s="38">
        <f t="shared" si="9"/>
        <v>12.127500000000003</v>
      </c>
      <c r="AQ8" s="37" t="s">
        <v>163</v>
      </c>
      <c r="AR8" s="38">
        <f t="shared" si="36"/>
        <v>254.67750000000007</v>
      </c>
      <c r="AS8" s="38">
        <f t="shared" si="10"/>
        <v>12.127500000000003</v>
      </c>
      <c r="AU8" s="37" t="s">
        <v>163</v>
      </c>
      <c r="AV8" s="38">
        <f t="shared" si="37"/>
        <v>254.67750000000007</v>
      </c>
      <c r="AW8" s="38">
        <f t="shared" si="11"/>
        <v>12.127500000000003</v>
      </c>
      <c r="AY8" s="37" t="s">
        <v>163</v>
      </c>
      <c r="AZ8" s="38">
        <f t="shared" si="38"/>
        <v>6366.9375</v>
      </c>
      <c r="BA8" s="38">
        <f t="shared" si="12"/>
        <v>303.1875</v>
      </c>
      <c r="BC8" s="37" t="s">
        <v>163</v>
      </c>
      <c r="BD8" s="38">
        <f t="shared" si="39"/>
        <v>6366.9375</v>
      </c>
      <c r="BE8" s="38">
        <f t="shared" si="13"/>
        <v>303.1875</v>
      </c>
      <c r="BG8" s="37" t="s">
        <v>163</v>
      </c>
      <c r="BH8" s="38">
        <f t="shared" si="40"/>
        <v>764.03250000000003</v>
      </c>
      <c r="BI8" s="38">
        <f t="shared" si="14"/>
        <v>36.3825</v>
      </c>
      <c r="BK8" s="37" t="s">
        <v>163</v>
      </c>
      <c r="BL8" s="38">
        <f t="shared" si="41"/>
        <v>3820.1625000000008</v>
      </c>
      <c r="BM8" s="38">
        <f t="shared" si="15"/>
        <v>181.91250000000002</v>
      </c>
      <c r="BO8" s="37" t="s">
        <v>163</v>
      </c>
      <c r="BP8" s="38">
        <f t="shared" si="42"/>
        <v>1273.3875</v>
      </c>
      <c r="BQ8" s="38">
        <f t="shared" si="16"/>
        <v>60.637500000000003</v>
      </c>
      <c r="BS8" s="37" t="s">
        <v>163</v>
      </c>
      <c r="BT8" s="38">
        <f t="shared" si="43"/>
        <v>1273.3875</v>
      </c>
      <c r="BU8" s="38">
        <f t="shared" si="17"/>
        <v>60.637500000000003</v>
      </c>
      <c r="BV8" s="44"/>
      <c r="BW8" s="37" t="s">
        <v>163</v>
      </c>
      <c r="BX8" s="38">
        <f t="shared" si="44"/>
        <v>0</v>
      </c>
      <c r="BY8" s="38">
        <f t="shared" si="18"/>
        <v>0</v>
      </c>
      <c r="CA8" s="37" t="s">
        <v>163</v>
      </c>
      <c r="CB8" s="38">
        <f t="shared" si="45"/>
        <v>7640.3250000000016</v>
      </c>
      <c r="CC8" s="38">
        <f t="shared" si="19"/>
        <v>363.82500000000005</v>
      </c>
      <c r="CD8" s="44"/>
      <c r="CE8" s="37" t="s">
        <v>163</v>
      </c>
      <c r="CF8" s="38">
        <f t="shared" si="46"/>
        <v>254.67750000000007</v>
      </c>
      <c r="CG8" s="38">
        <f t="shared" si="20"/>
        <v>12.127500000000003</v>
      </c>
      <c r="CI8" s="37" t="s">
        <v>163</v>
      </c>
      <c r="CJ8" s="38">
        <f t="shared" si="47"/>
        <v>6366.9375</v>
      </c>
      <c r="CK8" s="38">
        <f t="shared" si="21"/>
        <v>303.1875</v>
      </c>
      <c r="CM8" s="37" t="s">
        <v>163</v>
      </c>
      <c r="CN8" s="38">
        <f t="shared" si="48"/>
        <v>6366.9375</v>
      </c>
      <c r="CO8" s="38">
        <f t="shared" si="22"/>
        <v>303.1875</v>
      </c>
      <c r="CQ8" s="37" t="s">
        <v>163</v>
      </c>
      <c r="CR8" s="38">
        <f t="shared" si="49"/>
        <v>2546.7750000000001</v>
      </c>
      <c r="CS8" s="38">
        <f t="shared" si="23"/>
        <v>121.27500000000001</v>
      </c>
      <c r="CU8" s="37" t="s">
        <v>163</v>
      </c>
      <c r="CV8" s="38">
        <f t="shared" si="50"/>
        <v>254.67750000000007</v>
      </c>
      <c r="CW8" s="38">
        <f t="shared" si="24"/>
        <v>12.127500000000003</v>
      </c>
      <c r="CY8" s="37" t="s">
        <v>163</v>
      </c>
      <c r="CZ8" s="38">
        <f t="shared" si="51"/>
        <v>5857.5825000000004</v>
      </c>
      <c r="DA8" s="38">
        <f t="shared" si="25"/>
        <v>278.93250000000006</v>
      </c>
    </row>
    <row r="9" spans="2:105" x14ac:dyDescent="0.35">
      <c r="B9" s="37" t="s">
        <v>6</v>
      </c>
      <c r="C9" s="38">
        <f t="shared" si="26"/>
        <v>267.41137500000008</v>
      </c>
      <c r="D9" s="38">
        <f t="shared" si="0"/>
        <v>12.733875000000005</v>
      </c>
      <c r="E9" s="44"/>
      <c r="F9" s="37" t="s">
        <v>6</v>
      </c>
      <c r="G9" s="38">
        <f t="shared" si="27"/>
        <v>0</v>
      </c>
      <c r="H9" s="38">
        <f t="shared" si="1"/>
        <v>0</v>
      </c>
      <c r="J9" s="37" t="s">
        <v>6</v>
      </c>
      <c r="K9" s="38">
        <f t="shared" si="28"/>
        <v>1604.4682500000001</v>
      </c>
      <c r="L9" s="38">
        <f t="shared" si="2"/>
        <v>76.40325</v>
      </c>
      <c r="N9" s="37" t="s">
        <v>6</v>
      </c>
      <c r="O9" s="38">
        <f t="shared" si="29"/>
        <v>267.41137500000008</v>
      </c>
      <c r="P9" s="38">
        <f t="shared" si="3"/>
        <v>12.733875000000005</v>
      </c>
      <c r="R9" s="37" t="s">
        <v>6</v>
      </c>
      <c r="S9" s="38">
        <f t="shared" si="30"/>
        <v>6685.2843750000002</v>
      </c>
      <c r="T9" s="38">
        <f t="shared" si="4"/>
        <v>318.34687500000001</v>
      </c>
      <c r="W9" s="37" t="s">
        <v>6</v>
      </c>
      <c r="X9" s="38">
        <f t="shared" si="31"/>
        <v>267.41137500000008</v>
      </c>
      <c r="Y9" s="38">
        <f t="shared" si="5"/>
        <v>12.733875000000005</v>
      </c>
      <c r="AA9" s="37" t="s">
        <v>6</v>
      </c>
      <c r="AB9" s="38">
        <f t="shared" si="32"/>
        <v>267.41137500000008</v>
      </c>
      <c r="AC9" s="38">
        <f t="shared" si="6"/>
        <v>12.733875000000005</v>
      </c>
      <c r="AE9" s="37" t="s">
        <v>6</v>
      </c>
      <c r="AF9" s="38">
        <f t="shared" si="33"/>
        <v>534.82275000000016</v>
      </c>
      <c r="AG9" s="38">
        <f t="shared" si="7"/>
        <v>25.467750000000009</v>
      </c>
      <c r="AI9" s="37" t="s">
        <v>6</v>
      </c>
      <c r="AJ9" s="38">
        <f t="shared" si="34"/>
        <v>1337.056875</v>
      </c>
      <c r="AK9" s="38">
        <f t="shared" si="8"/>
        <v>63.669375000000002</v>
      </c>
      <c r="AL9" s="44"/>
      <c r="AM9" s="37" t="s">
        <v>6</v>
      </c>
      <c r="AN9" s="38">
        <f t="shared" si="35"/>
        <v>267.41137500000008</v>
      </c>
      <c r="AO9" s="38">
        <f t="shared" si="9"/>
        <v>12.733875000000005</v>
      </c>
      <c r="AQ9" s="37" t="s">
        <v>6</v>
      </c>
      <c r="AR9" s="38">
        <f t="shared" si="36"/>
        <v>267.41137500000008</v>
      </c>
      <c r="AS9" s="38">
        <f t="shared" si="10"/>
        <v>12.733875000000005</v>
      </c>
      <c r="AU9" s="37" t="s">
        <v>6</v>
      </c>
      <c r="AV9" s="38">
        <f t="shared" si="37"/>
        <v>267.41137500000008</v>
      </c>
      <c r="AW9" s="38">
        <f t="shared" si="11"/>
        <v>12.733875000000005</v>
      </c>
      <c r="AY9" s="37" t="s">
        <v>6</v>
      </c>
      <c r="AZ9" s="38">
        <f t="shared" si="38"/>
        <v>6685.2843750000002</v>
      </c>
      <c r="BA9" s="38">
        <f t="shared" si="12"/>
        <v>318.34687500000001</v>
      </c>
      <c r="BC9" s="37" t="s">
        <v>6</v>
      </c>
      <c r="BD9" s="38">
        <f t="shared" si="39"/>
        <v>6685.2843750000002</v>
      </c>
      <c r="BE9" s="38">
        <f t="shared" si="13"/>
        <v>318.34687500000001</v>
      </c>
      <c r="BG9" s="37" t="s">
        <v>6</v>
      </c>
      <c r="BH9" s="38">
        <f t="shared" si="40"/>
        <v>802.23412500000006</v>
      </c>
      <c r="BI9" s="38">
        <f t="shared" si="14"/>
        <v>38.201625</v>
      </c>
      <c r="BK9" s="37" t="s">
        <v>6</v>
      </c>
      <c r="BL9" s="38">
        <f t="shared" si="41"/>
        <v>4011.1706250000011</v>
      </c>
      <c r="BM9" s="38">
        <f t="shared" si="15"/>
        <v>191.00812500000006</v>
      </c>
      <c r="BO9" s="37" t="s">
        <v>6</v>
      </c>
      <c r="BP9" s="38">
        <f t="shared" si="42"/>
        <v>1337.056875</v>
      </c>
      <c r="BQ9" s="38">
        <f t="shared" si="16"/>
        <v>63.669375000000002</v>
      </c>
      <c r="BS9" s="37" t="s">
        <v>6</v>
      </c>
      <c r="BT9" s="38">
        <f t="shared" si="43"/>
        <v>1337.056875</v>
      </c>
      <c r="BU9" s="38">
        <f t="shared" si="17"/>
        <v>63.669375000000002</v>
      </c>
      <c r="BV9" s="44"/>
      <c r="BW9" s="37" t="s">
        <v>6</v>
      </c>
      <c r="BX9" s="38">
        <f t="shared" si="44"/>
        <v>0</v>
      </c>
      <c r="BY9" s="38">
        <f t="shared" si="18"/>
        <v>0</v>
      </c>
      <c r="CA9" s="37" t="s">
        <v>6</v>
      </c>
      <c r="CB9" s="38">
        <f t="shared" si="45"/>
        <v>8022.3412500000022</v>
      </c>
      <c r="CC9" s="38">
        <f t="shared" si="19"/>
        <v>382.01625000000013</v>
      </c>
      <c r="CD9" s="44"/>
      <c r="CE9" s="37" t="s">
        <v>6</v>
      </c>
      <c r="CF9" s="38">
        <f t="shared" si="46"/>
        <v>267.41137500000008</v>
      </c>
      <c r="CG9" s="38">
        <f t="shared" si="20"/>
        <v>12.733875000000005</v>
      </c>
      <c r="CI9" s="37" t="s">
        <v>6</v>
      </c>
      <c r="CJ9" s="38">
        <f t="shared" si="47"/>
        <v>6685.2843750000002</v>
      </c>
      <c r="CK9" s="38">
        <f t="shared" si="21"/>
        <v>318.34687500000001</v>
      </c>
      <c r="CM9" s="37" t="s">
        <v>6</v>
      </c>
      <c r="CN9" s="38">
        <f t="shared" si="48"/>
        <v>6685.2843750000002</v>
      </c>
      <c r="CO9" s="38">
        <f t="shared" si="22"/>
        <v>318.34687500000001</v>
      </c>
      <c r="CQ9" s="37" t="s">
        <v>6</v>
      </c>
      <c r="CR9" s="38">
        <f t="shared" si="49"/>
        <v>2674.11375</v>
      </c>
      <c r="CS9" s="38">
        <f t="shared" si="23"/>
        <v>127.33875</v>
      </c>
      <c r="CU9" s="37" t="s">
        <v>6</v>
      </c>
      <c r="CV9" s="38">
        <f t="shared" si="50"/>
        <v>267.41137500000008</v>
      </c>
      <c r="CW9" s="38">
        <f t="shared" si="24"/>
        <v>12.733875000000005</v>
      </c>
      <c r="CY9" s="37" t="s">
        <v>6</v>
      </c>
      <c r="CZ9" s="38">
        <f t="shared" si="51"/>
        <v>6150.4616250000008</v>
      </c>
      <c r="DA9" s="38">
        <f t="shared" si="25"/>
        <v>292.87912500000004</v>
      </c>
    </row>
    <row r="10" spans="2:105" x14ac:dyDescent="0.35">
      <c r="B10" s="37" t="s">
        <v>7</v>
      </c>
      <c r="C10" s="38">
        <f t="shared" si="26"/>
        <v>280.7819437500001</v>
      </c>
      <c r="D10" s="38">
        <f t="shared" si="0"/>
        <v>13.370568750000004</v>
      </c>
      <c r="E10" s="44"/>
      <c r="F10" s="37" t="s">
        <v>7</v>
      </c>
      <c r="G10" s="38">
        <f t="shared" si="27"/>
        <v>0</v>
      </c>
      <c r="H10" s="38">
        <f t="shared" si="1"/>
        <v>0</v>
      </c>
      <c r="J10" s="37" t="s">
        <v>7</v>
      </c>
      <c r="K10" s="38">
        <f t="shared" si="28"/>
        <v>1684.6916625000001</v>
      </c>
      <c r="L10" s="38">
        <f t="shared" si="2"/>
        <v>80.223412500000009</v>
      </c>
      <c r="N10" s="37" t="s">
        <v>7</v>
      </c>
      <c r="O10" s="38">
        <f t="shared" si="29"/>
        <v>280.7819437500001</v>
      </c>
      <c r="P10" s="38">
        <f t="shared" si="3"/>
        <v>13.370568750000004</v>
      </c>
      <c r="R10" s="37" t="s">
        <v>7</v>
      </c>
      <c r="S10" s="38">
        <f t="shared" si="30"/>
        <v>7019.5485937500007</v>
      </c>
      <c r="T10" s="38">
        <f t="shared" si="4"/>
        <v>334.26421875000005</v>
      </c>
      <c r="W10" s="37" t="s">
        <v>7</v>
      </c>
      <c r="X10" s="38">
        <f t="shared" si="31"/>
        <v>280.7819437500001</v>
      </c>
      <c r="Y10" s="38">
        <f t="shared" si="5"/>
        <v>13.370568750000004</v>
      </c>
      <c r="AA10" s="37" t="s">
        <v>7</v>
      </c>
      <c r="AB10" s="38">
        <f t="shared" si="32"/>
        <v>280.7819437500001</v>
      </c>
      <c r="AC10" s="38">
        <f t="shared" si="6"/>
        <v>13.370568750000004</v>
      </c>
      <c r="AE10" s="37" t="s">
        <v>7</v>
      </c>
      <c r="AF10" s="38">
        <f t="shared" si="33"/>
        <v>561.56388750000019</v>
      </c>
      <c r="AG10" s="38">
        <f t="shared" si="7"/>
        <v>26.741137500000008</v>
      </c>
      <c r="AI10" s="37" t="s">
        <v>7</v>
      </c>
      <c r="AJ10" s="38">
        <f t="shared" si="34"/>
        <v>1403.9097187500001</v>
      </c>
      <c r="AK10" s="38">
        <f t="shared" si="8"/>
        <v>66.852843750000005</v>
      </c>
      <c r="AL10" s="44"/>
      <c r="AM10" s="37" t="s">
        <v>7</v>
      </c>
      <c r="AN10" s="38">
        <f t="shared" si="35"/>
        <v>280.7819437500001</v>
      </c>
      <c r="AO10" s="38">
        <f t="shared" si="9"/>
        <v>13.370568750000004</v>
      </c>
      <c r="AQ10" s="37" t="s">
        <v>7</v>
      </c>
      <c r="AR10" s="38">
        <f t="shared" si="36"/>
        <v>280.7819437500001</v>
      </c>
      <c r="AS10" s="38">
        <f t="shared" si="10"/>
        <v>13.370568750000004</v>
      </c>
      <c r="AU10" s="37" t="s">
        <v>7</v>
      </c>
      <c r="AV10" s="38">
        <f t="shared" si="37"/>
        <v>280.7819437500001</v>
      </c>
      <c r="AW10" s="38">
        <f t="shared" si="11"/>
        <v>13.370568750000004</v>
      </c>
      <c r="AY10" s="37" t="s">
        <v>7</v>
      </c>
      <c r="AZ10" s="38">
        <f t="shared" si="38"/>
        <v>7019.5485937500007</v>
      </c>
      <c r="BA10" s="38">
        <f t="shared" si="12"/>
        <v>334.26421875000005</v>
      </c>
      <c r="BC10" s="37" t="s">
        <v>7</v>
      </c>
      <c r="BD10" s="38">
        <f t="shared" si="39"/>
        <v>7019.5485937500007</v>
      </c>
      <c r="BE10" s="38">
        <f t="shared" si="13"/>
        <v>334.26421875000005</v>
      </c>
      <c r="BG10" s="37" t="s">
        <v>7</v>
      </c>
      <c r="BH10" s="38">
        <f t="shared" si="40"/>
        <v>842.34583125000006</v>
      </c>
      <c r="BI10" s="38">
        <f t="shared" si="14"/>
        <v>40.111706250000005</v>
      </c>
      <c r="BK10" s="37" t="s">
        <v>7</v>
      </c>
      <c r="BL10" s="38">
        <f t="shared" si="41"/>
        <v>4211.7291562500013</v>
      </c>
      <c r="BM10" s="38">
        <f t="shared" si="15"/>
        <v>200.55853125000007</v>
      </c>
      <c r="BO10" s="37" t="s">
        <v>7</v>
      </c>
      <c r="BP10" s="38">
        <f t="shared" si="42"/>
        <v>1403.9097187500001</v>
      </c>
      <c r="BQ10" s="38">
        <f t="shared" si="16"/>
        <v>66.852843750000005</v>
      </c>
      <c r="BS10" s="37" t="s">
        <v>7</v>
      </c>
      <c r="BT10" s="38">
        <f t="shared" si="43"/>
        <v>1403.9097187500001</v>
      </c>
      <c r="BU10" s="38">
        <f t="shared" si="17"/>
        <v>66.852843750000005</v>
      </c>
      <c r="BV10" s="44"/>
      <c r="BW10" s="37" t="s">
        <v>7</v>
      </c>
      <c r="BX10" s="38">
        <f t="shared" si="44"/>
        <v>0</v>
      </c>
      <c r="BY10" s="38">
        <f t="shared" si="18"/>
        <v>0</v>
      </c>
      <c r="CA10" s="37" t="s">
        <v>7</v>
      </c>
      <c r="CB10" s="38">
        <f t="shared" si="45"/>
        <v>8423.4583125000026</v>
      </c>
      <c r="CC10" s="38">
        <f t="shared" si="19"/>
        <v>401.11706250000015</v>
      </c>
      <c r="CD10" s="44"/>
      <c r="CE10" s="37" t="s">
        <v>7</v>
      </c>
      <c r="CF10" s="38">
        <f t="shared" si="46"/>
        <v>280.7819437500001</v>
      </c>
      <c r="CG10" s="38">
        <f t="shared" si="20"/>
        <v>13.370568750000004</v>
      </c>
      <c r="CI10" s="37" t="s">
        <v>7</v>
      </c>
      <c r="CJ10" s="38">
        <f t="shared" si="47"/>
        <v>7019.5485937500007</v>
      </c>
      <c r="CK10" s="38">
        <f t="shared" si="21"/>
        <v>334.26421875000005</v>
      </c>
      <c r="CM10" s="37" t="s">
        <v>7</v>
      </c>
      <c r="CN10" s="38">
        <f t="shared" si="48"/>
        <v>7019.5485937500007</v>
      </c>
      <c r="CO10" s="38">
        <f t="shared" si="22"/>
        <v>334.26421875000005</v>
      </c>
      <c r="CQ10" s="37" t="s">
        <v>7</v>
      </c>
      <c r="CR10" s="38">
        <f t="shared" si="49"/>
        <v>2807.8194375000003</v>
      </c>
      <c r="CS10" s="38">
        <f t="shared" si="23"/>
        <v>133.70568750000001</v>
      </c>
      <c r="CU10" s="37" t="s">
        <v>7</v>
      </c>
      <c r="CV10" s="38">
        <f t="shared" si="50"/>
        <v>280.7819437500001</v>
      </c>
      <c r="CW10" s="38">
        <f t="shared" si="24"/>
        <v>13.370568750000004</v>
      </c>
      <c r="CY10" s="37" t="s">
        <v>7</v>
      </c>
      <c r="CZ10" s="38">
        <f t="shared" si="51"/>
        <v>6457.9847062500012</v>
      </c>
      <c r="DA10" s="38">
        <f t="shared" si="25"/>
        <v>307.52308125000008</v>
      </c>
    </row>
    <row r="11" spans="2:105" x14ac:dyDescent="0.35">
      <c r="B11" s="37" t="s">
        <v>8</v>
      </c>
      <c r="C11" s="38">
        <f t="shared" si="26"/>
        <v>294.82104093750013</v>
      </c>
      <c r="D11" s="38">
        <f t="shared" si="0"/>
        <v>14.039097187500005</v>
      </c>
      <c r="E11" s="44"/>
      <c r="F11" s="37" t="s">
        <v>8</v>
      </c>
      <c r="G11" s="38">
        <f t="shared" si="27"/>
        <v>0</v>
      </c>
      <c r="H11" s="38">
        <f t="shared" si="1"/>
        <v>0</v>
      </c>
      <c r="J11" s="37" t="s">
        <v>8</v>
      </c>
      <c r="K11" s="38">
        <f t="shared" si="28"/>
        <v>1768.9262456250001</v>
      </c>
      <c r="L11" s="38">
        <f t="shared" si="2"/>
        <v>84.234583125000015</v>
      </c>
      <c r="N11" s="37" t="s">
        <v>8</v>
      </c>
      <c r="O11" s="38">
        <f t="shared" si="29"/>
        <v>294.82104093750013</v>
      </c>
      <c r="P11" s="38">
        <f t="shared" si="3"/>
        <v>14.039097187500005</v>
      </c>
      <c r="R11" s="37" t="s">
        <v>8</v>
      </c>
      <c r="S11" s="38">
        <f t="shared" si="30"/>
        <v>7370.526023437501</v>
      </c>
      <c r="T11" s="38">
        <f t="shared" si="4"/>
        <v>350.97742968750003</v>
      </c>
      <c r="W11" s="37" t="s">
        <v>8</v>
      </c>
      <c r="X11" s="38">
        <f t="shared" si="31"/>
        <v>294.82104093750013</v>
      </c>
      <c r="Y11" s="38">
        <f t="shared" si="5"/>
        <v>14.039097187500005</v>
      </c>
      <c r="AA11" s="37" t="s">
        <v>8</v>
      </c>
      <c r="AB11" s="38">
        <f t="shared" si="32"/>
        <v>294.82104093750013</v>
      </c>
      <c r="AC11" s="38">
        <f t="shared" si="6"/>
        <v>14.039097187500005</v>
      </c>
      <c r="AE11" s="37" t="s">
        <v>8</v>
      </c>
      <c r="AF11" s="38">
        <f t="shared" si="33"/>
        <v>589.64208187500026</v>
      </c>
      <c r="AG11" s="38">
        <f t="shared" si="7"/>
        <v>28.07819437500001</v>
      </c>
      <c r="AI11" s="37" t="s">
        <v>8</v>
      </c>
      <c r="AJ11" s="38">
        <f t="shared" si="34"/>
        <v>1474.1052046875002</v>
      </c>
      <c r="AK11" s="38">
        <f t="shared" si="8"/>
        <v>70.19548593750001</v>
      </c>
      <c r="AL11" s="44"/>
      <c r="AM11" s="37" t="s">
        <v>8</v>
      </c>
      <c r="AN11" s="38">
        <f t="shared" si="35"/>
        <v>294.82104093750013</v>
      </c>
      <c r="AO11" s="38">
        <f t="shared" si="9"/>
        <v>14.039097187500005</v>
      </c>
      <c r="AQ11" s="37" t="s">
        <v>8</v>
      </c>
      <c r="AR11" s="38">
        <f t="shared" si="36"/>
        <v>294.82104093750013</v>
      </c>
      <c r="AS11" s="38">
        <f t="shared" si="10"/>
        <v>14.039097187500005</v>
      </c>
      <c r="AU11" s="37" t="s">
        <v>8</v>
      </c>
      <c r="AV11" s="38">
        <f t="shared" si="37"/>
        <v>294.82104093750013</v>
      </c>
      <c r="AW11" s="38">
        <f t="shared" si="11"/>
        <v>14.039097187500005</v>
      </c>
      <c r="AY11" s="37" t="s">
        <v>8</v>
      </c>
      <c r="AZ11" s="38">
        <f t="shared" si="38"/>
        <v>7370.526023437501</v>
      </c>
      <c r="BA11" s="38">
        <f t="shared" si="12"/>
        <v>350.97742968750003</v>
      </c>
      <c r="BC11" s="37" t="s">
        <v>8</v>
      </c>
      <c r="BD11" s="38">
        <f t="shared" si="39"/>
        <v>7370.526023437501</v>
      </c>
      <c r="BE11" s="38">
        <f t="shared" si="13"/>
        <v>350.97742968750003</v>
      </c>
      <c r="BG11" s="37" t="s">
        <v>8</v>
      </c>
      <c r="BH11" s="38">
        <f t="shared" si="40"/>
        <v>884.46312281250005</v>
      </c>
      <c r="BI11" s="38">
        <f t="shared" si="14"/>
        <v>42.117291562500007</v>
      </c>
      <c r="BK11" s="37" t="s">
        <v>8</v>
      </c>
      <c r="BL11" s="38">
        <f t="shared" si="41"/>
        <v>4422.3156140625015</v>
      </c>
      <c r="BM11" s="38">
        <f t="shared" si="15"/>
        <v>210.58645781250007</v>
      </c>
      <c r="BO11" s="37" t="s">
        <v>8</v>
      </c>
      <c r="BP11" s="38">
        <f t="shared" si="42"/>
        <v>1474.1052046875002</v>
      </c>
      <c r="BQ11" s="38">
        <f t="shared" si="16"/>
        <v>70.19548593750001</v>
      </c>
      <c r="BS11" s="37" t="s">
        <v>8</v>
      </c>
      <c r="BT11" s="38">
        <f t="shared" si="43"/>
        <v>1474.1052046875002</v>
      </c>
      <c r="BU11" s="38">
        <f t="shared" si="17"/>
        <v>70.19548593750001</v>
      </c>
      <c r="BV11" s="44"/>
      <c r="BW11" s="37" t="s">
        <v>8</v>
      </c>
      <c r="BX11" s="38">
        <f t="shared" si="44"/>
        <v>0</v>
      </c>
      <c r="BY11" s="38">
        <f t="shared" si="18"/>
        <v>0</v>
      </c>
      <c r="CA11" s="37" t="s">
        <v>8</v>
      </c>
      <c r="CB11" s="38">
        <f t="shared" si="45"/>
        <v>8844.631228125003</v>
      </c>
      <c r="CC11" s="38">
        <f t="shared" si="19"/>
        <v>421.17291562500014</v>
      </c>
      <c r="CD11" s="44"/>
      <c r="CE11" s="37" t="s">
        <v>8</v>
      </c>
      <c r="CF11" s="38">
        <f t="shared" si="46"/>
        <v>294.82104093750013</v>
      </c>
      <c r="CG11" s="38">
        <f t="shared" si="20"/>
        <v>14.039097187500005</v>
      </c>
      <c r="CI11" s="37" t="s">
        <v>8</v>
      </c>
      <c r="CJ11" s="38">
        <f t="shared" si="47"/>
        <v>7370.526023437501</v>
      </c>
      <c r="CK11" s="38">
        <f t="shared" si="21"/>
        <v>350.97742968750003</v>
      </c>
      <c r="CM11" s="37" t="s">
        <v>8</v>
      </c>
      <c r="CN11" s="38">
        <f t="shared" si="48"/>
        <v>7370.526023437501</v>
      </c>
      <c r="CO11" s="38">
        <f t="shared" si="22"/>
        <v>350.97742968750003</v>
      </c>
      <c r="CQ11" s="37" t="s">
        <v>8</v>
      </c>
      <c r="CR11" s="38">
        <f t="shared" si="49"/>
        <v>2948.2104093750004</v>
      </c>
      <c r="CS11" s="38">
        <f t="shared" si="23"/>
        <v>140.39097187500002</v>
      </c>
      <c r="CU11" s="37" t="s">
        <v>8</v>
      </c>
      <c r="CV11" s="38">
        <f t="shared" si="50"/>
        <v>294.82104093750013</v>
      </c>
      <c r="CW11" s="38">
        <f t="shared" si="24"/>
        <v>14.039097187500005</v>
      </c>
      <c r="CY11" s="37" t="s">
        <v>8</v>
      </c>
      <c r="CZ11" s="38">
        <f t="shared" si="51"/>
        <v>6780.8839415625016</v>
      </c>
      <c r="DA11" s="38">
        <f t="shared" si="25"/>
        <v>322.89923531250008</v>
      </c>
    </row>
    <row r="12" spans="2:105" x14ac:dyDescent="0.35">
      <c r="B12" s="37" t="s">
        <v>9</v>
      </c>
      <c r="C12" s="38">
        <f t="shared" si="26"/>
        <v>309.56209298437517</v>
      </c>
      <c r="D12" s="38">
        <f t="shared" si="0"/>
        <v>14.741052046875007</v>
      </c>
      <c r="E12" s="44"/>
      <c r="F12" s="37" t="s">
        <v>9</v>
      </c>
      <c r="G12" s="38">
        <f t="shared" si="27"/>
        <v>0</v>
      </c>
      <c r="H12" s="38">
        <f t="shared" si="1"/>
        <v>0</v>
      </c>
      <c r="J12" s="37" t="s">
        <v>9</v>
      </c>
      <c r="K12" s="38">
        <f t="shared" si="28"/>
        <v>1857.3725579062502</v>
      </c>
      <c r="L12" s="38">
        <f t="shared" si="2"/>
        <v>88.446312281250016</v>
      </c>
      <c r="N12" s="37" t="s">
        <v>9</v>
      </c>
      <c r="O12" s="38">
        <f t="shared" si="29"/>
        <v>309.56209298437517</v>
      </c>
      <c r="P12" s="38">
        <f t="shared" si="3"/>
        <v>14.741052046875007</v>
      </c>
      <c r="R12" s="37" t="s">
        <v>9</v>
      </c>
      <c r="S12" s="38">
        <f t="shared" si="30"/>
        <v>7739.0523246093762</v>
      </c>
      <c r="T12" s="38">
        <f t="shared" si="4"/>
        <v>368.52630117187505</v>
      </c>
      <c r="W12" s="37" t="s">
        <v>9</v>
      </c>
      <c r="X12" s="38">
        <f t="shared" si="31"/>
        <v>309.56209298437517</v>
      </c>
      <c r="Y12" s="38">
        <f t="shared" si="5"/>
        <v>14.741052046875007</v>
      </c>
      <c r="AA12" s="37" t="s">
        <v>9</v>
      </c>
      <c r="AB12" s="38">
        <f t="shared" si="32"/>
        <v>309.56209298437517</v>
      </c>
      <c r="AC12" s="38">
        <f t="shared" si="6"/>
        <v>14.741052046875007</v>
      </c>
      <c r="AE12" s="37" t="s">
        <v>9</v>
      </c>
      <c r="AF12" s="38">
        <f t="shared" si="33"/>
        <v>619.12418596875034</v>
      </c>
      <c r="AG12" s="38">
        <f t="shared" si="7"/>
        <v>29.482104093750014</v>
      </c>
      <c r="AI12" s="37" t="s">
        <v>9</v>
      </c>
      <c r="AJ12" s="38">
        <f t="shared" si="34"/>
        <v>1547.8104649218753</v>
      </c>
      <c r="AK12" s="38">
        <f t="shared" si="8"/>
        <v>73.705260234375018</v>
      </c>
      <c r="AL12" s="44"/>
      <c r="AM12" s="37" t="s">
        <v>9</v>
      </c>
      <c r="AN12" s="38">
        <f t="shared" si="35"/>
        <v>309.56209298437517</v>
      </c>
      <c r="AO12" s="38">
        <f t="shared" si="9"/>
        <v>14.741052046875007</v>
      </c>
      <c r="AQ12" s="37" t="s">
        <v>9</v>
      </c>
      <c r="AR12" s="38">
        <f t="shared" si="36"/>
        <v>309.56209298437517</v>
      </c>
      <c r="AS12" s="38">
        <f t="shared" si="10"/>
        <v>14.741052046875007</v>
      </c>
      <c r="AU12" s="37" t="s">
        <v>9</v>
      </c>
      <c r="AV12" s="38">
        <f t="shared" si="37"/>
        <v>309.56209298437517</v>
      </c>
      <c r="AW12" s="38">
        <f t="shared" si="11"/>
        <v>14.741052046875007</v>
      </c>
      <c r="AY12" s="37" t="s">
        <v>9</v>
      </c>
      <c r="AZ12" s="38">
        <f t="shared" si="38"/>
        <v>7739.0523246093762</v>
      </c>
      <c r="BA12" s="38">
        <f t="shared" si="12"/>
        <v>368.52630117187505</v>
      </c>
      <c r="BC12" s="37" t="s">
        <v>9</v>
      </c>
      <c r="BD12" s="38">
        <f t="shared" si="39"/>
        <v>7739.0523246093762</v>
      </c>
      <c r="BE12" s="38">
        <f t="shared" si="13"/>
        <v>368.52630117187505</v>
      </c>
      <c r="BG12" s="37" t="s">
        <v>9</v>
      </c>
      <c r="BH12" s="38">
        <f t="shared" si="40"/>
        <v>928.68627895312511</v>
      </c>
      <c r="BI12" s="38">
        <f t="shared" si="14"/>
        <v>44.223156140625008</v>
      </c>
      <c r="BK12" s="37" t="s">
        <v>9</v>
      </c>
      <c r="BL12" s="38">
        <f t="shared" si="41"/>
        <v>4643.4313947656265</v>
      </c>
      <c r="BM12" s="38">
        <f t="shared" si="15"/>
        <v>221.1157807031251</v>
      </c>
      <c r="BO12" s="37" t="s">
        <v>9</v>
      </c>
      <c r="BP12" s="38">
        <f t="shared" si="42"/>
        <v>1547.8104649218753</v>
      </c>
      <c r="BQ12" s="38">
        <f t="shared" si="16"/>
        <v>73.705260234375018</v>
      </c>
      <c r="BS12" s="37" t="s">
        <v>9</v>
      </c>
      <c r="BT12" s="38">
        <f t="shared" si="43"/>
        <v>1547.8104649218753</v>
      </c>
      <c r="BU12" s="38">
        <f t="shared" si="17"/>
        <v>73.705260234375018</v>
      </c>
      <c r="BV12" s="44"/>
      <c r="BW12" s="37" t="s">
        <v>9</v>
      </c>
      <c r="BX12" s="38">
        <f t="shared" si="44"/>
        <v>0</v>
      </c>
      <c r="BY12" s="38">
        <f t="shared" si="18"/>
        <v>0</v>
      </c>
      <c r="CA12" s="37" t="s">
        <v>9</v>
      </c>
      <c r="CB12" s="38">
        <f t="shared" si="45"/>
        <v>9286.8627895312529</v>
      </c>
      <c r="CC12" s="38">
        <f t="shared" si="19"/>
        <v>442.23156140625019</v>
      </c>
      <c r="CD12" s="44"/>
      <c r="CE12" s="37" t="s">
        <v>9</v>
      </c>
      <c r="CF12" s="38">
        <f t="shared" si="46"/>
        <v>309.56209298437517</v>
      </c>
      <c r="CG12" s="38">
        <f t="shared" si="20"/>
        <v>14.741052046875007</v>
      </c>
      <c r="CI12" s="37" t="s">
        <v>9</v>
      </c>
      <c r="CJ12" s="38">
        <f t="shared" si="47"/>
        <v>7739.0523246093762</v>
      </c>
      <c r="CK12" s="38">
        <f t="shared" si="21"/>
        <v>368.52630117187505</v>
      </c>
      <c r="CM12" s="37" t="s">
        <v>9</v>
      </c>
      <c r="CN12" s="38">
        <f t="shared" si="48"/>
        <v>7739.0523246093762</v>
      </c>
      <c r="CO12" s="38">
        <f t="shared" si="22"/>
        <v>368.52630117187505</v>
      </c>
      <c r="CQ12" s="37" t="s">
        <v>9</v>
      </c>
      <c r="CR12" s="38">
        <f t="shared" si="49"/>
        <v>3095.6209298437507</v>
      </c>
      <c r="CS12" s="38">
        <f t="shared" si="23"/>
        <v>147.41052046875004</v>
      </c>
      <c r="CU12" s="37" t="s">
        <v>9</v>
      </c>
      <c r="CV12" s="38">
        <f t="shared" si="50"/>
        <v>309.56209298437517</v>
      </c>
      <c r="CW12" s="38">
        <f t="shared" si="24"/>
        <v>14.741052046875007</v>
      </c>
      <c r="CY12" s="37" t="s">
        <v>9</v>
      </c>
      <c r="CZ12" s="38">
        <f t="shared" si="51"/>
        <v>7119.9281386406274</v>
      </c>
      <c r="DA12" s="38">
        <f t="shared" si="25"/>
        <v>339.04419707812508</v>
      </c>
    </row>
    <row r="13" spans="2:105" x14ac:dyDescent="0.35">
      <c r="B13" s="37" t="s">
        <v>164</v>
      </c>
      <c r="C13" s="38">
        <f t="shared" si="26"/>
        <v>325.04019763359395</v>
      </c>
      <c r="D13" s="38">
        <f t="shared" si="0"/>
        <v>15.478104649218759</v>
      </c>
      <c r="E13" s="44"/>
      <c r="F13" s="37" t="s">
        <v>164</v>
      </c>
      <c r="G13" s="38">
        <f t="shared" si="27"/>
        <v>0</v>
      </c>
      <c r="H13" s="38">
        <f t="shared" si="1"/>
        <v>0</v>
      </c>
      <c r="J13" s="37" t="s">
        <v>164</v>
      </c>
      <c r="K13" s="38">
        <f t="shared" si="28"/>
        <v>1950.2411858015628</v>
      </c>
      <c r="L13" s="38">
        <f t="shared" si="2"/>
        <v>92.868627895312514</v>
      </c>
      <c r="N13" s="37" t="s">
        <v>164</v>
      </c>
      <c r="O13" s="38">
        <f t="shared" si="29"/>
        <v>325.04019763359395</v>
      </c>
      <c r="P13" s="38">
        <f t="shared" si="3"/>
        <v>15.478104649218759</v>
      </c>
      <c r="R13" s="37" t="s">
        <v>164</v>
      </c>
      <c r="S13" s="38">
        <f t="shared" si="30"/>
        <v>8126.0049408398454</v>
      </c>
      <c r="T13" s="38">
        <f t="shared" si="4"/>
        <v>386.95261623046883</v>
      </c>
      <c r="W13" s="37" t="s">
        <v>164</v>
      </c>
      <c r="X13" s="38">
        <f t="shared" si="31"/>
        <v>325.04019763359395</v>
      </c>
      <c r="Y13" s="38">
        <f t="shared" si="5"/>
        <v>15.478104649218759</v>
      </c>
      <c r="AA13" s="37" t="s">
        <v>164</v>
      </c>
      <c r="AB13" s="38">
        <f t="shared" si="32"/>
        <v>325.04019763359395</v>
      </c>
      <c r="AC13" s="38">
        <f t="shared" si="6"/>
        <v>15.478104649218759</v>
      </c>
      <c r="AE13" s="37" t="s">
        <v>164</v>
      </c>
      <c r="AF13" s="38">
        <f t="shared" si="33"/>
        <v>650.0803952671879</v>
      </c>
      <c r="AG13" s="38">
        <f t="shared" si="7"/>
        <v>30.956209298437518</v>
      </c>
      <c r="AI13" s="37" t="s">
        <v>164</v>
      </c>
      <c r="AJ13" s="38">
        <f t="shared" si="34"/>
        <v>1625.2009881679692</v>
      </c>
      <c r="AK13" s="38">
        <f t="shared" si="8"/>
        <v>77.390523246093778</v>
      </c>
      <c r="AL13" s="44"/>
      <c r="AM13" s="37" t="s">
        <v>164</v>
      </c>
      <c r="AN13" s="38">
        <f t="shared" si="35"/>
        <v>325.04019763359395</v>
      </c>
      <c r="AO13" s="38">
        <f t="shared" si="9"/>
        <v>15.478104649218759</v>
      </c>
      <c r="AQ13" s="37" t="s">
        <v>164</v>
      </c>
      <c r="AR13" s="38">
        <f t="shared" si="36"/>
        <v>325.04019763359395</v>
      </c>
      <c r="AS13" s="38">
        <f t="shared" si="10"/>
        <v>15.478104649218759</v>
      </c>
      <c r="AU13" s="37" t="s">
        <v>164</v>
      </c>
      <c r="AV13" s="38">
        <f t="shared" si="37"/>
        <v>325.04019763359395</v>
      </c>
      <c r="AW13" s="38">
        <f t="shared" si="11"/>
        <v>15.478104649218759</v>
      </c>
      <c r="AY13" s="37" t="s">
        <v>164</v>
      </c>
      <c r="AZ13" s="38">
        <f t="shared" si="38"/>
        <v>8126.0049408398454</v>
      </c>
      <c r="BA13" s="38">
        <f t="shared" si="12"/>
        <v>386.95261623046883</v>
      </c>
      <c r="BC13" s="37" t="s">
        <v>164</v>
      </c>
      <c r="BD13" s="38">
        <f t="shared" si="39"/>
        <v>8126.0049408398454</v>
      </c>
      <c r="BE13" s="38">
        <f t="shared" si="13"/>
        <v>386.95261623046883</v>
      </c>
      <c r="BG13" s="37" t="s">
        <v>164</v>
      </c>
      <c r="BH13" s="38">
        <f t="shared" si="40"/>
        <v>975.12059290078139</v>
      </c>
      <c r="BI13" s="38">
        <f t="shared" si="14"/>
        <v>46.434313947656257</v>
      </c>
      <c r="BK13" s="37" t="s">
        <v>164</v>
      </c>
      <c r="BL13" s="38">
        <f t="shared" si="41"/>
        <v>4875.602964503908</v>
      </c>
      <c r="BM13" s="38">
        <f t="shared" si="15"/>
        <v>232.17156973828133</v>
      </c>
      <c r="BO13" s="37" t="s">
        <v>164</v>
      </c>
      <c r="BP13" s="38">
        <f t="shared" si="42"/>
        <v>1625.2009881679692</v>
      </c>
      <c r="BQ13" s="38">
        <f t="shared" si="16"/>
        <v>77.390523246093778</v>
      </c>
      <c r="BS13" s="37" t="s">
        <v>164</v>
      </c>
      <c r="BT13" s="38">
        <f t="shared" si="43"/>
        <v>1625.2009881679692</v>
      </c>
      <c r="BU13" s="38">
        <f t="shared" si="17"/>
        <v>77.390523246093778</v>
      </c>
      <c r="BV13" s="44"/>
      <c r="BW13" s="37" t="s">
        <v>164</v>
      </c>
      <c r="BX13" s="38">
        <f t="shared" si="44"/>
        <v>0</v>
      </c>
      <c r="BY13" s="38">
        <f t="shared" si="18"/>
        <v>0</v>
      </c>
      <c r="CA13" s="37" t="s">
        <v>164</v>
      </c>
      <c r="CB13" s="38">
        <f t="shared" si="45"/>
        <v>9751.2059290078159</v>
      </c>
      <c r="CC13" s="38">
        <f t="shared" si="19"/>
        <v>464.34313947656267</v>
      </c>
      <c r="CD13" s="44"/>
      <c r="CE13" s="37" t="s">
        <v>164</v>
      </c>
      <c r="CF13" s="38">
        <f t="shared" si="46"/>
        <v>325.04019763359395</v>
      </c>
      <c r="CG13" s="38">
        <f t="shared" si="20"/>
        <v>15.478104649218759</v>
      </c>
      <c r="CI13" s="37" t="s">
        <v>164</v>
      </c>
      <c r="CJ13" s="38">
        <f t="shared" si="47"/>
        <v>8126.0049408398454</v>
      </c>
      <c r="CK13" s="38">
        <f t="shared" si="21"/>
        <v>386.95261623046883</v>
      </c>
      <c r="CM13" s="37" t="s">
        <v>164</v>
      </c>
      <c r="CN13" s="38">
        <f t="shared" si="48"/>
        <v>8126.0049408398454</v>
      </c>
      <c r="CO13" s="38">
        <f t="shared" si="22"/>
        <v>386.95261623046883</v>
      </c>
      <c r="CQ13" s="37" t="s">
        <v>164</v>
      </c>
      <c r="CR13" s="38">
        <f t="shared" si="49"/>
        <v>3250.4019763359383</v>
      </c>
      <c r="CS13" s="38">
        <f t="shared" si="23"/>
        <v>154.78104649218756</v>
      </c>
      <c r="CU13" s="37" t="s">
        <v>164</v>
      </c>
      <c r="CV13" s="38">
        <f t="shared" si="50"/>
        <v>325.04019763359395</v>
      </c>
      <c r="CW13" s="38">
        <f t="shared" si="24"/>
        <v>15.478104649218759</v>
      </c>
      <c r="CY13" s="37" t="s">
        <v>164</v>
      </c>
      <c r="CZ13" s="38">
        <f t="shared" si="51"/>
        <v>7475.9245455726586</v>
      </c>
      <c r="DA13" s="38">
        <f t="shared" si="25"/>
        <v>355.99640693203139</v>
      </c>
    </row>
    <row r="14" spans="2:105" x14ac:dyDescent="0.35">
      <c r="B14" s="37" t="s">
        <v>165</v>
      </c>
      <c r="C14" s="38">
        <f>C13*1.05</f>
        <v>341.29220751527367</v>
      </c>
      <c r="D14" s="38">
        <f t="shared" si="0"/>
        <v>16.252009881679697</v>
      </c>
      <c r="E14" s="44"/>
      <c r="F14" s="37" t="s">
        <v>165</v>
      </c>
      <c r="G14" s="38">
        <f>G13*1.05</f>
        <v>0</v>
      </c>
      <c r="H14" s="38">
        <f t="shared" si="1"/>
        <v>0</v>
      </c>
      <c r="J14" s="37" t="s">
        <v>165</v>
      </c>
      <c r="K14" s="38">
        <f>K13*1.05</f>
        <v>2047.753245091641</v>
      </c>
      <c r="L14" s="38">
        <f t="shared" si="2"/>
        <v>97.512059290078142</v>
      </c>
      <c r="N14" s="37" t="s">
        <v>165</v>
      </c>
      <c r="O14" s="38">
        <f>O13*1.05</f>
        <v>341.29220751527367</v>
      </c>
      <c r="P14" s="38">
        <f t="shared" si="3"/>
        <v>16.252009881679697</v>
      </c>
      <c r="R14" s="37" t="s">
        <v>165</v>
      </c>
      <c r="S14" s="38">
        <f>S13*1.05</f>
        <v>8532.3051878818387</v>
      </c>
      <c r="T14" s="38">
        <f t="shared" si="4"/>
        <v>406.30024704199229</v>
      </c>
      <c r="W14" s="37" t="s">
        <v>165</v>
      </c>
      <c r="X14" s="38">
        <f>X13*1.05</f>
        <v>341.29220751527367</v>
      </c>
      <c r="Y14" s="38">
        <f t="shared" si="5"/>
        <v>16.252009881679697</v>
      </c>
      <c r="AA14" s="37" t="s">
        <v>165</v>
      </c>
      <c r="AB14" s="38">
        <f>AB13*1.05</f>
        <v>341.29220751527367</v>
      </c>
      <c r="AC14" s="38">
        <f t="shared" si="6"/>
        <v>16.252009881679697</v>
      </c>
      <c r="AE14" s="37" t="s">
        <v>165</v>
      </c>
      <c r="AF14" s="38">
        <f>AF13*1.05</f>
        <v>682.58441503054735</v>
      </c>
      <c r="AG14" s="38">
        <f t="shared" si="7"/>
        <v>32.504019763359395</v>
      </c>
      <c r="AI14" s="37" t="s">
        <v>165</v>
      </c>
      <c r="AJ14" s="38">
        <f>AJ13*1.05</f>
        <v>1706.4610375763677</v>
      </c>
      <c r="AK14" s="38">
        <f t="shared" si="8"/>
        <v>81.260049408398459</v>
      </c>
      <c r="AL14" s="44"/>
      <c r="AM14" s="37" t="s">
        <v>165</v>
      </c>
      <c r="AN14" s="38">
        <f>AN13*1.05</f>
        <v>341.29220751527367</v>
      </c>
      <c r="AO14" s="38">
        <f t="shared" si="9"/>
        <v>16.252009881679697</v>
      </c>
      <c r="AQ14" s="37" t="s">
        <v>165</v>
      </c>
      <c r="AR14" s="38">
        <f>AR13*1.05</f>
        <v>341.29220751527367</v>
      </c>
      <c r="AS14" s="38">
        <f t="shared" si="10"/>
        <v>16.252009881679697</v>
      </c>
      <c r="AU14" s="37" t="s">
        <v>165</v>
      </c>
      <c r="AV14" s="38">
        <f>AV13*1.05</f>
        <v>341.29220751527367</v>
      </c>
      <c r="AW14" s="38">
        <f t="shared" si="11"/>
        <v>16.252009881679697</v>
      </c>
      <c r="AY14" s="37" t="s">
        <v>165</v>
      </c>
      <c r="AZ14" s="38">
        <f>AZ13*1.05</f>
        <v>8532.3051878818387</v>
      </c>
      <c r="BA14" s="38">
        <f t="shared" si="12"/>
        <v>406.30024704199229</v>
      </c>
      <c r="BC14" s="37" t="s">
        <v>165</v>
      </c>
      <c r="BD14" s="38">
        <f>BD13*1.05</f>
        <v>8532.3051878818387</v>
      </c>
      <c r="BE14" s="38">
        <f t="shared" si="13"/>
        <v>406.30024704199229</v>
      </c>
      <c r="BG14" s="37" t="s">
        <v>165</v>
      </c>
      <c r="BH14" s="38">
        <f>BH13*1.05</f>
        <v>1023.8766225458205</v>
      </c>
      <c r="BI14" s="38">
        <f t="shared" si="14"/>
        <v>48.756029645039071</v>
      </c>
      <c r="BK14" s="37" t="s">
        <v>165</v>
      </c>
      <c r="BL14" s="38">
        <f>BL13*1.05</f>
        <v>5119.3831127291032</v>
      </c>
      <c r="BM14" s="38">
        <f t="shared" si="15"/>
        <v>243.7801482251954</v>
      </c>
      <c r="BO14" s="37" t="s">
        <v>165</v>
      </c>
      <c r="BP14" s="38">
        <f>BP13*1.05</f>
        <v>1706.4610375763677</v>
      </c>
      <c r="BQ14" s="38">
        <f t="shared" si="16"/>
        <v>81.260049408398459</v>
      </c>
      <c r="BS14" s="37" t="s">
        <v>165</v>
      </c>
      <c r="BT14" s="38">
        <f>BT13*1.05</f>
        <v>1706.4610375763677</v>
      </c>
      <c r="BU14" s="38">
        <f t="shared" si="17"/>
        <v>81.260049408398459</v>
      </c>
      <c r="BV14" s="44"/>
      <c r="BW14" s="37" t="s">
        <v>165</v>
      </c>
      <c r="BX14" s="38">
        <f>BX13*1.05</f>
        <v>0</v>
      </c>
      <c r="BY14" s="38">
        <f t="shared" si="18"/>
        <v>0</v>
      </c>
      <c r="CA14" s="37" t="s">
        <v>165</v>
      </c>
      <c r="CB14" s="38">
        <f>CB13*1.05</f>
        <v>10238.766225458206</v>
      </c>
      <c r="CC14" s="38">
        <f t="shared" si="19"/>
        <v>487.56029645039081</v>
      </c>
      <c r="CD14" s="44"/>
      <c r="CE14" s="37" t="s">
        <v>165</v>
      </c>
      <c r="CF14" s="38">
        <f>CF13*1.05</f>
        <v>341.29220751527367</v>
      </c>
      <c r="CG14" s="38">
        <f t="shared" si="20"/>
        <v>16.252009881679697</v>
      </c>
      <c r="CI14" s="37" t="s">
        <v>165</v>
      </c>
      <c r="CJ14" s="38">
        <f>CJ13*1.05</f>
        <v>8532.3051878818387</v>
      </c>
      <c r="CK14" s="38">
        <f t="shared" si="21"/>
        <v>406.30024704199229</v>
      </c>
      <c r="CM14" s="37" t="s">
        <v>165</v>
      </c>
      <c r="CN14" s="38">
        <f>CN13*1.05</f>
        <v>8532.3051878818387</v>
      </c>
      <c r="CO14" s="38">
        <f t="shared" si="22"/>
        <v>406.30024704199229</v>
      </c>
      <c r="CQ14" s="37" t="s">
        <v>165</v>
      </c>
      <c r="CR14" s="38">
        <f>CR13*1.05</f>
        <v>3412.9220751527355</v>
      </c>
      <c r="CS14" s="38">
        <f t="shared" si="23"/>
        <v>162.52009881679692</v>
      </c>
      <c r="CU14" s="37" t="s">
        <v>165</v>
      </c>
      <c r="CV14" s="38">
        <f>CV13*1.05</f>
        <v>341.29220751527367</v>
      </c>
      <c r="CW14" s="38">
        <f t="shared" si="24"/>
        <v>16.252009881679697</v>
      </c>
      <c r="CY14" s="37" t="s">
        <v>165</v>
      </c>
      <c r="CZ14" s="38">
        <f>CZ13*1.05</f>
        <v>7849.7207728512922</v>
      </c>
      <c r="DA14" s="38">
        <f t="shared" si="25"/>
        <v>373.79622727863295</v>
      </c>
    </row>
    <row r="15" spans="2:105" x14ac:dyDescent="0.35">
      <c r="B15" s="35"/>
      <c r="C15" s="36"/>
      <c r="D15" s="36"/>
      <c r="E15" s="159"/>
      <c r="F15" s="35"/>
      <c r="G15" s="36"/>
      <c r="H15" s="36"/>
      <c r="J15" s="35"/>
      <c r="K15" s="36"/>
      <c r="L15" s="36"/>
      <c r="N15" s="35"/>
      <c r="O15" s="36"/>
      <c r="P15" s="36"/>
      <c r="R15" s="35"/>
      <c r="S15" s="36"/>
      <c r="T15" s="36"/>
      <c r="W15" s="35"/>
      <c r="X15" s="36"/>
      <c r="Y15" s="36"/>
      <c r="AA15" s="35"/>
      <c r="AB15" s="36"/>
      <c r="AC15" s="36"/>
      <c r="AE15" s="35"/>
      <c r="AF15" s="36"/>
      <c r="AG15" s="36"/>
      <c r="AI15" s="35"/>
      <c r="AJ15" s="36"/>
      <c r="AK15" s="36"/>
      <c r="AL15" s="159"/>
      <c r="AM15" s="35"/>
      <c r="AN15" s="36"/>
      <c r="AO15" s="36"/>
      <c r="AQ15" s="35"/>
      <c r="AR15" s="36"/>
      <c r="AS15" s="36"/>
      <c r="AU15" s="35"/>
      <c r="AV15" s="36"/>
      <c r="AW15" s="36"/>
      <c r="AY15" s="35"/>
      <c r="AZ15" s="36"/>
      <c r="BA15" s="36"/>
      <c r="BC15" s="35"/>
      <c r="BD15" s="36"/>
      <c r="BE15" s="36"/>
      <c r="BG15" s="35"/>
      <c r="BH15" s="36"/>
      <c r="BI15" s="36"/>
      <c r="BK15" s="35"/>
      <c r="BL15" s="36"/>
      <c r="BM15" s="36"/>
      <c r="BO15" s="35"/>
      <c r="BP15" s="36"/>
      <c r="BQ15" s="36"/>
      <c r="BS15" s="35"/>
      <c r="BT15" s="36"/>
      <c r="BU15" s="36"/>
      <c r="BV15" s="159"/>
      <c r="BW15" s="35"/>
      <c r="BX15" s="36"/>
      <c r="BY15" s="36"/>
      <c r="CA15" s="35"/>
      <c r="CB15" s="36"/>
      <c r="CC15" s="36"/>
      <c r="CD15" s="159"/>
      <c r="CE15" s="35"/>
      <c r="CF15" s="36"/>
      <c r="CG15" s="36"/>
      <c r="CI15" s="35"/>
      <c r="CJ15" s="36"/>
      <c r="CK15" s="36"/>
      <c r="CM15" s="35"/>
      <c r="CN15" s="36"/>
      <c r="CO15" s="36"/>
      <c r="CQ15" s="35"/>
      <c r="CR15" s="36"/>
      <c r="CS15" s="36"/>
      <c r="CU15" s="35"/>
      <c r="CV15" s="36"/>
      <c r="CW15" s="36"/>
      <c r="CY15" s="35"/>
      <c r="CZ15" s="36"/>
      <c r="DA15" s="36"/>
    </row>
    <row r="16" spans="2:105" s="47" customFormat="1" x14ac:dyDescent="0.35">
      <c r="B16" s="37" t="s">
        <v>160</v>
      </c>
      <c r="C16" s="41">
        <f>VLOOKUP(B1,INFSHARES,5,0)</f>
        <v>15000</v>
      </c>
      <c r="D16" s="41"/>
      <c r="E16" s="43"/>
      <c r="F16" s="37" t="s">
        <v>160</v>
      </c>
      <c r="G16" s="41">
        <f>VLOOKUP(F1,INFSHARES,5,0)</f>
        <v>0</v>
      </c>
      <c r="H16" s="41"/>
      <c r="J16" s="37" t="s">
        <v>160</v>
      </c>
      <c r="K16" s="41">
        <f>VLOOKUP(J1,INFSHARES,5,0)</f>
        <v>200</v>
      </c>
      <c r="L16" s="41"/>
      <c r="N16" s="37" t="s">
        <v>160</v>
      </c>
      <c r="O16" s="41">
        <f>VLOOKUP(N1,INFSHARES,5,0)</f>
        <v>200</v>
      </c>
      <c r="P16" s="41"/>
      <c r="R16" s="37" t="s">
        <v>160</v>
      </c>
      <c r="S16" s="41">
        <f>VLOOKUP(R1,INFSHARES,5,0)</f>
        <v>200</v>
      </c>
      <c r="T16" s="41"/>
      <c r="W16" s="37" t="s">
        <v>160</v>
      </c>
      <c r="X16" s="41">
        <f>VLOOKUP(W1,INFSHARES,5,0)</f>
        <v>200</v>
      </c>
      <c r="Y16" s="41"/>
      <c r="AA16" s="37" t="s">
        <v>160</v>
      </c>
      <c r="AB16" s="41">
        <f>VLOOKUP(AA1,INFSHARES,5,0)</f>
        <v>200</v>
      </c>
      <c r="AC16" s="41"/>
      <c r="AE16" s="37" t="s">
        <v>160</v>
      </c>
      <c r="AF16" s="41">
        <f>VLOOKUP(AE1,INFSHARES,5,0)</f>
        <v>400</v>
      </c>
      <c r="AG16" s="41"/>
      <c r="AI16" s="37" t="s">
        <v>160</v>
      </c>
      <c r="AJ16" s="41">
        <f>VLOOKUP(AI1,INFSHARES,5,0)</f>
        <v>200</v>
      </c>
      <c r="AK16" s="41"/>
      <c r="AL16" s="43"/>
      <c r="AM16" s="37" t="s">
        <v>160</v>
      </c>
      <c r="AN16" s="41">
        <f>VLOOKUP(AM1,INFSHARES,5,0)</f>
        <v>200</v>
      </c>
      <c r="AO16" s="41"/>
      <c r="AQ16" s="37" t="s">
        <v>160</v>
      </c>
      <c r="AR16" s="41">
        <f>VLOOKUP(AQ1,INFSHARES,5,0)</f>
        <v>400</v>
      </c>
      <c r="AS16" s="41"/>
      <c r="AU16" s="37" t="s">
        <v>160</v>
      </c>
      <c r="AV16" s="41">
        <f>VLOOKUP(AU1,INFSHARES,5,0)</f>
        <v>200</v>
      </c>
      <c r="AW16" s="41"/>
      <c r="AY16" s="37" t="s">
        <v>160</v>
      </c>
      <c r="AZ16" s="41">
        <f>VLOOKUP(AY1,INFSHARES,5,0)</f>
        <v>200</v>
      </c>
      <c r="BA16" s="41"/>
      <c r="BC16" s="37" t="s">
        <v>160</v>
      </c>
      <c r="BD16" s="41">
        <f>VLOOKUP(BC1,INFSHARES,5,0)</f>
        <v>5000</v>
      </c>
      <c r="BE16" s="41"/>
      <c r="BG16" s="37" t="s">
        <v>160</v>
      </c>
      <c r="BH16" s="41">
        <f>VLOOKUP(BG1,INFSHARES,5,0)</f>
        <v>200</v>
      </c>
      <c r="BI16" s="41"/>
      <c r="BK16" s="37" t="s">
        <v>160</v>
      </c>
      <c r="BL16" s="41">
        <f>VLOOKUP(BK1,INFSHARES,5,0)</f>
        <v>3000</v>
      </c>
      <c r="BM16" s="41"/>
      <c r="BO16" s="37" t="s">
        <v>160</v>
      </c>
      <c r="BP16" s="41">
        <f>VLOOKUP(BO1,INFSHARES,5,0)</f>
        <v>1000</v>
      </c>
      <c r="BQ16" s="41"/>
      <c r="BS16" s="37" t="s">
        <v>160</v>
      </c>
      <c r="BT16" s="41">
        <f>VLOOKUP(BS1,INFSHARES,5,0)</f>
        <v>2000</v>
      </c>
      <c r="BU16" s="41"/>
      <c r="BV16" s="43"/>
      <c r="BW16" s="37" t="s">
        <v>160</v>
      </c>
      <c r="BX16" s="41">
        <f>VLOOKUP(BW1,INFSHARES,5,0)</f>
        <v>1000</v>
      </c>
      <c r="BY16" s="41"/>
      <c r="CA16" s="37" t="s">
        <v>160</v>
      </c>
      <c r="CB16" s="41">
        <f>VLOOKUP(CA1,INFSHARES,5,0)</f>
        <v>10000</v>
      </c>
      <c r="CC16" s="41"/>
      <c r="CD16" s="43"/>
      <c r="CE16" s="37" t="s">
        <v>160</v>
      </c>
      <c r="CF16" s="41">
        <f>VLOOKUP(CE1,INFSHARES,5,0)</f>
        <v>1000</v>
      </c>
      <c r="CG16" s="41"/>
      <c r="CI16" s="37" t="s">
        <v>160</v>
      </c>
      <c r="CJ16" s="41">
        <f>VLOOKUP(CI1,INFSHARES,5,0)</f>
        <v>10000</v>
      </c>
      <c r="CK16" s="41"/>
      <c r="CM16" s="37" t="s">
        <v>160</v>
      </c>
      <c r="CN16" s="41">
        <f>VLOOKUP(CM1,INFSHARES,5,0)</f>
        <v>1000</v>
      </c>
      <c r="CO16" s="41"/>
      <c r="CQ16" s="37" t="s">
        <v>160</v>
      </c>
      <c r="CR16" s="41">
        <f>VLOOKUP(CQ1,INFSHARES,5,0)</f>
        <v>4000</v>
      </c>
      <c r="CS16" s="41"/>
      <c r="CU16" s="37" t="s">
        <v>160</v>
      </c>
      <c r="CV16" s="41">
        <f>VLOOKUP(CU1,INFSHARES,5,0)</f>
        <v>0</v>
      </c>
      <c r="CW16" s="41"/>
      <c r="CY16" s="37" t="s">
        <v>160</v>
      </c>
      <c r="CZ16" s="41">
        <f>VLOOKUP(CY1,INFRACASHshares2025,5,0)</f>
        <v>4600</v>
      </c>
      <c r="DA16" s="41"/>
    </row>
    <row r="17" spans="2:105" x14ac:dyDescent="0.35">
      <c r="B17" s="37" t="s">
        <v>161</v>
      </c>
      <c r="C17" s="38">
        <f>C16*1.1</f>
        <v>16500</v>
      </c>
      <c r="D17" s="38">
        <f>C16*0.1</f>
        <v>1500</v>
      </c>
      <c r="E17" s="44"/>
      <c r="F17" s="37" t="s">
        <v>161</v>
      </c>
      <c r="G17" s="38">
        <f>G16*1.1</f>
        <v>0</v>
      </c>
      <c r="H17" s="38">
        <f>G16*0.1</f>
        <v>0</v>
      </c>
      <c r="J17" s="37" t="s">
        <v>161</v>
      </c>
      <c r="K17" s="38">
        <f>K16*1.1</f>
        <v>220.00000000000003</v>
      </c>
      <c r="L17" s="38">
        <f>K16*0.1</f>
        <v>20</v>
      </c>
      <c r="N17" s="37" t="s">
        <v>161</v>
      </c>
      <c r="O17" s="38">
        <f>O16*1.1</f>
        <v>220.00000000000003</v>
      </c>
      <c r="P17" s="38">
        <f>O16*0.1</f>
        <v>20</v>
      </c>
      <c r="R17" s="37" t="s">
        <v>161</v>
      </c>
      <c r="S17" s="38">
        <f>S16*1.1</f>
        <v>220.00000000000003</v>
      </c>
      <c r="T17" s="38">
        <f>S16*0.1</f>
        <v>20</v>
      </c>
      <c r="W17" s="37" t="s">
        <v>161</v>
      </c>
      <c r="X17" s="38">
        <f>X16*1.1</f>
        <v>220.00000000000003</v>
      </c>
      <c r="Y17" s="38">
        <f>X16*0.1</f>
        <v>20</v>
      </c>
      <c r="AA17" s="37" t="s">
        <v>161</v>
      </c>
      <c r="AB17" s="38">
        <f>AB16*1.1</f>
        <v>220.00000000000003</v>
      </c>
      <c r="AC17" s="38">
        <f>AB16*0.1</f>
        <v>20</v>
      </c>
      <c r="AE17" s="37" t="s">
        <v>161</v>
      </c>
      <c r="AF17" s="38">
        <f>AF16*1.1</f>
        <v>440.00000000000006</v>
      </c>
      <c r="AG17" s="38">
        <f>AF16*0.1</f>
        <v>40</v>
      </c>
      <c r="AI17" s="37" t="s">
        <v>161</v>
      </c>
      <c r="AJ17" s="38">
        <f>AJ16*1.1</f>
        <v>220.00000000000003</v>
      </c>
      <c r="AK17" s="38">
        <f>AJ16*0.1</f>
        <v>20</v>
      </c>
      <c r="AL17" s="44"/>
      <c r="AM17" s="37" t="s">
        <v>161</v>
      </c>
      <c r="AN17" s="38">
        <f>AN16*1.1</f>
        <v>220.00000000000003</v>
      </c>
      <c r="AO17" s="38">
        <f>AN16*0.1</f>
        <v>20</v>
      </c>
      <c r="AQ17" s="37" t="s">
        <v>161</v>
      </c>
      <c r="AR17" s="38">
        <f>AR16*1.1</f>
        <v>440.00000000000006</v>
      </c>
      <c r="AS17" s="38">
        <f>AR16*0.1</f>
        <v>40</v>
      </c>
      <c r="AU17" s="37" t="s">
        <v>161</v>
      </c>
      <c r="AV17" s="38">
        <f>AV16*1.1</f>
        <v>220.00000000000003</v>
      </c>
      <c r="AW17" s="38">
        <f>AV16*0.1</f>
        <v>20</v>
      </c>
      <c r="AY17" s="37" t="s">
        <v>161</v>
      </c>
      <c r="AZ17" s="38">
        <f>AZ16*1.1</f>
        <v>220.00000000000003</v>
      </c>
      <c r="BA17" s="38">
        <f>AZ16*0.1</f>
        <v>20</v>
      </c>
      <c r="BC17" s="37" t="s">
        <v>161</v>
      </c>
      <c r="BD17" s="38">
        <f>BD16*1.1</f>
        <v>5500</v>
      </c>
      <c r="BE17" s="38">
        <f>BD16*0.1</f>
        <v>500</v>
      </c>
      <c r="BG17" s="37" t="s">
        <v>161</v>
      </c>
      <c r="BH17" s="38">
        <f>BH16*1.1</f>
        <v>220.00000000000003</v>
      </c>
      <c r="BI17" s="38">
        <f>BH16*0.1</f>
        <v>20</v>
      </c>
      <c r="BK17" s="37" t="s">
        <v>161</v>
      </c>
      <c r="BL17" s="38">
        <f>BL16*1.1</f>
        <v>3300.0000000000005</v>
      </c>
      <c r="BM17" s="38">
        <f>BL16*0.1</f>
        <v>300</v>
      </c>
      <c r="BO17" s="37" t="s">
        <v>161</v>
      </c>
      <c r="BP17" s="38">
        <f>BP16*1.1</f>
        <v>1100</v>
      </c>
      <c r="BQ17" s="38">
        <f>BP16*0.1</f>
        <v>100</v>
      </c>
      <c r="BS17" s="37" t="s">
        <v>161</v>
      </c>
      <c r="BT17" s="38">
        <f>BT16*1.1</f>
        <v>2200</v>
      </c>
      <c r="BU17" s="38">
        <f>BT16*0.1</f>
        <v>200</v>
      </c>
      <c r="BV17" s="44"/>
      <c r="BW17" s="37" t="s">
        <v>161</v>
      </c>
      <c r="BX17" s="38">
        <f>BX16*1.1</f>
        <v>1100</v>
      </c>
      <c r="BY17" s="38">
        <f>BX16*0.1</f>
        <v>100</v>
      </c>
      <c r="CA17" s="37" t="s">
        <v>161</v>
      </c>
      <c r="CB17" s="38">
        <f>CB16*1.1</f>
        <v>11000</v>
      </c>
      <c r="CC17" s="38">
        <f>CB16*0.1</f>
        <v>1000</v>
      </c>
      <c r="CD17" s="44"/>
      <c r="CE17" s="37" t="s">
        <v>161</v>
      </c>
      <c r="CF17" s="38">
        <f>CF16*1.1</f>
        <v>1100</v>
      </c>
      <c r="CG17" s="38">
        <f>CF16*0.1</f>
        <v>100</v>
      </c>
      <c r="CI17" s="37" t="s">
        <v>161</v>
      </c>
      <c r="CJ17" s="38">
        <f>CJ16*1.1</f>
        <v>11000</v>
      </c>
      <c r="CK17" s="38">
        <f>CJ16*0.1</f>
        <v>1000</v>
      </c>
      <c r="CM17" s="37" t="s">
        <v>161</v>
      </c>
      <c r="CN17" s="38">
        <f>CN16*1.1</f>
        <v>1100</v>
      </c>
      <c r="CO17" s="38">
        <f>CN16*0.1</f>
        <v>100</v>
      </c>
      <c r="CQ17" s="37" t="s">
        <v>161</v>
      </c>
      <c r="CR17" s="38">
        <f>CR16*1.1</f>
        <v>4400</v>
      </c>
      <c r="CS17" s="38">
        <f>CR16*0.1</f>
        <v>400</v>
      </c>
      <c r="CU17" s="37" t="s">
        <v>161</v>
      </c>
      <c r="CV17" s="38">
        <f>CV16*1.1</f>
        <v>0</v>
      </c>
      <c r="CW17" s="38">
        <f>CV16*0.1</f>
        <v>0</v>
      </c>
      <c r="CY17" s="37" t="s">
        <v>161</v>
      </c>
      <c r="CZ17" s="38">
        <f>CZ16*1.1</f>
        <v>5060</v>
      </c>
      <c r="DA17" s="38">
        <f>CZ16*0.1</f>
        <v>460</v>
      </c>
    </row>
    <row r="18" spans="2:105" x14ac:dyDescent="0.35">
      <c r="B18" s="37" t="s">
        <v>162</v>
      </c>
      <c r="C18" s="38">
        <f t="shared" ref="C18:C25" si="52">C17*1.05</f>
        <v>17325</v>
      </c>
      <c r="D18" s="38">
        <f>C17*0.05</f>
        <v>825</v>
      </c>
      <c r="E18" s="44"/>
      <c r="F18" s="37" t="s">
        <v>162</v>
      </c>
      <c r="G18" s="38">
        <f t="shared" ref="G18:G25" si="53">G17*1.05</f>
        <v>0</v>
      </c>
      <c r="H18" s="38">
        <f t="shared" ref="H18:H25" si="54">G17*0.05</f>
        <v>0</v>
      </c>
      <c r="J18" s="37" t="s">
        <v>162</v>
      </c>
      <c r="K18" s="38">
        <f t="shared" ref="K18:K25" si="55">K17*1.05</f>
        <v>231.00000000000003</v>
      </c>
      <c r="L18" s="38">
        <f t="shared" ref="L18:L25" si="56">K17*0.05</f>
        <v>11.000000000000002</v>
      </c>
      <c r="N18" s="37" t="s">
        <v>162</v>
      </c>
      <c r="O18" s="38">
        <f t="shared" ref="O18:O25" si="57">O17*1.05</f>
        <v>231.00000000000003</v>
      </c>
      <c r="P18" s="38">
        <f t="shared" ref="P18:P25" si="58">O17*0.05</f>
        <v>11.000000000000002</v>
      </c>
      <c r="R18" s="37" t="s">
        <v>162</v>
      </c>
      <c r="S18" s="38">
        <f t="shared" ref="S18:S25" si="59">S17*1.05</f>
        <v>231.00000000000003</v>
      </c>
      <c r="T18" s="38">
        <f t="shared" ref="T18:T25" si="60">S17*0.05</f>
        <v>11.000000000000002</v>
      </c>
      <c r="W18" s="37" t="s">
        <v>162</v>
      </c>
      <c r="X18" s="38">
        <f t="shared" ref="X18:X25" si="61">X17*1.05</f>
        <v>231.00000000000003</v>
      </c>
      <c r="Y18" s="38">
        <f t="shared" ref="Y18:Y25" si="62">X17*0.05</f>
        <v>11.000000000000002</v>
      </c>
      <c r="AA18" s="37" t="s">
        <v>162</v>
      </c>
      <c r="AB18" s="38">
        <f t="shared" ref="AB18:AB25" si="63">AB17*1.05</f>
        <v>231.00000000000003</v>
      </c>
      <c r="AC18" s="38">
        <f t="shared" ref="AC18:AC25" si="64">AB17*0.05</f>
        <v>11.000000000000002</v>
      </c>
      <c r="AE18" s="37" t="s">
        <v>162</v>
      </c>
      <c r="AF18" s="38">
        <f t="shared" ref="AF18:AF25" si="65">AF17*1.05</f>
        <v>462.00000000000006</v>
      </c>
      <c r="AG18" s="38">
        <f t="shared" ref="AG18:AG25" si="66">AF17*0.05</f>
        <v>22.000000000000004</v>
      </c>
      <c r="AI18" s="37" t="s">
        <v>162</v>
      </c>
      <c r="AJ18" s="38">
        <f t="shared" ref="AJ18:AJ25" si="67">AJ17*1.05</f>
        <v>231.00000000000003</v>
      </c>
      <c r="AK18" s="38">
        <f t="shared" ref="AK18:AK25" si="68">AJ17*0.05</f>
        <v>11.000000000000002</v>
      </c>
      <c r="AL18" s="44"/>
      <c r="AM18" s="37" t="s">
        <v>162</v>
      </c>
      <c r="AN18" s="38">
        <f t="shared" ref="AN18:AN25" si="69">AN17*1.05</f>
        <v>231.00000000000003</v>
      </c>
      <c r="AO18" s="38">
        <f t="shared" ref="AO18:AO25" si="70">AN17*0.05</f>
        <v>11.000000000000002</v>
      </c>
      <c r="AQ18" s="37" t="s">
        <v>162</v>
      </c>
      <c r="AR18" s="38">
        <f t="shared" ref="AR18:AR25" si="71">AR17*1.05</f>
        <v>462.00000000000006</v>
      </c>
      <c r="AS18" s="38">
        <f t="shared" ref="AS18:AS25" si="72">AR17*0.05</f>
        <v>22.000000000000004</v>
      </c>
      <c r="AU18" s="37" t="s">
        <v>162</v>
      </c>
      <c r="AV18" s="38">
        <f t="shared" ref="AV18:AV25" si="73">AV17*1.05</f>
        <v>231.00000000000003</v>
      </c>
      <c r="AW18" s="38">
        <f t="shared" ref="AW18:AW25" si="74">AV17*0.05</f>
        <v>11.000000000000002</v>
      </c>
      <c r="AY18" s="37" t="s">
        <v>162</v>
      </c>
      <c r="AZ18" s="38">
        <f t="shared" ref="AZ18:AZ25" si="75">AZ17*1.05</f>
        <v>231.00000000000003</v>
      </c>
      <c r="BA18" s="38">
        <f t="shared" ref="BA18:BA25" si="76">AZ17*0.05</f>
        <v>11.000000000000002</v>
      </c>
      <c r="BC18" s="37" t="s">
        <v>162</v>
      </c>
      <c r="BD18" s="38">
        <f t="shared" ref="BD18:BD25" si="77">BD17*1.05</f>
        <v>5775</v>
      </c>
      <c r="BE18" s="38">
        <f t="shared" ref="BE18:BE25" si="78">BD17*0.05</f>
        <v>275</v>
      </c>
      <c r="BG18" s="37" t="s">
        <v>162</v>
      </c>
      <c r="BH18" s="38">
        <f t="shared" ref="BH18:BH25" si="79">BH17*1.05</f>
        <v>231.00000000000003</v>
      </c>
      <c r="BI18" s="38">
        <f t="shared" ref="BI18:BI25" si="80">BH17*0.05</f>
        <v>11.000000000000002</v>
      </c>
      <c r="BK18" s="37" t="s">
        <v>162</v>
      </c>
      <c r="BL18" s="38">
        <f t="shared" ref="BL18:BL25" si="81">BL17*1.05</f>
        <v>3465.0000000000005</v>
      </c>
      <c r="BM18" s="38">
        <f t="shared" ref="BM18:BM25" si="82">BL17*0.05</f>
        <v>165.00000000000003</v>
      </c>
      <c r="BO18" s="37" t="s">
        <v>162</v>
      </c>
      <c r="BP18" s="38">
        <f t="shared" ref="BP18:BP25" si="83">BP17*1.05</f>
        <v>1155</v>
      </c>
      <c r="BQ18" s="38">
        <f t="shared" ref="BQ18:BQ25" si="84">BP17*0.05</f>
        <v>55</v>
      </c>
      <c r="BS18" s="37" t="s">
        <v>162</v>
      </c>
      <c r="BT18" s="38">
        <f t="shared" ref="BT18:BT25" si="85">BT17*1.05</f>
        <v>2310</v>
      </c>
      <c r="BU18" s="38">
        <f t="shared" ref="BU18:BU25" si="86">BT17*0.05</f>
        <v>110</v>
      </c>
      <c r="BV18" s="44"/>
      <c r="BW18" s="37" t="s">
        <v>162</v>
      </c>
      <c r="BX18" s="38">
        <f t="shared" ref="BX18:BX25" si="87">BX17*1.05</f>
        <v>1155</v>
      </c>
      <c r="BY18" s="38">
        <f t="shared" ref="BY18:BY25" si="88">BX17*0.05</f>
        <v>55</v>
      </c>
      <c r="CA18" s="37" t="s">
        <v>162</v>
      </c>
      <c r="CB18" s="38">
        <f t="shared" ref="CB18:CB25" si="89">CB17*1.05</f>
        <v>11550</v>
      </c>
      <c r="CC18" s="38">
        <f t="shared" ref="CC18:CC25" si="90">CB17*0.05</f>
        <v>550</v>
      </c>
      <c r="CD18" s="44"/>
      <c r="CE18" s="37" t="s">
        <v>162</v>
      </c>
      <c r="CF18" s="38">
        <f t="shared" ref="CF18:CF25" si="91">CF17*1.05</f>
        <v>1155</v>
      </c>
      <c r="CG18" s="38">
        <f t="shared" ref="CG18:CG25" si="92">CF17*0.05</f>
        <v>55</v>
      </c>
      <c r="CI18" s="37" t="s">
        <v>162</v>
      </c>
      <c r="CJ18" s="38">
        <f t="shared" ref="CJ18:CJ25" si="93">CJ17*1.05</f>
        <v>11550</v>
      </c>
      <c r="CK18" s="38">
        <f t="shared" ref="CK18:CK25" si="94">CJ17*0.05</f>
        <v>550</v>
      </c>
      <c r="CM18" s="37" t="s">
        <v>162</v>
      </c>
      <c r="CN18" s="38">
        <f t="shared" ref="CN18:CN25" si="95">CN17*1.05</f>
        <v>1155</v>
      </c>
      <c r="CO18" s="38">
        <f t="shared" ref="CO18:CO25" si="96">CN17*0.05</f>
        <v>55</v>
      </c>
      <c r="CQ18" s="37" t="s">
        <v>162</v>
      </c>
      <c r="CR18" s="38">
        <f t="shared" ref="CR18:CR25" si="97">CR17*1.05</f>
        <v>4620</v>
      </c>
      <c r="CS18" s="38">
        <f t="shared" ref="CS18:CS25" si="98">CR17*0.05</f>
        <v>220</v>
      </c>
      <c r="CU18" s="37" t="s">
        <v>162</v>
      </c>
      <c r="CV18" s="38">
        <f t="shared" ref="CV18:CV25" si="99">CV17*1.05</f>
        <v>0</v>
      </c>
      <c r="CW18" s="38">
        <f t="shared" ref="CW18:CW25" si="100">CV17*0.05</f>
        <v>0</v>
      </c>
      <c r="CY18" s="37" t="s">
        <v>162</v>
      </c>
      <c r="CZ18" s="38">
        <f t="shared" ref="CZ18:CZ25" si="101">CZ17*1.05</f>
        <v>5313</v>
      </c>
      <c r="DA18" s="38">
        <f t="shared" ref="DA18:DA25" si="102">CZ17*0.05</f>
        <v>253</v>
      </c>
    </row>
    <row r="19" spans="2:105" x14ac:dyDescent="0.35">
      <c r="B19" s="37" t="s">
        <v>163</v>
      </c>
      <c r="C19" s="38">
        <f t="shared" si="52"/>
        <v>18191.25</v>
      </c>
      <c r="D19" s="38">
        <f t="shared" ref="D19:D25" si="103">C18*0.05</f>
        <v>866.25</v>
      </c>
      <c r="E19" s="44"/>
      <c r="F19" s="37" t="s">
        <v>163</v>
      </c>
      <c r="G19" s="38">
        <f t="shared" si="53"/>
        <v>0</v>
      </c>
      <c r="H19" s="38">
        <f t="shared" si="54"/>
        <v>0</v>
      </c>
      <c r="J19" s="37" t="s">
        <v>163</v>
      </c>
      <c r="K19" s="38">
        <f t="shared" si="55"/>
        <v>242.55000000000004</v>
      </c>
      <c r="L19" s="38">
        <f t="shared" si="56"/>
        <v>11.550000000000002</v>
      </c>
      <c r="N19" s="37" t="s">
        <v>163</v>
      </c>
      <c r="O19" s="38">
        <f t="shared" si="57"/>
        <v>242.55000000000004</v>
      </c>
      <c r="P19" s="38">
        <f t="shared" si="58"/>
        <v>11.550000000000002</v>
      </c>
      <c r="R19" s="37" t="s">
        <v>163</v>
      </c>
      <c r="S19" s="38">
        <f t="shared" si="59"/>
        <v>242.55000000000004</v>
      </c>
      <c r="T19" s="38">
        <f t="shared" si="60"/>
        <v>11.550000000000002</v>
      </c>
      <c r="W19" s="37" t="s">
        <v>163</v>
      </c>
      <c r="X19" s="38">
        <f t="shared" si="61"/>
        <v>242.55000000000004</v>
      </c>
      <c r="Y19" s="38">
        <f t="shared" si="62"/>
        <v>11.550000000000002</v>
      </c>
      <c r="AA19" s="37" t="s">
        <v>163</v>
      </c>
      <c r="AB19" s="38">
        <f t="shared" si="63"/>
        <v>242.55000000000004</v>
      </c>
      <c r="AC19" s="38">
        <f t="shared" si="64"/>
        <v>11.550000000000002</v>
      </c>
      <c r="AE19" s="37" t="s">
        <v>163</v>
      </c>
      <c r="AF19" s="38">
        <f t="shared" si="65"/>
        <v>485.10000000000008</v>
      </c>
      <c r="AG19" s="38">
        <f t="shared" si="66"/>
        <v>23.100000000000005</v>
      </c>
      <c r="AI19" s="37" t="s">
        <v>163</v>
      </c>
      <c r="AJ19" s="38">
        <f t="shared" si="67"/>
        <v>242.55000000000004</v>
      </c>
      <c r="AK19" s="38">
        <f t="shared" si="68"/>
        <v>11.550000000000002</v>
      </c>
      <c r="AL19" s="44"/>
      <c r="AM19" s="37" t="s">
        <v>163</v>
      </c>
      <c r="AN19" s="38">
        <f t="shared" si="69"/>
        <v>242.55000000000004</v>
      </c>
      <c r="AO19" s="38">
        <f t="shared" si="70"/>
        <v>11.550000000000002</v>
      </c>
      <c r="AQ19" s="37" t="s">
        <v>163</v>
      </c>
      <c r="AR19" s="38">
        <f t="shared" si="71"/>
        <v>485.10000000000008</v>
      </c>
      <c r="AS19" s="38">
        <f t="shared" si="72"/>
        <v>23.100000000000005</v>
      </c>
      <c r="AU19" s="37" t="s">
        <v>163</v>
      </c>
      <c r="AV19" s="38">
        <f t="shared" si="73"/>
        <v>242.55000000000004</v>
      </c>
      <c r="AW19" s="38">
        <f t="shared" si="74"/>
        <v>11.550000000000002</v>
      </c>
      <c r="AY19" s="37" t="s">
        <v>163</v>
      </c>
      <c r="AZ19" s="38">
        <f t="shared" si="75"/>
        <v>242.55000000000004</v>
      </c>
      <c r="BA19" s="38">
        <f t="shared" si="76"/>
        <v>11.550000000000002</v>
      </c>
      <c r="BC19" s="37" t="s">
        <v>163</v>
      </c>
      <c r="BD19" s="38">
        <f t="shared" si="77"/>
        <v>6063.75</v>
      </c>
      <c r="BE19" s="38">
        <f t="shared" si="78"/>
        <v>288.75</v>
      </c>
      <c r="BG19" s="37" t="s">
        <v>163</v>
      </c>
      <c r="BH19" s="38">
        <f t="shared" si="79"/>
        <v>242.55000000000004</v>
      </c>
      <c r="BI19" s="38">
        <f t="shared" si="80"/>
        <v>11.550000000000002</v>
      </c>
      <c r="BK19" s="37" t="s">
        <v>163</v>
      </c>
      <c r="BL19" s="38">
        <f t="shared" si="81"/>
        <v>3638.2500000000005</v>
      </c>
      <c r="BM19" s="38">
        <f t="shared" si="82"/>
        <v>173.25000000000003</v>
      </c>
      <c r="BO19" s="37" t="s">
        <v>163</v>
      </c>
      <c r="BP19" s="38">
        <f t="shared" si="83"/>
        <v>1212.75</v>
      </c>
      <c r="BQ19" s="38">
        <f t="shared" si="84"/>
        <v>57.75</v>
      </c>
      <c r="BS19" s="37" t="s">
        <v>163</v>
      </c>
      <c r="BT19" s="38">
        <f t="shared" si="85"/>
        <v>2425.5</v>
      </c>
      <c r="BU19" s="38">
        <f t="shared" si="86"/>
        <v>115.5</v>
      </c>
      <c r="BV19" s="44"/>
      <c r="BW19" s="37" t="s">
        <v>163</v>
      </c>
      <c r="BX19" s="38">
        <f t="shared" si="87"/>
        <v>1212.75</v>
      </c>
      <c r="BY19" s="38">
        <f t="shared" si="88"/>
        <v>57.75</v>
      </c>
      <c r="CA19" s="37" t="s">
        <v>163</v>
      </c>
      <c r="CB19" s="38">
        <f t="shared" si="89"/>
        <v>12127.5</v>
      </c>
      <c r="CC19" s="38">
        <f t="shared" si="90"/>
        <v>577.5</v>
      </c>
      <c r="CD19" s="44"/>
      <c r="CE19" s="37" t="s">
        <v>163</v>
      </c>
      <c r="CF19" s="38">
        <f t="shared" si="91"/>
        <v>1212.75</v>
      </c>
      <c r="CG19" s="38">
        <f t="shared" si="92"/>
        <v>57.75</v>
      </c>
      <c r="CI19" s="37" t="s">
        <v>163</v>
      </c>
      <c r="CJ19" s="38">
        <f t="shared" si="93"/>
        <v>12127.5</v>
      </c>
      <c r="CK19" s="38">
        <f t="shared" si="94"/>
        <v>577.5</v>
      </c>
      <c r="CM19" s="37" t="s">
        <v>163</v>
      </c>
      <c r="CN19" s="38">
        <f t="shared" si="95"/>
        <v>1212.75</v>
      </c>
      <c r="CO19" s="38">
        <f t="shared" si="96"/>
        <v>57.75</v>
      </c>
      <c r="CQ19" s="37" t="s">
        <v>163</v>
      </c>
      <c r="CR19" s="38">
        <f t="shared" si="97"/>
        <v>4851</v>
      </c>
      <c r="CS19" s="38">
        <f t="shared" si="98"/>
        <v>231</v>
      </c>
      <c r="CU19" s="37" t="s">
        <v>163</v>
      </c>
      <c r="CV19" s="38">
        <f t="shared" si="99"/>
        <v>0</v>
      </c>
      <c r="CW19" s="38">
        <f t="shared" si="100"/>
        <v>0</v>
      </c>
      <c r="CY19" s="37" t="s">
        <v>163</v>
      </c>
      <c r="CZ19" s="38">
        <f t="shared" si="101"/>
        <v>5578.6500000000005</v>
      </c>
      <c r="DA19" s="38">
        <f t="shared" si="102"/>
        <v>265.65000000000003</v>
      </c>
    </row>
    <row r="20" spans="2:105" x14ac:dyDescent="0.35">
      <c r="B20" s="37" t="s">
        <v>6</v>
      </c>
      <c r="C20" s="38">
        <f t="shared" si="52"/>
        <v>19100.8125</v>
      </c>
      <c r="D20" s="38">
        <f>C19*0.05</f>
        <v>909.5625</v>
      </c>
      <c r="E20" s="44"/>
      <c r="F20" s="37" t="s">
        <v>6</v>
      </c>
      <c r="G20" s="38">
        <f t="shared" si="53"/>
        <v>0</v>
      </c>
      <c r="H20" s="38">
        <f t="shared" si="54"/>
        <v>0</v>
      </c>
      <c r="J20" s="37" t="s">
        <v>6</v>
      </c>
      <c r="K20" s="38">
        <f t="shared" si="55"/>
        <v>254.67750000000007</v>
      </c>
      <c r="L20" s="38">
        <f t="shared" si="56"/>
        <v>12.127500000000003</v>
      </c>
      <c r="N20" s="37" t="s">
        <v>6</v>
      </c>
      <c r="O20" s="38">
        <f t="shared" si="57"/>
        <v>254.67750000000007</v>
      </c>
      <c r="P20" s="38">
        <f t="shared" si="58"/>
        <v>12.127500000000003</v>
      </c>
      <c r="R20" s="37" t="s">
        <v>6</v>
      </c>
      <c r="S20" s="38">
        <f t="shared" si="59"/>
        <v>254.67750000000007</v>
      </c>
      <c r="T20" s="38">
        <f t="shared" si="60"/>
        <v>12.127500000000003</v>
      </c>
      <c r="W20" s="37" t="s">
        <v>6</v>
      </c>
      <c r="X20" s="38">
        <f t="shared" si="61"/>
        <v>254.67750000000007</v>
      </c>
      <c r="Y20" s="38">
        <f t="shared" si="62"/>
        <v>12.127500000000003</v>
      </c>
      <c r="AA20" s="37" t="s">
        <v>6</v>
      </c>
      <c r="AB20" s="38">
        <f t="shared" si="63"/>
        <v>254.67750000000007</v>
      </c>
      <c r="AC20" s="38">
        <f t="shared" si="64"/>
        <v>12.127500000000003</v>
      </c>
      <c r="AE20" s="37" t="s">
        <v>6</v>
      </c>
      <c r="AF20" s="38">
        <f t="shared" si="65"/>
        <v>509.35500000000013</v>
      </c>
      <c r="AG20" s="38">
        <f t="shared" si="66"/>
        <v>24.255000000000006</v>
      </c>
      <c r="AI20" s="37" t="s">
        <v>6</v>
      </c>
      <c r="AJ20" s="38">
        <f t="shared" si="67"/>
        <v>254.67750000000007</v>
      </c>
      <c r="AK20" s="38">
        <f t="shared" si="68"/>
        <v>12.127500000000003</v>
      </c>
      <c r="AL20" s="44"/>
      <c r="AM20" s="37" t="s">
        <v>6</v>
      </c>
      <c r="AN20" s="38">
        <f t="shared" si="69"/>
        <v>254.67750000000007</v>
      </c>
      <c r="AO20" s="38">
        <f t="shared" si="70"/>
        <v>12.127500000000003</v>
      </c>
      <c r="AQ20" s="37" t="s">
        <v>6</v>
      </c>
      <c r="AR20" s="38">
        <f t="shared" si="71"/>
        <v>509.35500000000013</v>
      </c>
      <c r="AS20" s="38">
        <f t="shared" si="72"/>
        <v>24.255000000000006</v>
      </c>
      <c r="AU20" s="37" t="s">
        <v>6</v>
      </c>
      <c r="AV20" s="38">
        <f t="shared" si="73"/>
        <v>254.67750000000007</v>
      </c>
      <c r="AW20" s="38">
        <f t="shared" si="74"/>
        <v>12.127500000000003</v>
      </c>
      <c r="AY20" s="37" t="s">
        <v>6</v>
      </c>
      <c r="AZ20" s="38">
        <f t="shared" si="75"/>
        <v>254.67750000000007</v>
      </c>
      <c r="BA20" s="38">
        <f t="shared" si="76"/>
        <v>12.127500000000003</v>
      </c>
      <c r="BC20" s="37" t="s">
        <v>6</v>
      </c>
      <c r="BD20" s="38">
        <f t="shared" si="77"/>
        <v>6366.9375</v>
      </c>
      <c r="BE20" s="38">
        <f t="shared" si="78"/>
        <v>303.1875</v>
      </c>
      <c r="BG20" s="37" t="s">
        <v>6</v>
      </c>
      <c r="BH20" s="38">
        <f t="shared" si="79"/>
        <v>254.67750000000007</v>
      </c>
      <c r="BI20" s="38">
        <f t="shared" si="80"/>
        <v>12.127500000000003</v>
      </c>
      <c r="BK20" s="37" t="s">
        <v>6</v>
      </c>
      <c r="BL20" s="38">
        <f t="shared" si="81"/>
        <v>3820.1625000000008</v>
      </c>
      <c r="BM20" s="38">
        <f t="shared" si="82"/>
        <v>181.91250000000002</v>
      </c>
      <c r="BO20" s="37" t="s">
        <v>6</v>
      </c>
      <c r="BP20" s="38">
        <f t="shared" si="83"/>
        <v>1273.3875</v>
      </c>
      <c r="BQ20" s="38">
        <f t="shared" si="84"/>
        <v>60.637500000000003</v>
      </c>
      <c r="BS20" s="37" t="s">
        <v>6</v>
      </c>
      <c r="BT20" s="38">
        <f t="shared" si="85"/>
        <v>2546.7750000000001</v>
      </c>
      <c r="BU20" s="38">
        <f t="shared" si="86"/>
        <v>121.27500000000001</v>
      </c>
      <c r="BV20" s="44"/>
      <c r="BW20" s="37" t="s">
        <v>6</v>
      </c>
      <c r="BX20" s="38">
        <f t="shared" si="87"/>
        <v>1273.3875</v>
      </c>
      <c r="BY20" s="38">
        <f t="shared" si="88"/>
        <v>60.637500000000003</v>
      </c>
      <c r="CA20" s="37" t="s">
        <v>6</v>
      </c>
      <c r="CB20" s="38">
        <f t="shared" si="89"/>
        <v>12733.875</v>
      </c>
      <c r="CC20" s="38">
        <f t="shared" si="90"/>
        <v>606.375</v>
      </c>
      <c r="CD20" s="44"/>
      <c r="CE20" s="37" t="s">
        <v>6</v>
      </c>
      <c r="CF20" s="38">
        <f t="shared" si="91"/>
        <v>1273.3875</v>
      </c>
      <c r="CG20" s="38">
        <f t="shared" si="92"/>
        <v>60.637500000000003</v>
      </c>
      <c r="CI20" s="37" t="s">
        <v>6</v>
      </c>
      <c r="CJ20" s="38">
        <f t="shared" si="93"/>
        <v>12733.875</v>
      </c>
      <c r="CK20" s="38">
        <f t="shared" si="94"/>
        <v>606.375</v>
      </c>
      <c r="CM20" s="37" t="s">
        <v>6</v>
      </c>
      <c r="CN20" s="38">
        <f t="shared" si="95"/>
        <v>1273.3875</v>
      </c>
      <c r="CO20" s="38">
        <f t="shared" si="96"/>
        <v>60.637500000000003</v>
      </c>
      <c r="CQ20" s="37" t="s">
        <v>6</v>
      </c>
      <c r="CR20" s="38">
        <f t="shared" si="97"/>
        <v>5093.55</v>
      </c>
      <c r="CS20" s="38">
        <f t="shared" si="98"/>
        <v>242.55</v>
      </c>
      <c r="CU20" s="37" t="s">
        <v>6</v>
      </c>
      <c r="CV20" s="38">
        <f t="shared" si="99"/>
        <v>0</v>
      </c>
      <c r="CW20" s="38">
        <f t="shared" si="100"/>
        <v>0</v>
      </c>
      <c r="CY20" s="37" t="s">
        <v>6</v>
      </c>
      <c r="CZ20" s="38">
        <f t="shared" si="101"/>
        <v>5857.5825000000004</v>
      </c>
      <c r="DA20" s="38">
        <f t="shared" si="102"/>
        <v>278.93250000000006</v>
      </c>
    </row>
    <row r="21" spans="2:105" x14ac:dyDescent="0.35">
      <c r="B21" s="37" t="s">
        <v>7</v>
      </c>
      <c r="C21" s="38">
        <f t="shared" si="52"/>
        <v>20055.853125000001</v>
      </c>
      <c r="D21" s="38">
        <f t="shared" si="103"/>
        <v>955.04062500000009</v>
      </c>
      <c r="E21" s="44"/>
      <c r="F21" s="37" t="s">
        <v>7</v>
      </c>
      <c r="G21" s="38">
        <f t="shared" si="53"/>
        <v>0</v>
      </c>
      <c r="H21" s="38">
        <f t="shared" si="54"/>
        <v>0</v>
      </c>
      <c r="J21" s="37" t="s">
        <v>7</v>
      </c>
      <c r="K21" s="38">
        <f t="shared" si="55"/>
        <v>267.41137500000008</v>
      </c>
      <c r="L21" s="38">
        <f t="shared" si="56"/>
        <v>12.733875000000005</v>
      </c>
      <c r="N21" s="37" t="s">
        <v>7</v>
      </c>
      <c r="O21" s="38">
        <f t="shared" si="57"/>
        <v>267.41137500000008</v>
      </c>
      <c r="P21" s="38">
        <f t="shared" si="58"/>
        <v>12.733875000000005</v>
      </c>
      <c r="R21" s="37" t="s">
        <v>7</v>
      </c>
      <c r="S21" s="38">
        <f t="shared" si="59"/>
        <v>267.41137500000008</v>
      </c>
      <c r="T21" s="38">
        <f t="shared" si="60"/>
        <v>12.733875000000005</v>
      </c>
      <c r="W21" s="37" t="s">
        <v>7</v>
      </c>
      <c r="X21" s="38">
        <f t="shared" si="61"/>
        <v>267.41137500000008</v>
      </c>
      <c r="Y21" s="38">
        <f t="shared" si="62"/>
        <v>12.733875000000005</v>
      </c>
      <c r="AA21" s="37" t="s">
        <v>7</v>
      </c>
      <c r="AB21" s="38">
        <f t="shared" si="63"/>
        <v>267.41137500000008</v>
      </c>
      <c r="AC21" s="38">
        <f t="shared" si="64"/>
        <v>12.733875000000005</v>
      </c>
      <c r="AE21" s="37" t="s">
        <v>7</v>
      </c>
      <c r="AF21" s="38">
        <f t="shared" si="65"/>
        <v>534.82275000000016</v>
      </c>
      <c r="AG21" s="38">
        <f t="shared" si="66"/>
        <v>25.467750000000009</v>
      </c>
      <c r="AI21" s="37" t="s">
        <v>7</v>
      </c>
      <c r="AJ21" s="38">
        <f t="shared" si="67"/>
        <v>267.41137500000008</v>
      </c>
      <c r="AK21" s="38">
        <f t="shared" si="68"/>
        <v>12.733875000000005</v>
      </c>
      <c r="AL21" s="44"/>
      <c r="AM21" s="37" t="s">
        <v>7</v>
      </c>
      <c r="AN21" s="38">
        <f t="shared" si="69"/>
        <v>267.41137500000008</v>
      </c>
      <c r="AO21" s="38">
        <f t="shared" si="70"/>
        <v>12.733875000000005</v>
      </c>
      <c r="AQ21" s="37" t="s">
        <v>7</v>
      </c>
      <c r="AR21" s="38">
        <f t="shared" si="71"/>
        <v>534.82275000000016</v>
      </c>
      <c r="AS21" s="38">
        <f t="shared" si="72"/>
        <v>25.467750000000009</v>
      </c>
      <c r="AU21" s="37" t="s">
        <v>7</v>
      </c>
      <c r="AV21" s="38">
        <f t="shared" si="73"/>
        <v>267.41137500000008</v>
      </c>
      <c r="AW21" s="38">
        <f t="shared" si="74"/>
        <v>12.733875000000005</v>
      </c>
      <c r="AY21" s="37" t="s">
        <v>7</v>
      </c>
      <c r="AZ21" s="38">
        <f t="shared" si="75"/>
        <v>267.41137500000008</v>
      </c>
      <c r="BA21" s="38">
        <f t="shared" si="76"/>
        <v>12.733875000000005</v>
      </c>
      <c r="BC21" s="37" t="s">
        <v>7</v>
      </c>
      <c r="BD21" s="38">
        <f t="shared" si="77"/>
        <v>6685.2843750000002</v>
      </c>
      <c r="BE21" s="38">
        <f t="shared" si="78"/>
        <v>318.34687500000001</v>
      </c>
      <c r="BG21" s="37" t="s">
        <v>7</v>
      </c>
      <c r="BH21" s="38">
        <f t="shared" si="79"/>
        <v>267.41137500000008</v>
      </c>
      <c r="BI21" s="38">
        <f t="shared" si="80"/>
        <v>12.733875000000005</v>
      </c>
      <c r="BK21" s="37" t="s">
        <v>7</v>
      </c>
      <c r="BL21" s="38">
        <f t="shared" si="81"/>
        <v>4011.1706250000011</v>
      </c>
      <c r="BM21" s="38">
        <f t="shared" si="82"/>
        <v>191.00812500000006</v>
      </c>
      <c r="BO21" s="37" t="s">
        <v>7</v>
      </c>
      <c r="BP21" s="38">
        <f t="shared" si="83"/>
        <v>1337.056875</v>
      </c>
      <c r="BQ21" s="38">
        <f t="shared" si="84"/>
        <v>63.669375000000002</v>
      </c>
      <c r="BS21" s="37" t="s">
        <v>7</v>
      </c>
      <c r="BT21" s="38">
        <f t="shared" si="85"/>
        <v>2674.11375</v>
      </c>
      <c r="BU21" s="38">
        <f t="shared" si="86"/>
        <v>127.33875</v>
      </c>
      <c r="BV21" s="44"/>
      <c r="BW21" s="37" t="s">
        <v>7</v>
      </c>
      <c r="BX21" s="38">
        <f t="shared" si="87"/>
        <v>1337.056875</v>
      </c>
      <c r="BY21" s="38">
        <f t="shared" si="88"/>
        <v>63.669375000000002</v>
      </c>
      <c r="CA21" s="37" t="s">
        <v>7</v>
      </c>
      <c r="CB21" s="38">
        <f t="shared" si="89"/>
        <v>13370.56875</v>
      </c>
      <c r="CC21" s="38">
        <f t="shared" si="90"/>
        <v>636.69375000000002</v>
      </c>
      <c r="CD21" s="44"/>
      <c r="CE21" s="37" t="s">
        <v>7</v>
      </c>
      <c r="CF21" s="38">
        <f t="shared" si="91"/>
        <v>1337.056875</v>
      </c>
      <c r="CG21" s="38">
        <f t="shared" si="92"/>
        <v>63.669375000000002</v>
      </c>
      <c r="CI21" s="37" t="s">
        <v>7</v>
      </c>
      <c r="CJ21" s="38">
        <f t="shared" si="93"/>
        <v>13370.56875</v>
      </c>
      <c r="CK21" s="38">
        <f t="shared" si="94"/>
        <v>636.69375000000002</v>
      </c>
      <c r="CM21" s="37" t="s">
        <v>7</v>
      </c>
      <c r="CN21" s="38">
        <f t="shared" si="95"/>
        <v>1337.056875</v>
      </c>
      <c r="CO21" s="38">
        <f t="shared" si="96"/>
        <v>63.669375000000002</v>
      </c>
      <c r="CQ21" s="37" t="s">
        <v>7</v>
      </c>
      <c r="CR21" s="38">
        <f t="shared" si="97"/>
        <v>5348.2275</v>
      </c>
      <c r="CS21" s="38">
        <f t="shared" si="98"/>
        <v>254.67750000000001</v>
      </c>
      <c r="CU21" s="37" t="s">
        <v>7</v>
      </c>
      <c r="CV21" s="38">
        <f t="shared" si="99"/>
        <v>0</v>
      </c>
      <c r="CW21" s="38">
        <f t="shared" si="100"/>
        <v>0</v>
      </c>
      <c r="CY21" s="37" t="s">
        <v>7</v>
      </c>
      <c r="CZ21" s="38">
        <f t="shared" si="101"/>
        <v>6150.4616250000008</v>
      </c>
      <c r="DA21" s="38">
        <f t="shared" si="102"/>
        <v>292.87912500000004</v>
      </c>
    </row>
    <row r="22" spans="2:105" x14ac:dyDescent="0.35">
      <c r="B22" s="37" t="s">
        <v>8</v>
      </c>
      <c r="C22" s="38">
        <f t="shared" si="52"/>
        <v>21058.645781250001</v>
      </c>
      <c r="D22" s="38">
        <f t="shared" si="103"/>
        <v>1002.7926562500002</v>
      </c>
      <c r="E22" s="44"/>
      <c r="F22" s="37" t="s">
        <v>8</v>
      </c>
      <c r="G22" s="38">
        <f t="shared" si="53"/>
        <v>0</v>
      </c>
      <c r="H22" s="38">
        <f t="shared" si="54"/>
        <v>0</v>
      </c>
      <c r="J22" s="37" t="s">
        <v>8</v>
      </c>
      <c r="K22" s="38">
        <f t="shared" si="55"/>
        <v>280.7819437500001</v>
      </c>
      <c r="L22" s="38">
        <f t="shared" si="56"/>
        <v>13.370568750000004</v>
      </c>
      <c r="N22" s="37" t="s">
        <v>8</v>
      </c>
      <c r="O22" s="38">
        <f t="shared" si="57"/>
        <v>280.7819437500001</v>
      </c>
      <c r="P22" s="38">
        <f t="shared" si="58"/>
        <v>13.370568750000004</v>
      </c>
      <c r="R22" s="37" t="s">
        <v>8</v>
      </c>
      <c r="S22" s="38">
        <f t="shared" si="59"/>
        <v>280.7819437500001</v>
      </c>
      <c r="T22" s="38">
        <f t="shared" si="60"/>
        <v>13.370568750000004</v>
      </c>
      <c r="W22" s="37" t="s">
        <v>8</v>
      </c>
      <c r="X22" s="38">
        <f t="shared" si="61"/>
        <v>280.7819437500001</v>
      </c>
      <c r="Y22" s="38">
        <f t="shared" si="62"/>
        <v>13.370568750000004</v>
      </c>
      <c r="AA22" s="37" t="s">
        <v>8</v>
      </c>
      <c r="AB22" s="38">
        <f t="shared" si="63"/>
        <v>280.7819437500001</v>
      </c>
      <c r="AC22" s="38">
        <f t="shared" si="64"/>
        <v>13.370568750000004</v>
      </c>
      <c r="AE22" s="37" t="s">
        <v>8</v>
      </c>
      <c r="AF22" s="38">
        <f t="shared" si="65"/>
        <v>561.56388750000019</v>
      </c>
      <c r="AG22" s="38">
        <f t="shared" si="66"/>
        <v>26.741137500000008</v>
      </c>
      <c r="AI22" s="37" t="s">
        <v>8</v>
      </c>
      <c r="AJ22" s="38">
        <f t="shared" si="67"/>
        <v>280.7819437500001</v>
      </c>
      <c r="AK22" s="38">
        <f t="shared" si="68"/>
        <v>13.370568750000004</v>
      </c>
      <c r="AL22" s="44"/>
      <c r="AM22" s="37" t="s">
        <v>8</v>
      </c>
      <c r="AN22" s="38">
        <f t="shared" si="69"/>
        <v>280.7819437500001</v>
      </c>
      <c r="AO22" s="38">
        <f t="shared" si="70"/>
        <v>13.370568750000004</v>
      </c>
      <c r="AQ22" s="37" t="s">
        <v>8</v>
      </c>
      <c r="AR22" s="38">
        <f t="shared" si="71"/>
        <v>561.56388750000019</v>
      </c>
      <c r="AS22" s="38">
        <f t="shared" si="72"/>
        <v>26.741137500000008</v>
      </c>
      <c r="AU22" s="37" t="s">
        <v>8</v>
      </c>
      <c r="AV22" s="38">
        <f t="shared" si="73"/>
        <v>280.7819437500001</v>
      </c>
      <c r="AW22" s="38">
        <f t="shared" si="74"/>
        <v>13.370568750000004</v>
      </c>
      <c r="AY22" s="37" t="s">
        <v>8</v>
      </c>
      <c r="AZ22" s="38">
        <f t="shared" si="75"/>
        <v>280.7819437500001</v>
      </c>
      <c r="BA22" s="38">
        <f t="shared" si="76"/>
        <v>13.370568750000004</v>
      </c>
      <c r="BC22" s="37" t="s">
        <v>8</v>
      </c>
      <c r="BD22" s="38">
        <f t="shared" si="77"/>
        <v>7019.5485937500007</v>
      </c>
      <c r="BE22" s="38">
        <f t="shared" si="78"/>
        <v>334.26421875000005</v>
      </c>
      <c r="BG22" s="37" t="s">
        <v>8</v>
      </c>
      <c r="BH22" s="38">
        <f t="shared" si="79"/>
        <v>280.7819437500001</v>
      </c>
      <c r="BI22" s="38">
        <f t="shared" si="80"/>
        <v>13.370568750000004</v>
      </c>
      <c r="BK22" s="37" t="s">
        <v>8</v>
      </c>
      <c r="BL22" s="38">
        <f t="shared" si="81"/>
        <v>4211.7291562500013</v>
      </c>
      <c r="BM22" s="38">
        <f t="shared" si="82"/>
        <v>200.55853125000007</v>
      </c>
      <c r="BO22" s="37" t="s">
        <v>8</v>
      </c>
      <c r="BP22" s="38">
        <f t="shared" si="83"/>
        <v>1403.9097187500001</v>
      </c>
      <c r="BQ22" s="38">
        <f t="shared" si="84"/>
        <v>66.852843750000005</v>
      </c>
      <c r="BS22" s="37" t="s">
        <v>8</v>
      </c>
      <c r="BT22" s="38">
        <f t="shared" si="85"/>
        <v>2807.8194375000003</v>
      </c>
      <c r="BU22" s="38">
        <f t="shared" si="86"/>
        <v>133.70568750000001</v>
      </c>
      <c r="BV22" s="44"/>
      <c r="BW22" s="37" t="s">
        <v>8</v>
      </c>
      <c r="BX22" s="38">
        <f t="shared" si="87"/>
        <v>1403.9097187500001</v>
      </c>
      <c r="BY22" s="38">
        <f t="shared" si="88"/>
        <v>66.852843750000005</v>
      </c>
      <c r="CA22" s="37" t="s">
        <v>8</v>
      </c>
      <c r="CB22" s="38">
        <f t="shared" si="89"/>
        <v>14039.097187500001</v>
      </c>
      <c r="CC22" s="38">
        <f t="shared" si="90"/>
        <v>668.52843750000011</v>
      </c>
      <c r="CD22" s="44"/>
      <c r="CE22" s="37" t="s">
        <v>8</v>
      </c>
      <c r="CF22" s="38">
        <f t="shared" si="91"/>
        <v>1403.9097187500001</v>
      </c>
      <c r="CG22" s="38">
        <f t="shared" si="92"/>
        <v>66.852843750000005</v>
      </c>
      <c r="CI22" s="37" t="s">
        <v>8</v>
      </c>
      <c r="CJ22" s="38">
        <f t="shared" si="93"/>
        <v>14039.097187500001</v>
      </c>
      <c r="CK22" s="38">
        <f t="shared" si="94"/>
        <v>668.52843750000011</v>
      </c>
      <c r="CM22" s="37" t="s">
        <v>8</v>
      </c>
      <c r="CN22" s="38">
        <f t="shared" si="95"/>
        <v>1403.9097187500001</v>
      </c>
      <c r="CO22" s="38">
        <f t="shared" si="96"/>
        <v>66.852843750000005</v>
      </c>
      <c r="CQ22" s="37" t="s">
        <v>8</v>
      </c>
      <c r="CR22" s="38">
        <f t="shared" si="97"/>
        <v>5615.6388750000006</v>
      </c>
      <c r="CS22" s="38">
        <f t="shared" si="98"/>
        <v>267.41137500000002</v>
      </c>
      <c r="CU22" s="37" t="s">
        <v>8</v>
      </c>
      <c r="CV22" s="38">
        <f t="shared" si="99"/>
        <v>0</v>
      </c>
      <c r="CW22" s="38">
        <f t="shared" si="100"/>
        <v>0</v>
      </c>
      <c r="CY22" s="37" t="s">
        <v>8</v>
      </c>
      <c r="CZ22" s="38">
        <f t="shared" si="101"/>
        <v>6457.9847062500012</v>
      </c>
      <c r="DA22" s="38">
        <f t="shared" si="102"/>
        <v>307.52308125000008</v>
      </c>
    </row>
    <row r="23" spans="2:105" x14ac:dyDescent="0.35">
      <c r="B23" s="37" t="s">
        <v>9</v>
      </c>
      <c r="C23" s="38">
        <f t="shared" si="52"/>
        <v>22111.578070312502</v>
      </c>
      <c r="D23" s="38">
        <f t="shared" si="103"/>
        <v>1052.9322890625001</v>
      </c>
      <c r="E23" s="44"/>
      <c r="F23" s="37" t="s">
        <v>9</v>
      </c>
      <c r="G23" s="38">
        <f t="shared" si="53"/>
        <v>0</v>
      </c>
      <c r="H23" s="38">
        <f t="shared" si="54"/>
        <v>0</v>
      </c>
      <c r="J23" s="37" t="s">
        <v>9</v>
      </c>
      <c r="K23" s="38">
        <f t="shared" si="55"/>
        <v>294.82104093750013</v>
      </c>
      <c r="L23" s="38">
        <f t="shared" si="56"/>
        <v>14.039097187500005</v>
      </c>
      <c r="N23" s="37" t="s">
        <v>9</v>
      </c>
      <c r="O23" s="38">
        <f t="shared" si="57"/>
        <v>294.82104093750013</v>
      </c>
      <c r="P23" s="38">
        <f t="shared" si="58"/>
        <v>14.039097187500005</v>
      </c>
      <c r="R23" s="37" t="s">
        <v>9</v>
      </c>
      <c r="S23" s="38">
        <f t="shared" si="59"/>
        <v>294.82104093750013</v>
      </c>
      <c r="T23" s="38">
        <f t="shared" si="60"/>
        <v>14.039097187500005</v>
      </c>
      <c r="W23" s="37" t="s">
        <v>9</v>
      </c>
      <c r="X23" s="38">
        <f t="shared" si="61"/>
        <v>294.82104093750013</v>
      </c>
      <c r="Y23" s="38">
        <f t="shared" si="62"/>
        <v>14.039097187500005</v>
      </c>
      <c r="AA23" s="37" t="s">
        <v>9</v>
      </c>
      <c r="AB23" s="38">
        <f t="shared" si="63"/>
        <v>294.82104093750013</v>
      </c>
      <c r="AC23" s="38">
        <f t="shared" si="64"/>
        <v>14.039097187500005</v>
      </c>
      <c r="AE23" s="37" t="s">
        <v>9</v>
      </c>
      <c r="AF23" s="38">
        <f t="shared" si="65"/>
        <v>589.64208187500026</v>
      </c>
      <c r="AG23" s="38">
        <f t="shared" si="66"/>
        <v>28.07819437500001</v>
      </c>
      <c r="AI23" s="37" t="s">
        <v>9</v>
      </c>
      <c r="AJ23" s="38">
        <f t="shared" si="67"/>
        <v>294.82104093750013</v>
      </c>
      <c r="AK23" s="38">
        <f t="shared" si="68"/>
        <v>14.039097187500005</v>
      </c>
      <c r="AL23" s="44"/>
      <c r="AM23" s="37" t="s">
        <v>9</v>
      </c>
      <c r="AN23" s="38">
        <f t="shared" si="69"/>
        <v>294.82104093750013</v>
      </c>
      <c r="AO23" s="38">
        <f t="shared" si="70"/>
        <v>14.039097187500005</v>
      </c>
      <c r="AQ23" s="37" t="s">
        <v>9</v>
      </c>
      <c r="AR23" s="38">
        <f t="shared" si="71"/>
        <v>589.64208187500026</v>
      </c>
      <c r="AS23" s="38">
        <f t="shared" si="72"/>
        <v>28.07819437500001</v>
      </c>
      <c r="AU23" s="37" t="s">
        <v>9</v>
      </c>
      <c r="AV23" s="38">
        <f t="shared" si="73"/>
        <v>294.82104093750013</v>
      </c>
      <c r="AW23" s="38">
        <f t="shared" si="74"/>
        <v>14.039097187500005</v>
      </c>
      <c r="AY23" s="37" t="s">
        <v>9</v>
      </c>
      <c r="AZ23" s="38">
        <f t="shared" si="75"/>
        <v>294.82104093750013</v>
      </c>
      <c r="BA23" s="38">
        <f t="shared" si="76"/>
        <v>14.039097187500005</v>
      </c>
      <c r="BC23" s="37" t="s">
        <v>9</v>
      </c>
      <c r="BD23" s="38">
        <f t="shared" si="77"/>
        <v>7370.526023437501</v>
      </c>
      <c r="BE23" s="38">
        <f t="shared" si="78"/>
        <v>350.97742968750003</v>
      </c>
      <c r="BG23" s="37" t="s">
        <v>9</v>
      </c>
      <c r="BH23" s="38">
        <f t="shared" si="79"/>
        <v>294.82104093750013</v>
      </c>
      <c r="BI23" s="38">
        <f t="shared" si="80"/>
        <v>14.039097187500005</v>
      </c>
      <c r="BK23" s="37" t="s">
        <v>9</v>
      </c>
      <c r="BL23" s="38">
        <f t="shared" si="81"/>
        <v>4422.3156140625015</v>
      </c>
      <c r="BM23" s="38">
        <f t="shared" si="82"/>
        <v>210.58645781250007</v>
      </c>
      <c r="BO23" s="37" t="s">
        <v>9</v>
      </c>
      <c r="BP23" s="38">
        <f t="shared" si="83"/>
        <v>1474.1052046875002</v>
      </c>
      <c r="BQ23" s="38">
        <f t="shared" si="84"/>
        <v>70.19548593750001</v>
      </c>
      <c r="BS23" s="37" t="s">
        <v>9</v>
      </c>
      <c r="BT23" s="38">
        <f t="shared" si="85"/>
        <v>2948.2104093750004</v>
      </c>
      <c r="BU23" s="38">
        <f t="shared" si="86"/>
        <v>140.39097187500002</v>
      </c>
      <c r="BV23" s="44"/>
      <c r="BW23" s="37" t="s">
        <v>9</v>
      </c>
      <c r="BX23" s="38">
        <f t="shared" si="87"/>
        <v>1474.1052046875002</v>
      </c>
      <c r="BY23" s="38">
        <f t="shared" si="88"/>
        <v>70.19548593750001</v>
      </c>
      <c r="CA23" s="37" t="s">
        <v>9</v>
      </c>
      <c r="CB23" s="38">
        <f t="shared" si="89"/>
        <v>14741.052046875002</v>
      </c>
      <c r="CC23" s="38">
        <f t="shared" si="90"/>
        <v>701.95485937500007</v>
      </c>
      <c r="CD23" s="44"/>
      <c r="CE23" s="37" t="s">
        <v>9</v>
      </c>
      <c r="CF23" s="38">
        <f t="shared" si="91"/>
        <v>1474.1052046875002</v>
      </c>
      <c r="CG23" s="38">
        <f t="shared" si="92"/>
        <v>70.19548593750001</v>
      </c>
      <c r="CI23" s="37" t="s">
        <v>9</v>
      </c>
      <c r="CJ23" s="38">
        <f t="shared" si="93"/>
        <v>14741.052046875002</v>
      </c>
      <c r="CK23" s="38">
        <f t="shared" si="94"/>
        <v>701.95485937500007</v>
      </c>
      <c r="CM23" s="37" t="s">
        <v>9</v>
      </c>
      <c r="CN23" s="38">
        <f t="shared" si="95"/>
        <v>1474.1052046875002</v>
      </c>
      <c r="CO23" s="38">
        <f t="shared" si="96"/>
        <v>70.19548593750001</v>
      </c>
      <c r="CQ23" s="37" t="s">
        <v>9</v>
      </c>
      <c r="CR23" s="38">
        <f t="shared" si="97"/>
        <v>5896.4208187500008</v>
      </c>
      <c r="CS23" s="38">
        <f t="shared" si="98"/>
        <v>280.78194375000004</v>
      </c>
      <c r="CU23" s="37" t="s">
        <v>9</v>
      </c>
      <c r="CV23" s="38">
        <f t="shared" si="99"/>
        <v>0</v>
      </c>
      <c r="CW23" s="38">
        <f t="shared" si="100"/>
        <v>0</v>
      </c>
      <c r="CY23" s="37" t="s">
        <v>9</v>
      </c>
      <c r="CZ23" s="38">
        <f t="shared" si="101"/>
        <v>6780.8839415625016</v>
      </c>
      <c r="DA23" s="38">
        <f t="shared" si="102"/>
        <v>322.89923531250008</v>
      </c>
    </row>
    <row r="24" spans="2:105" x14ac:dyDescent="0.35">
      <c r="B24" s="37" t="s">
        <v>164</v>
      </c>
      <c r="C24" s="38">
        <f t="shared" si="52"/>
        <v>23217.156973828129</v>
      </c>
      <c r="D24" s="38">
        <f t="shared" si="103"/>
        <v>1105.5789035156251</v>
      </c>
      <c r="E24" s="44"/>
      <c r="F24" s="37" t="s">
        <v>164</v>
      </c>
      <c r="G24" s="38">
        <f t="shared" si="53"/>
        <v>0</v>
      </c>
      <c r="H24" s="38">
        <f t="shared" si="54"/>
        <v>0</v>
      </c>
      <c r="J24" s="37" t="s">
        <v>164</v>
      </c>
      <c r="K24" s="38">
        <f t="shared" si="55"/>
        <v>309.56209298437517</v>
      </c>
      <c r="L24" s="38">
        <f t="shared" si="56"/>
        <v>14.741052046875007</v>
      </c>
      <c r="N24" s="37" t="s">
        <v>164</v>
      </c>
      <c r="O24" s="38">
        <f t="shared" si="57"/>
        <v>309.56209298437517</v>
      </c>
      <c r="P24" s="38">
        <f t="shared" si="58"/>
        <v>14.741052046875007</v>
      </c>
      <c r="R24" s="37" t="s">
        <v>164</v>
      </c>
      <c r="S24" s="38">
        <f t="shared" si="59"/>
        <v>309.56209298437517</v>
      </c>
      <c r="T24" s="38">
        <f t="shared" si="60"/>
        <v>14.741052046875007</v>
      </c>
      <c r="W24" s="37" t="s">
        <v>164</v>
      </c>
      <c r="X24" s="38">
        <f t="shared" si="61"/>
        <v>309.56209298437517</v>
      </c>
      <c r="Y24" s="38">
        <f t="shared" si="62"/>
        <v>14.741052046875007</v>
      </c>
      <c r="AA24" s="37" t="s">
        <v>164</v>
      </c>
      <c r="AB24" s="38">
        <f t="shared" si="63"/>
        <v>309.56209298437517</v>
      </c>
      <c r="AC24" s="38">
        <f t="shared" si="64"/>
        <v>14.741052046875007</v>
      </c>
      <c r="AE24" s="37" t="s">
        <v>164</v>
      </c>
      <c r="AF24" s="38">
        <f t="shared" si="65"/>
        <v>619.12418596875034</v>
      </c>
      <c r="AG24" s="38">
        <f t="shared" si="66"/>
        <v>29.482104093750014</v>
      </c>
      <c r="AI24" s="37" t="s">
        <v>164</v>
      </c>
      <c r="AJ24" s="38">
        <f t="shared" si="67"/>
        <v>309.56209298437517</v>
      </c>
      <c r="AK24" s="38">
        <f t="shared" si="68"/>
        <v>14.741052046875007</v>
      </c>
      <c r="AL24" s="44"/>
      <c r="AM24" s="37" t="s">
        <v>164</v>
      </c>
      <c r="AN24" s="38">
        <f t="shared" si="69"/>
        <v>309.56209298437517</v>
      </c>
      <c r="AO24" s="38">
        <f t="shared" si="70"/>
        <v>14.741052046875007</v>
      </c>
      <c r="AQ24" s="37" t="s">
        <v>164</v>
      </c>
      <c r="AR24" s="38">
        <f t="shared" si="71"/>
        <v>619.12418596875034</v>
      </c>
      <c r="AS24" s="38">
        <f t="shared" si="72"/>
        <v>29.482104093750014</v>
      </c>
      <c r="AU24" s="37" t="s">
        <v>164</v>
      </c>
      <c r="AV24" s="38">
        <f t="shared" si="73"/>
        <v>309.56209298437517</v>
      </c>
      <c r="AW24" s="38">
        <f t="shared" si="74"/>
        <v>14.741052046875007</v>
      </c>
      <c r="AY24" s="37" t="s">
        <v>164</v>
      </c>
      <c r="AZ24" s="38">
        <f t="shared" si="75"/>
        <v>309.56209298437517</v>
      </c>
      <c r="BA24" s="38">
        <f t="shared" si="76"/>
        <v>14.741052046875007</v>
      </c>
      <c r="BC24" s="37" t="s">
        <v>164</v>
      </c>
      <c r="BD24" s="38">
        <f t="shared" si="77"/>
        <v>7739.0523246093762</v>
      </c>
      <c r="BE24" s="38">
        <f t="shared" si="78"/>
        <v>368.52630117187505</v>
      </c>
      <c r="BG24" s="37" t="s">
        <v>164</v>
      </c>
      <c r="BH24" s="38">
        <f t="shared" si="79"/>
        <v>309.56209298437517</v>
      </c>
      <c r="BI24" s="38">
        <f t="shared" si="80"/>
        <v>14.741052046875007</v>
      </c>
      <c r="BK24" s="37" t="s">
        <v>164</v>
      </c>
      <c r="BL24" s="38">
        <f t="shared" si="81"/>
        <v>4643.4313947656265</v>
      </c>
      <c r="BM24" s="38">
        <f t="shared" si="82"/>
        <v>221.1157807031251</v>
      </c>
      <c r="BO24" s="37" t="s">
        <v>164</v>
      </c>
      <c r="BP24" s="38">
        <f t="shared" si="83"/>
        <v>1547.8104649218753</v>
      </c>
      <c r="BQ24" s="38">
        <f t="shared" si="84"/>
        <v>73.705260234375018</v>
      </c>
      <c r="BS24" s="37" t="s">
        <v>164</v>
      </c>
      <c r="BT24" s="38">
        <f t="shared" si="85"/>
        <v>3095.6209298437507</v>
      </c>
      <c r="BU24" s="38">
        <f t="shared" si="86"/>
        <v>147.41052046875004</v>
      </c>
      <c r="BV24" s="44"/>
      <c r="BW24" s="37" t="s">
        <v>164</v>
      </c>
      <c r="BX24" s="38">
        <f t="shared" si="87"/>
        <v>1547.8104649218753</v>
      </c>
      <c r="BY24" s="38">
        <f t="shared" si="88"/>
        <v>73.705260234375018</v>
      </c>
      <c r="CA24" s="37" t="s">
        <v>164</v>
      </c>
      <c r="CB24" s="38">
        <f t="shared" si="89"/>
        <v>15478.104649218752</v>
      </c>
      <c r="CC24" s="38">
        <f t="shared" si="90"/>
        <v>737.0526023437501</v>
      </c>
      <c r="CD24" s="44"/>
      <c r="CE24" s="37" t="s">
        <v>164</v>
      </c>
      <c r="CF24" s="38">
        <f t="shared" si="91"/>
        <v>1547.8104649218753</v>
      </c>
      <c r="CG24" s="38">
        <f t="shared" si="92"/>
        <v>73.705260234375018</v>
      </c>
      <c r="CI24" s="37" t="s">
        <v>164</v>
      </c>
      <c r="CJ24" s="38">
        <f t="shared" si="93"/>
        <v>15478.104649218752</v>
      </c>
      <c r="CK24" s="38">
        <f t="shared" si="94"/>
        <v>737.0526023437501</v>
      </c>
      <c r="CM24" s="37" t="s">
        <v>164</v>
      </c>
      <c r="CN24" s="38">
        <f t="shared" si="95"/>
        <v>1547.8104649218753</v>
      </c>
      <c r="CO24" s="38">
        <f t="shared" si="96"/>
        <v>73.705260234375018</v>
      </c>
      <c r="CQ24" s="37" t="s">
        <v>164</v>
      </c>
      <c r="CR24" s="38">
        <f t="shared" si="97"/>
        <v>6191.2418596875013</v>
      </c>
      <c r="CS24" s="38">
        <f t="shared" si="98"/>
        <v>294.82104093750007</v>
      </c>
      <c r="CU24" s="37" t="s">
        <v>164</v>
      </c>
      <c r="CV24" s="38">
        <f t="shared" si="99"/>
        <v>0</v>
      </c>
      <c r="CW24" s="38">
        <f t="shared" si="100"/>
        <v>0</v>
      </c>
      <c r="CY24" s="37" t="s">
        <v>164</v>
      </c>
      <c r="CZ24" s="38">
        <f t="shared" si="101"/>
        <v>7119.9281386406274</v>
      </c>
      <c r="DA24" s="38">
        <f t="shared" si="102"/>
        <v>339.04419707812508</v>
      </c>
    </row>
    <row r="25" spans="2:105" x14ac:dyDescent="0.35">
      <c r="B25" s="37" t="s">
        <v>165</v>
      </c>
      <c r="C25" s="38">
        <f t="shared" si="52"/>
        <v>24378.014822519537</v>
      </c>
      <c r="D25" s="38">
        <f t="shared" si="103"/>
        <v>1160.8578486914064</v>
      </c>
      <c r="E25" s="44"/>
      <c r="F25" s="37" t="s">
        <v>165</v>
      </c>
      <c r="G25" s="38">
        <f t="shared" si="53"/>
        <v>0</v>
      </c>
      <c r="H25" s="38">
        <f t="shared" si="54"/>
        <v>0</v>
      </c>
      <c r="J25" s="37" t="s">
        <v>165</v>
      </c>
      <c r="K25" s="38">
        <f t="shared" si="55"/>
        <v>325.04019763359395</v>
      </c>
      <c r="L25" s="38">
        <f t="shared" si="56"/>
        <v>15.478104649218759</v>
      </c>
      <c r="N25" s="37" t="s">
        <v>165</v>
      </c>
      <c r="O25" s="38">
        <f t="shared" si="57"/>
        <v>325.04019763359395</v>
      </c>
      <c r="P25" s="38">
        <f t="shared" si="58"/>
        <v>15.478104649218759</v>
      </c>
      <c r="R25" s="37" t="s">
        <v>165</v>
      </c>
      <c r="S25" s="38">
        <f t="shared" si="59"/>
        <v>325.04019763359395</v>
      </c>
      <c r="T25" s="38">
        <f t="shared" si="60"/>
        <v>15.478104649218759</v>
      </c>
      <c r="W25" s="37" t="s">
        <v>165</v>
      </c>
      <c r="X25" s="38">
        <f t="shared" si="61"/>
        <v>325.04019763359395</v>
      </c>
      <c r="Y25" s="38">
        <f t="shared" si="62"/>
        <v>15.478104649218759</v>
      </c>
      <c r="AA25" s="37" t="s">
        <v>165</v>
      </c>
      <c r="AB25" s="38">
        <f t="shared" si="63"/>
        <v>325.04019763359395</v>
      </c>
      <c r="AC25" s="38">
        <f t="shared" si="64"/>
        <v>15.478104649218759</v>
      </c>
      <c r="AE25" s="37" t="s">
        <v>165</v>
      </c>
      <c r="AF25" s="38">
        <f t="shared" si="65"/>
        <v>650.0803952671879</v>
      </c>
      <c r="AG25" s="38">
        <f t="shared" si="66"/>
        <v>30.956209298437518</v>
      </c>
      <c r="AI25" s="37" t="s">
        <v>165</v>
      </c>
      <c r="AJ25" s="38">
        <f t="shared" si="67"/>
        <v>325.04019763359395</v>
      </c>
      <c r="AK25" s="38">
        <f t="shared" si="68"/>
        <v>15.478104649218759</v>
      </c>
      <c r="AL25" s="44"/>
      <c r="AM25" s="37" t="s">
        <v>165</v>
      </c>
      <c r="AN25" s="38">
        <f t="shared" si="69"/>
        <v>325.04019763359395</v>
      </c>
      <c r="AO25" s="38">
        <f t="shared" si="70"/>
        <v>15.478104649218759</v>
      </c>
      <c r="AQ25" s="37" t="s">
        <v>165</v>
      </c>
      <c r="AR25" s="38">
        <f t="shared" si="71"/>
        <v>650.0803952671879</v>
      </c>
      <c r="AS25" s="38">
        <f t="shared" si="72"/>
        <v>30.956209298437518</v>
      </c>
      <c r="AU25" s="37" t="s">
        <v>165</v>
      </c>
      <c r="AV25" s="38">
        <f t="shared" si="73"/>
        <v>325.04019763359395</v>
      </c>
      <c r="AW25" s="38">
        <f t="shared" si="74"/>
        <v>15.478104649218759</v>
      </c>
      <c r="AY25" s="37" t="s">
        <v>165</v>
      </c>
      <c r="AZ25" s="38">
        <f t="shared" si="75"/>
        <v>325.04019763359395</v>
      </c>
      <c r="BA25" s="38">
        <f t="shared" si="76"/>
        <v>15.478104649218759</v>
      </c>
      <c r="BC25" s="37" t="s">
        <v>165</v>
      </c>
      <c r="BD25" s="38">
        <f t="shared" si="77"/>
        <v>8126.0049408398454</v>
      </c>
      <c r="BE25" s="38">
        <f t="shared" si="78"/>
        <v>386.95261623046883</v>
      </c>
      <c r="BG25" s="37" t="s">
        <v>165</v>
      </c>
      <c r="BH25" s="38">
        <f t="shared" si="79"/>
        <v>325.04019763359395</v>
      </c>
      <c r="BI25" s="38">
        <f t="shared" si="80"/>
        <v>15.478104649218759</v>
      </c>
      <c r="BK25" s="37" t="s">
        <v>165</v>
      </c>
      <c r="BL25" s="38">
        <f t="shared" si="81"/>
        <v>4875.602964503908</v>
      </c>
      <c r="BM25" s="38">
        <f t="shared" si="82"/>
        <v>232.17156973828133</v>
      </c>
      <c r="BO25" s="37" t="s">
        <v>165</v>
      </c>
      <c r="BP25" s="38">
        <f t="shared" si="83"/>
        <v>1625.2009881679692</v>
      </c>
      <c r="BQ25" s="38">
        <f t="shared" si="84"/>
        <v>77.390523246093778</v>
      </c>
      <c r="BS25" s="37" t="s">
        <v>165</v>
      </c>
      <c r="BT25" s="38">
        <f t="shared" si="85"/>
        <v>3250.4019763359383</v>
      </c>
      <c r="BU25" s="38">
        <f t="shared" si="86"/>
        <v>154.78104649218756</v>
      </c>
      <c r="BV25" s="44"/>
      <c r="BW25" s="37" t="s">
        <v>165</v>
      </c>
      <c r="BX25" s="38">
        <f t="shared" si="87"/>
        <v>1625.2009881679692</v>
      </c>
      <c r="BY25" s="38">
        <f t="shared" si="88"/>
        <v>77.390523246093778</v>
      </c>
      <c r="CA25" s="37" t="s">
        <v>165</v>
      </c>
      <c r="CB25" s="38">
        <f t="shared" si="89"/>
        <v>16252.009881679691</v>
      </c>
      <c r="CC25" s="38">
        <f t="shared" si="90"/>
        <v>773.90523246093767</v>
      </c>
      <c r="CD25" s="44"/>
      <c r="CE25" s="37" t="s">
        <v>165</v>
      </c>
      <c r="CF25" s="38">
        <f t="shared" si="91"/>
        <v>1625.2009881679692</v>
      </c>
      <c r="CG25" s="38">
        <f t="shared" si="92"/>
        <v>77.390523246093778</v>
      </c>
      <c r="CI25" s="37" t="s">
        <v>165</v>
      </c>
      <c r="CJ25" s="38">
        <f t="shared" si="93"/>
        <v>16252.009881679691</v>
      </c>
      <c r="CK25" s="38">
        <f t="shared" si="94"/>
        <v>773.90523246093767</v>
      </c>
      <c r="CM25" s="37" t="s">
        <v>165</v>
      </c>
      <c r="CN25" s="38">
        <f t="shared" si="95"/>
        <v>1625.2009881679692</v>
      </c>
      <c r="CO25" s="38">
        <f t="shared" si="96"/>
        <v>77.390523246093778</v>
      </c>
      <c r="CQ25" s="37" t="s">
        <v>165</v>
      </c>
      <c r="CR25" s="38">
        <f t="shared" si="97"/>
        <v>6500.8039526718767</v>
      </c>
      <c r="CS25" s="38">
        <f t="shared" si="98"/>
        <v>309.56209298437511</v>
      </c>
      <c r="CU25" s="37" t="s">
        <v>165</v>
      </c>
      <c r="CV25" s="38">
        <f t="shared" si="99"/>
        <v>0</v>
      </c>
      <c r="CW25" s="38">
        <f t="shared" si="100"/>
        <v>0</v>
      </c>
      <c r="CY25" s="37" t="s">
        <v>165</v>
      </c>
      <c r="CZ25" s="38">
        <f t="shared" si="101"/>
        <v>7475.9245455726586</v>
      </c>
      <c r="DA25" s="38">
        <f t="shared" si="102"/>
        <v>355.99640693203139</v>
      </c>
    </row>
    <row r="26" spans="2:105" x14ac:dyDescent="0.35">
      <c r="B26" s="39"/>
      <c r="C26" s="38"/>
      <c r="D26" s="38"/>
      <c r="E26" s="44"/>
      <c r="F26" s="39"/>
      <c r="G26" s="38"/>
      <c r="H26" s="38"/>
      <c r="J26" s="39"/>
      <c r="K26" s="38"/>
      <c r="L26" s="38"/>
      <c r="N26" s="39"/>
      <c r="O26" s="38"/>
      <c r="P26" s="38"/>
      <c r="R26" s="39"/>
      <c r="S26" s="38"/>
      <c r="T26" s="38"/>
      <c r="W26" s="39"/>
      <c r="X26" s="38"/>
      <c r="Y26" s="38"/>
      <c r="AA26" s="39"/>
      <c r="AB26" s="38"/>
      <c r="AC26" s="38"/>
      <c r="AE26" s="39"/>
      <c r="AF26" s="38"/>
      <c r="AG26" s="38"/>
      <c r="AI26" s="39"/>
      <c r="AJ26" s="38"/>
      <c r="AK26" s="38"/>
      <c r="AL26" s="44"/>
      <c r="AM26" s="39"/>
      <c r="AN26" s="38"/>
      <c r="AO26" s="38"/>
      <c r="AQ26" s="39"/>
      <c r="AR26" s="38"/>
      <c r="AS26" s="38"/>
      <c r="AU26" s="39"/>
      <c r="AV26" s="38"/>
      <c r="AW26" s="38"/>
      <c r="AY26" s="39"/>
      <c r="AZ26" s="38"/>
      <c r="BA26" s="38"/>
      <c r="BC26" s="39"/>
      <c r="BD26" s="38"/>
      <c r="BE26" s="38"/>
      <c r="BG26" s="39"/>
      <c r="BH26" s="38"/>
      <c r="BI26" s="38"/>
      <c r="BK26" s="39"/>
      <c r="BL26" s="38"/>
      <c r="BM26" s="38"/>
      <c r="BO26" s="39"/>
      <c r="BP26" s="38"/>
      <c r="BQ26" s="38"/>
      <c r="BS26" s="39"/>
      <c r="BT26" s="38"/>
      <c r="BU26" s="38"/>
      <c r="BV26" s="44"/>
      <c r="BW26" s="39"/>
      <c r="BX26" s="38"/>
      <c r="BY26" s="38"/>
      <c r="CA26" s="39"/>
      <c r="CB26" s="38"/>
      <c r="CC26" s="38"/>
      <c r="CD26" s="44"/>
      <c r="CE26" s="39"/>
      <c r="CF26" s="38"/>
      <c r="CG26" s="38"/>
      <c r="CI26" s="39"/>
      <c r="CJ26" s="38"/>
      <c r="CK26" s="38"/>
      <c r="CM26" s="39"/>
      <c r="CN26" s="38"/>
      <c r="CO26" s="38"/>
      <c r="CQ26" s="39"/>
      <c r="CR26" s="38"/>
      <c r="CS26" s="38"/>
      <c r="CU26" s="39"/>
      <c r="CV26" s="38"/>
      <c r="CW26" s="38"/>
      <c r="CY26" s="39"/>
      <c r="CZ26" s="38"/>
      <c r="DA26" s="38"/>
    </row>
    <row r="27" spans="2:105" x14ac:dyDescent="0.35">
      <c r="B27" s="35"/>
      <c r="C27" s="36"/>
      <c r="D27" s="36"/>
      <c r="E27" s="159"/>
      <c r="F27" s="35"/>
      <c r="G27" s="36"/>
      <c r="H27" s="36"/>
      <c r="J27" s="35"/>
      <c r="K27" s="36"/>
      <c r="L27" s="36"/>
      <c r="N27" s="35"/>
      <c r="O27" s="36"/>
      <c r="P27" s="36"/>
      <c r="R27" s="35"/>
      <c r="S27" s="36"/>
      <c r="T27" s="36"/>
      <c r="W27" s="35"/>
      <c r="X27" s="36"/>
      <c r="Y27" s="36"/>
      <c r="AA27" s="35"/>
      <c r="AB27" s="36"/>
      <c r="AC27" s="36"/>
      <c r="AE27" s="35"/>
      <c r="AF27" s="36"/>
      <c r="AG27" s="36"/>
      <c r="AI27" s="35"/>
      <c r="AJ27" s="36"/>
      <c r="AK27" s="36"/>
      <c r="AL27" s="159"/>
      <c r="AM27" s="35"/>
      <c r="AN27" s="36"/>
      <c r="AO27" s="36"/>
      <c r="AQ27" s="35"/>
      <c r="AR27" s="36"/>
      <c r="AS27" s="36"/>
      <c r="AU27" s="35"/>
      <c r="AV27" s="36"/>
      <c r="AW27" s="36"/>
      <c r="AY27" s="35"/>
      <c r="AZ27" s="36"/>
      <c r="BA27" s="36"/>
      <c r="BC27" s="35"/>
      <c r="BD27" s="36"/>
      <c r="BE27" s="36"/>
      <c r="BG27" s="35"/>
      <c r="BH27" s="36"/>
      <c r="BI27" s="36"/>
      <c r="BK27" s="35"/>
      <c r="BL27" s="36"/>
      <c r="BM27" s="36"/>
      <c r="BO27" s="35"/>
      <c r="BP27" s="36"/>
      <c r="BQ27" s="36"/>
      <c r="BS27" s="35"/>
      <c r="BT27" s="36"/>
      <c r="BU27" s="36"/>
      <c r="BV27" s="159"/>
      <c r="BW27" s="35"/>
      <c r="BX27" s="36"/>
      <c r="BY27" s="36"/>
      <c r="CA27" s="35"/>
      <c r="CB27" s="36"/>
      <c r="CC27" s="36"/>
      <c r="CD27" s="159"/>
      <c r="CE27" s="35"/>
      <c r="CF27" s="36"/>
      <c r="CG27" s="36"/>
      <c r="CI27" s="35"/>
      <c r="CJ27" s="36"/>
      <c r="CK27" s="36"/>
      <c r="CM27" s="35"/>
      <c r="CN27" s="36"/>
      <c r="CO27" s="36"/>
      <c r="CQ27" s="35"/>
      <c r="CR27" s="36"/>
      <c r="CS27" s="36"/>
      <c r="CU27" s="35"/>
      <c r="CV27" s="36"/>
      <c r="CW27" s="36"/>
      <c r="CY27" s="35"/>
      <c r="CZ27" s="36"/>
      <c r="DA27" s="36"/>
    </row>
    <row r="28" spans="2:105" s="47" customFormat="1" x14ac:dyDescent="0.35">
      <c r="B28" s="37" t="s">
        <v>161</v>
      </c>
      <c r="C28" s="41">
        <f>VLOOKUP(B1,INFSHARES,7,0)</f>
        <v>200</v>
      </c>
      <c r="D28" s="41"/>
      <c r="E28" s="43"/>
      <c r="F28" s="37" t="s">
        <v>161</v>
      </c>
      <c r="G28" s="41">
        <f>VLOOKUP(F1,INFSHARES,7,0)</f>
        <v>0</v>
      </c>
      <c r="H28" s="41"/>
      <c r="J28" s="37" t="s">
        <v>161</v>
      </c>
      <c r="K28" s="41">
        <f>VLOOKUP(J1,INFSHARES,7,0)</f>
        <v>200</v>
      </c>
      <c r="L28" s="41"/>
      <c r="N28" s="37" t="s">
        <v>161</v>
      </c>
      <c r="O28" s="41">
        <f>VLOOKUP(N1,INFSHARES,7,0)</f>
        <v>400</v>
      </c>
      <c r="P28" s="41"/>
      <c r="R28" s="37" t="s">
        <v>161</v>
      </c>
      <c r="S28" s="41">
        <f>VLOOKUP(R1,INFSHARES,7,0)</f>
        <v>2000</v>
      </c>
      <c r="T28" s="41"/>
      <c r="W28" s="37" t="s">
        <v>161</v>
      </c>
      <c r="X28" s="41">
        <f>VLOOKUP(W1,INFSHARES,7,0)</f>
        <v>200</v>
      </c>
      <c r="Y28" s="41"/>
      <c r="AA28" s="37" t="s">
        <v>161</v>
      </c>
      <c r="AB28" s="41">
        <f>VLOOKUP(AA1,INFSHARES,7,0)</f>
        <v>200</v>
      </c>
      <c r="AC28" s="41"/>
      <c r="AE28" s="37" t="s">
        <v>161</v>
      </c>
      <c r="AF28" s="41">
        <f>VLOOKUP(AE1,INFSHARES,7,0)</f>
        <v>1200</v>
      </c>
      <c r="AG28" s="41"/>
      <c r="AI28" s="37" t="s">
        <v>161</v>
      </c>
      <c r="AJ28" s="41">
        <f>VLOOKUP(AI1,INFSHARES,7,0)</f>
        <v>200</v>
      </c>
      <c r="AK28" s="41"/>
      <c r="AL28" s="43"/>
      <c r="AM28" s="37" t="s">
        <v>161</v>
      </c>
      <c r="AN28" s="41">
        <f>VLOOKUP(AM1,INFSHARES,7,0)</f>
        <v>200</v>
      </c>
      <c r="AO28" s="41"/>
      <c r="AQ28" s="37" t="s">
        <v>161</v>
      </c>
      <c r="AR28" s="41">
        <f>VLOOKUP(AQ1,INFSHARES,7,0)</f>
        <v>200</v>
      </c>
      <c r="AS28" s="41"/>
      <c r="AU28" s="37" t="s">
        <v>161</v>
      </c>
      <c r="AV28" s="41">
        <f>VLOOKUP(AU1,INFSHARES,7,0)</f>
        <v>200</v>
      </c>
      <c r="AW28" s="41"/>
      <c r="AY28" s="37" t="s">
        <v>161</v>
      </c>
      <c r="AZ28" s="41">
        <f>VLOOKUP(AY1,INFSHARES,7,0)</f>
        <v>200</v>
      </c>
      <c r="BA28" s="41"/>
      <c r="BC28" s="37" t="s">
        <v>161</v>
      </c>
      <c r="BD28" s="41">
        <f>VLOOKUP(BC1,INFSHARES,7,0)</f>
        <v>5000</v>
      </c>
      <c r="BE28" s="41"/>
      <c r="BG28" s="37" t="s">
        <v>161</v>
      </c>
      <c r="BH28" s="41">
        <f>VLOOKUP(BG1,INFSHARES,7,0)</f>
        <v>400</v>
      </c>
      <c r="BI28" s="41"/>
      <c r="BK28" s="37" t="s">
        <v>161</v>
      </c>
      <c r="BL28" s="41">
        <f>VLOOKUP(BK1,INFSHARES,7,0)</f>
        <v>5000</v>
      </c>
      <c r="BM28" s="41"/>
      <c r="BO28" s="37" t="s">
        <v>161</v>
      </c>
      <c r="BP28" s="41">
        <f>VLOOKUP(BO1,INFSHARES,7,0)</f>
        <v>6000</v>
      </c>
      <c r="BQ28" s="41"/>
      <c r="BS28" s="37" t="s">
        <v>161</v>
      </c>
      <c r="BT28" s="41">
        <f>VLOOKUP(BS1,INFSHARES,7,0)</f>
        <v>4000</v>
      </c>
      <c r="BU28" s="41"/>
      <c r="BV28" s="43"/>
      <c r="BW28" s="37" t="s">
        <v>161</v>
      </c>
      <c r="BX28" s="41">
        <f>VLOOKUP(BW1,INFSHARES,7,0)</f>
        <v>1800</v>
      </c>
      <c r="BY28" s="41"/>
      <c r="CA28" s="37" t="s">
        <v>161</v>
      </c>
      <c r="CB28" s="41">
        <f>VLOOKUP(CA1,INFSHARES,7,0)</f>
        <v>2000</v>
      </c>
      <c r="CC28" s="41"/>
      <c r="CD28" s="43"/>
      <c r="CE28" s="37" t="s">
        <v>161</v>
      </c>
      <c r="CF28" s="41">
        <f>VLOOKUP(CE1,INFSHARES,7,0)</f>
        <v>1000</v>
      </c>
      <c r="CG28" s="41"/>
      <c r="CI28" s="37" t="s">
        <v>161</v>
      </c>
      <c r="CJ28" s="41">
        <f>VLOOKUP(CI1,INFSHARES,7,0)</f>
        <v>1000</v>
      </c>
      <c r="CK28" s="41"/>
      <c r="CM28" s="37" t="s">
        <v>161</v>
      </c>
      <c r="CN28" s="41">
        <f>VLOOKUP(CM1,INFSHARES,7,0)</f>
        <v>1000</v>
      </c>
      <c r="CO28" s="41"/>
      <c r="CQ28" s="37" t="s">
        <v>161</v>
      </c>
      <c r="CR28" s="41">
        <f>VLOOKUP(CQ1,INFSHARES,7,0)</f>
        <v>1000</v>
      </c>
      <c r="CS28" s="41"/>
      <c r="CU28" s="37" t="s">
        <v>161</v>
      </c>
      <c r="CV28" s="41">
        <f>VLOOKUP(CU1,INFSHARES,7,0)</f>
        <v>0</v>
      </c>
      <c r="CW28" s="41"/>
      <c r="CY28" s="37" t="s">
        <v>161</v>
      </c>
      <c r="CZ28" s="41">
        <f>VLOOKUP(CY1,INFRACASHshares2025,7,0)</f>
        <v>4600</v>
      </c>
      <c r="DA28" s="41"/>
    </row>
    <row r="29" spans="2:105" x14ac:dyDescent="0.35">
      <c r="B29" s="37" t="s">
        <v>162</v>
      </c>
      <c r="C29" s="38">
        <f>C28*1.1</f>
        <v>220.00000000000003</v>
      </c>
      <c r="D29" s="38">
        <f>C28*0.1</f>
        <v>20</v>
      </c>
      <c r="E29" s="44"/>
      <c r="F29" s="37" t="s">
        <v>162</v>
      </c>
      <c r="G29" s="38">
        <f>G28*1.1</f>
        <v>0</v>
      </c>
      <c r="H29" s="38">
        <f>G28*0.1</f>
        <v>0</v>
      </c>
      <c r="J29" s="37" t="s">
        <v>162</v>
      </c>
      <c r="K29" s="38">
        <f>K28*1.1</f>
        <v>220.00000000000003</v>
      </c>
      <c r="L29" s="38">
        <f>K28*0.1</f>
        <v>20</v>
      </c>
      <c r="N29" s="37" t="s">
        <v>162</v>
      </c>
      <c r="O29" s="38">
        <f>O28*1.1</f>
        <v>440.00000000000006</v>
      </c>
      <c r="P29" s="38">
        <f>O28*0.1</f>
        <v>40</v>
      </c>
      <c r="R29" s="37" t="s">
        <v>162</v>
      </c>
      <c r="S29" s="38">
        <f>S28*1.1</f>
        <v>2200</v>
      </c>
      <c r="T29" s="38">
        <f>S28*0.1</f>
        <v>200</v>
      </c>
      <c r="W29" s="37" t="s">
        <v>162</v>
      </c>
      <c r="X29" s="38">
        <f>X28*1.1</f>
        <v>220.00000000000003</v>
      </c>
      <c r="Y29" s="38">
        <f>X28*0.1</f>
        <v>20</v>
      </c>
      <c r="AA29" s="37" t="s">
        <v>162</v>
      </c>
      <c r="AB29" s="38">
        <f>AB28*1.1</f>
        <v>220.00000000000003</v>
      </c>
      <c r="AC29" s="38">
        <f>AB28*0.1</f>
        <v>20</v>
      </c>
      <c r="AE29" s="37" t="s">
        <v>162</v>
      </c>
      <c r="AF29" s="38">
        <f>AF28*1.1</f>
        <v>1320</v>
      </c>
      <c r="AG29" s="38">
        <f>AF28*0.1</f>
        <v>120</v>
      </c>
      <c r="AI29" s="37" t="s">
        <v>162</v>
      </c>
      <c r="AJ29" s="38">
        <f>AJ28*1.1</f>
        <v>220.00000000000003</v>
      </c>
      <c r="AK29" s="38">
        <f>AJ28*0.1</f>
        <v>20</v>
      </c>
      <c r="AL29" s="44"/>
      <c r="AM29" s="37" t="s">
        <v>162</v>
      </c>
      <c r="AN29" s="38">
        <f>AN28*1.1</f>
        <v>220.00000000000003</v>
      </c>
      <c r="AO29" s="38">
        <f>AN28*0.1</f>
        <v>20</v>
      </c>
      <c r="AQ29" s="37" t="s">
        <v>162</v>
      </c>
      <c r="AR29" s="38">
        <f>AR28*1.1</f>
        <v>220.00000000000003</v>
      </c>
      <c r="AS29" s="38">
        <f>AR28*0.1</f>
        <v>20</v>
      </c>
      <c r="AU29" s="37" t="s">
        <v>162</v>
      </c>
      <c r="AV29" s="38">
        <f>AV28*1.1</f>
        <v>220.00000000000003</v>
      </c>
      <c r="AW29" s="38">
        <f>AV28*0.1</f>
        <v>20</v>
      </c>
      <c r="AY29" s="37" t="s">
        <v>162</v>
      </c>
      <c r="AZ29" s="38">
        <f>AZ28*1.1</f>
        <v>220.00000000000003</v>
      </c>
      <c r="BA29" s="38">
        <f>AZ28*0.1</f>
        <v>20</v>
      </c>
      <c r="BC29" s="37" t="s">
        <v>162</v>
      </c>
      <c r="BD29" s="38">
        <f>BD28*1.1</f>
        <v>5500</v>
      </c>
      <c r="BE29" s="38">
        <f>BD28*0.1</f>
        <v>500</v>
      </c>
      <c r="BG29" s="37" t="s">
        <v>162</v>
      </c>
      <c r="BH29" s="38">
        <f>BH28*1.1</f>
        <v>440.00000000000006</v>
      </c>
      <c r="BI29" s="38">
        <f>BH28*0.1</f>
        <v>40</v>
      </c>
      <c r="BK29" s="37" t="s">
        <v>162</v>
      </c>
      <c r="BL29" s="38">
        <f>BL28*1.1</f>
        <v>5500</v>
      </c>
      <c r="BM29" s="38">
        <f>BL28*0.1</f>
        <v>500</v>
      </c>
      <c r="BO29" s="37" t="s">
        <v>162</v>
      </c>
      <c r="BP29" s="38">
        <f>BP28*1.1</f>
        <v>6600.0000000000009</v>
      </c>
      <c r="BQ29" s="38">
        <f>BP28*0.1</f>
        <v>600</v>
      </c>
      <c r="BS29" s="37" t="s">
        <v>162</v>
      </c>
      <c r="BT29" s="38">
        <f>BT28*1.1</f>
        <v>4400</v>
      </c>
      <c r="BU29" s="38">
        <f>BT28*0.1</f>
        <v>400</v>
      </c>
      <c r="BV29" s="44"/>
      <c r="BW29" s="37" t="s">
        <v>162</v>
      </c>
      <c r="BX29" s="38">
        <f>BX28*1.1</f>
        <v>1980.0000000000002</v>
      </c>
      <c r="BY29" s="38">
        <f>BX28*0.1</f>
        <v>180</v>
      </c>
      <c r="CA29" s="37" t="s">
        <v>162</v>
      </c>
      <c r="CB29" s="38">
        <f>CB28*1.1</f>
        <v>2200</v>
      </c>
      <c r="CC29" s="38">
        <f>CB28*0.1</f>
        <v>200</v>
      </c>
      <c r="CD29" s="44"/>
      <c r="CE29" s="37" t="s">
        <v>162</v>
      </c>
      <c r="CF29" s="38">
        <f>CF28*1.1</f>
        <v>1100</v>
      </c>
      <c r="CG29" s="38">
        <f>CF28*0.1</f>
        <v>100</v>
      </c>
      <c r="CI29" s="37" t="s">
        <v>162</v>
      </c>
      <c r="CJ29" s="38">
        <f>CJ28*1.1</f>
        <v>1100</v>
      </c>
      <c r="CK29" s="38">
        <f>CJ28*0.1</f>
        <v>100</v>
      </c>
      <c r="CM29" s="37" t="s">
        <v>162</v>
      </c>
      <c r="CN29" s="38">
        <f>CN28*1.1</f>
        <v>1100</v>
      </c>
      <c r="CO29" s="38">
        <f>CN28*0.1</f>
        <v>100</v>
      </c>
      <c r="CQ29" s="37" t="s">
        <v>162</v>
      </c>
      <c r="CR29" s="38">
        <f>CR28*1.1</f>
        <v>1100</v>
      </c>
      <c r="CS29" s="38">
        <f>CR28*0.1</f>
        <v>100</v>
      </c>
      <c r="CU29" s="37" t="s">
        <v>162</v>
      </c>
      <c r="CV29" s="38">
        <f>CV28*1.1</f>
        <v>0</v>
      </c>
      <c r="CW29" s="38">
        <f>CV28*0.1</f>
        <v>0</v>
      </c>
      <c r="CY29" s="37" t="s">
        <v>162</v>
      </c>
      <c r="CZ29" s="38">
        <f>CZ28*1.1</f>
        <v>5060</v>
      </c>
      <c r="DA29" s="38">
        <f>CZ28*0.1</f>
        <v>460</v>
      </c>
    </row>
    <row r="30" spans="2:105" x14ac:dyDescent="0.35">
      <c r="B30" s="37" t="s">
        <v>163</v>
      </c>
      <c r="C30" s="38">
        <f t="shared" ref="C30:C36" si="104">C29*1.05</f>
        <v>231.00000000000003</v>
      </c>
      <c r="D30" s="38">
        <f t="shared" ref="D30:D36" si="105">C29*0.05</f>
        <v>11.000000000000002</v>
      </c>
      <c r="E30" s="44"/>
      <c r="F30" s="37" t="s">
        <v>163</v>
      </c>
      <c r="G30" s="38">
        <f t="shared" ref="G30:G36" si="106">G29*1.05</f>
        <v>0</v>
      </c>
      <c r="H30" s="38">
        <f t="shared" ref="H30:H36" si="107">G29*0.05</f>
        <v>0</v>
      </c>
      <c r="J30" s="37" t="s">
        <v>163</v>
      </c>
      <c r="K30" s="38">
        <f t="shared" ref="K30:K36" si="108">K29*1.05</f>
        <v>231.00000000000003</v>
      </c>
      <c r="L30" s="38">
        <f t="shared" ref="L30:L36" si="109">K29*0.05</f>
        <v>11.000000000000002</v>
      </c>
      <c r="N30" s="37" t="s">
        <v>163</v>
      </c>
      <c r="O30" s="38">
        <f t="shared" ref="O30:O36" si="110">O29*1.05</f>
        <v>462.00000000000006</v>
      </c>
      <c r="P30" s="38">
        <f t="shared" ref="P30:P36" si="111">O29*0.05</f>
        <v>22.000000000000004</v>
      </c>
      <c r="R30" s="37" t="s">
        <v>163</v>
      </c>
      <c r="S30" s="38">
        <f t="shared" ref="S30:S36" si="112">S29*1.05</f>
        <v>2310</v>
      </c>
      <c r="T30" s="38">
        <f t="shared" ref="T30:T36" si="113">S29*0.05</f>
        <v>110</v>
      </c>
      <c r="W30" s="37" t="s">
        <v>163</v>
      </c>
      <c r="X30" s="38">
        <f t="shared" ref="X30:X36" si="114">X29*1.05</f>
        <v>231.00000000000003</v>
      </c>
      <c r="Y30" s="38">
        <f t="shared" ref="Y30:Y36" si="115">X29*0.05</f>
        <v>11.000000000000002</v>
      </c>
      <c r="AA30" s="37" t="s">
        <v>163</v>
      </c>
      <c r="AB30" s="38">
        <f t="shared" ref="AB30:AB36" si="116">AB29*1.05</f>
        <v>231.00000000000003</v>
      </c>
      <c r="AC30" s="38">
        <f t="shared" ref="AC30:AC36" si="117">AB29*0.05</f>
        <v>11.000000000000002</v>
      </c>
      <c r="AE30" s="37" t="s">
        <v>163</v>
      </c>
      <c r="AF30" s="38">
        <f t="shared" ref="AF30:AF36" si="118">AF29*1.05</f>
        <v>1386</v>
      </c>
      <c r="AG30" s="38">
        <f t="shared" ref="AG30:AG36" si="119">AF29*0.05</f>
        <v>66</v>
      </c>
      <c r="AI30" s="37" t="s">
        <v>163</v>
      </c>
      <c r="AJ30" s="38">
        <f t="shared" ref="AJ30:AJ36" si="120">AJ29*1.05</f>
        <v>231.00000000000003</v>
      </c>
      <c r="AK30" s="38">
        <f t="shared" ref="AK30:AK36" si="121">AJ29*0.05</f>
        <v>11.000000000000002</v>
      </c>
      <c r="AL30" s="44"/>
      <c r="AM30" s="37" t="s">
        <v>163</v>
      </c>
      <c r="AN30" s="38">
        <f t="shared" ref="AN30:AN36" si="122">AN29*1.05</f>
        <v>231.00000000000003</v>
      </c>
      <c r="AO30" s="38">
        <f t="shared" ref="AO30:AO36" si="123">AN29*0.05</f>
        <v>11.000000000000002</v>
      </c>
      <c r="AQ30" s="37" t="s">
        <v>163</v>
      </c>
      <c r="AR30" s="38">
        <f t="shared" ref="AR30:AR36" si="124">AR29*1.05</f>
        <v>231.00000000000003</v>
      </c>
      <c r="AS30" s="38">
        <f t="shared" ref="AS30:AS36" si="125">AR29*0.05</f>
        <v>11.000000000000002</v>
      </c>
      <c r="AU30" s="37" t="s">
        <v>163</v>
      </c>
      <c r="AV30" s="38">
        <f t="shared" ref="AV30:AV36" si="126">AV29*1.05</f>
        <v>231.00000000000003</v>
      </c>
      <c r="AW30" s="38">
        <f t="shared" ref="AW30:AW36" si="127">AV29*0.05</f>
        <v>11.000000000000002</v>
      </c>
      <c r="AY30" s="37" t="s">
        <v>163</v>
      </c>
      <c r="AZ30" s="38">
        <f t="shared" ref="AZ30:AZ36" si="128">AZ29*1.05</f>
        <v>231.00000000000003</v>
      </c>
      <c r="BA30" s="38">
        <f t="shared" ref="BA30:BA36" si="129">AZ29*0.05</f>
        <v>11.000000000000002</v>
      </c>
      <c r="BC30" s="37" t="s">
        <v>163</v>
      </c>
      <c r="BD30" s="38">
        <f t="shared" ref="BD30:BD36" si="130">BD29*1.05</f>
        <v>5775</v>
      </c>
      <c r="BE30" s="38">
        <f t="shared" ref="BE30:BE36" si="131">BD29*0.05</f>
        <v>275</v>
      </c>
      <c r="BG30" s="37" t="s">
        <v>163</v>
      </c>
      <c r="BH30" s="38">
        <f t="shared" ref="BH30:BH36" si="132">BH29*1.05</f>
        <v>462.00000000000006</v>
      </c>
      <c r="BI30" s="38">
        <f t="shared" ref="BI30:BI36" si="133">BH29*0.05</f>
        <v>22.000000000000004</v>
      </c>
      <c r="BK30" s="37" t="s">
        <v>163</v>
      </c>
      <c r="BL30" s="38">
        <f t="shared" ref="BL30:BL36" si="134">BL29*1.05</f>
        <v>5775</v>
      </c>
      <c r="BM30" s="38">
        <f t="shared" ref="BM30:BM36" si="135">BL29*0.05</f>
        <v>275</v>
      </c>
      <c r="BO30" s="37" t="s">
        <v>163</v>
      </c>
      <c r="BP30" s="38">
        <f t="shared" ref="BP30:BP36" si="136">BP29*1.05</f>
        <v>6930.0000000000009</v>
      </c>
      <c r="BQ30" s="38">
        <f t="shared" ref="BQ30:BQ36" si="137">BP29*0.05</f>
        <v>330.00000000000006</v>
      </c>
      <c r="BS30" s="37" t="s">
        <v>163</v>
      </c>
      <c r="BT30" s="38">
        <f t="shared" ref="BT30:BT36" si="138">BT29*1.05</f>
        <v>4620</v>
      </c>
      <c r="BU30" s="38">
        <f t="shared" ref="BU30:BU36" si="139">BT29*0.05</f>
        <v>220</v>
      </c>
      <c r="BV30" s="44"/>
      <c r="BW30" s="37" t="s">
        <v>163</v>
      </c>
      <c r="BX30" s="38">
        <f t="shared" ref="BX30:BX36" si="140">BX29*1.05</f>
        <v>2079.0000000000005</v>
      </c>
      <c r="BY30" s="38">
        <f t="shared" ref="BY30:BY36" si="141">BX29*0.05</f>
        <v>99.000000000000014</v>
      </c>
      <c r="CA30" s="37" t="s">
        <v>163</v>
      </c>
      <c r="CB30" s="38">
        <f t="shared" ref="CB30:CB36" si="142">CB29*1.05</f>
        <v>2310</v>
      </c>
      <c r="CC30" s="38">
        <f t="shared" ref="CC30:CC36" si="143">CB29*0.05</f>
        <v>110</v>
      </c>
      <c r="CD30" s="44"/>
      <c r="CE30" s="37" t="s">
        <v>163</v>
      </c>
      <c r="CF30" s="38">
        <f t="shared" ref="CF30:CF36" si="144">CF29*1.05</f>
        <v>1155</v>
      </c>
      <c r="CG30" s="38">
        <f t="shared" ref="CG30:CG36" si="145">CF29*0.05</f>
        <v>55</v>
      </c>
      <c r="CI30" s="37" t="s">
        <v>163</v>
      </c>
      <c r="CJ30" s="38">
        <f t="shared" ref="CJ30:CJ36" si="146">CJ29*1.05</f>
        <v>1155</v>
      </c>
      <c r="CK30" s="38">
        <f t="shared" ref="CK30:CK36" si="147">CJ29*0.05</f>
        <v>55</v>
      </c>
      <c r="CM30" s="37" t="s">
        <v>163</v>
      </c>
      <c r="CN30" s="38">
        <f t="shared" ref="CN30:CN36" si="148">CN29*1.05</f>
        <v>1155</v>
      </c>
      <c r="CO30" s="38">
        <f t="shared" ref="CO30:CO36" si="149">CN29*0.05</f>
        <v>55</v>
      </c>
      <c r="CQ30" s="37" t="s">
        <v>163</v>
      </c>
      <c r="CR30" s="38">
        <f t="shared" ref="CR30:CR36" si="150">CR29*1.05</f>
        <v>1155</v>
      </c>
      <c r="CS30" s="38">
        <f t="shared" ref="CS30:CS36" si="151">CR29*0.05</f>
        <v>55</v>
      </c>
      <c r="CU30" s="37" t="s">
        <v>163</v>
      </c>
      <c r="CV30" s="38">
        <f t="shared" ref="CV30:CV36" si="152">CV29*1.05</f>
        <v>0</v>
      </c>
      <c r="CW30" s="38">
        <f t="shared" ref="CW30:CW36" si="153">CV29*0.05</f>
        <v>0</v>
      </c>
      <c r="CY30" s="37" t="s">
        <v>163</v>
      </c>
      <c r="CZ30" s="38">
        <f t="shared" ref="CZ30:CZ36" si="154">CZ29*1.05</f>
        <v>5313</v>
      </c>
      <c r="DA30" s="38">
        <f t="shared" ref="DA30:DA36" si="155">CZ29*0.05</f>
        <v>253</v>
      </c>
    </row>
    <row r="31" spans="2:105" x14ac:dyDescent="0.35">
      <c r="B31" s="37" t="s">
        <v>6</v>
      </c>
      <c r="C31" s="38">
        <f t="shared" si="104"/>
        <v>242.55000000000004</v>
      </c>
      <c r="D31" s="38">
        <f t="shared" si="105"/>
        <v>11.550000000000002</v>
      </c>
      <c r="E31" s="44"/>
      <c r="F31" s="37" t="s">
        <v>6</v>
      </c>
      <c r="G31" s="38">
        <f t="shared" si="106"/>
        <v>0</v>
      </c>
      <c r="H31" s="38">
        <f t="shared" si="107"/>
        <v>0</v>
      </c>
      <c r="J31" s="37" t="s">
        <v>6</v>
      </c>
      <c r="K31" s="38">
        <f t="shared" si="108"/>
        <v>242.55000000000004</v>
      </c>
      <c r="L31" s="38">
        <f t="shared" si="109"/>
        <v>11.550000000000002</v>
      </c>
      <c r="N31" s="37" t="s">
        <v>6</v>
      </c>
      <c r="O31" s="38">
        <f t="shared" si="110"/>
        <v>485.10000000000008</v>
      </c>
      <c r="P31" s="38">
        <f t="shared" si="111"/>
        <v>23.100000000000005</v>
      </c>
      <c r="R31" s="37" t="s">
        <v>6</v>
      </c>
      <c r="S31" s="38">
        <f t="shared" si="112"/>
        <v>2425.5</v>
      </c>
      <c r="T31" s="38">
        <f t="shared" si="113"/>
        <v>115.5</v>
      </c>
      <c r="W31" s="37" t="s">
        <v>6</v>
      </c>
      <c r="X31" s="38">
        <f t="shared" si="114"/>
        <v>242.55000000000004</v>
      </c>
      <c r="Y31" s="38">
        <f t="shared" si="115"/>
        <v>11.550000000000002</v>
      </c>
      <c r="AA31" s="37" t="s">
        <v>6</v>
      </c>
      <c r="AB31" s="38">
        <f t="shared" si="116"/>
        <v>242.55000000000004</v>
      </c>
      <c r="AC31" s="38">
        <f t="shared" si="117"/>
        <v>11.550000000000002</v>
      </c>
      <c r="AE31" s="37" t="s">
        <v>6</v>
      </c>
      <c r="AF31" s="38">
        <f t="shared" si="118"/>
        <v>1455.3</v>
      </c>
      <c r="AG31" s="38">
        <f t="shared" si="119"/>
        <v>69.3</v>
      </c>
      <c r="AI31" s="37" t="s">
        <v>6</v>
      </c>
      <c r="AJ31" s="38">
        <f t="shared" si="120"/>
        <v>242.55000000000004</v>
      </c>
      <c r="AK31" s="38">
        <f t="shared" si="121"/>
        <v>11.550000000000002</v>
      </c>
      <c r="AL31" s="44"/>
      <c r="AM31" s="37" t="s">
        <v>6</v>
      </c>
      <c r="AN31" s="38">
        <f t="shared" si="122"/>
        <v>242.55000000000004</v>
      </c>
      <c r="AO31" s="38">
        <f t="shared" si="123"/>
        <v>11.550000000000002</v>
      </c>
      <c r="AQ31" s="37" t="s">
        <v>6</v>
      </c>
      <c r="AR31" s="38">
        <f t="shared" si="124"/>
        <v>242.55000000000004</v>
      </c>
      <c r="AS31" s="38">
        <f t="shared" si="125"/>
        <v>11.550000000000002</v>
      </c>
      <c r="AU31" s="37" t="s">
        <v>6</v>
      </c>
      <c r="AV31" s="38">
        <f t="shared" si="126"/>
        <v>242.55000000000004</v>
      </c>
      <c r="AW31" s="38">
        <f t="shared" si="127"/>
        <v>11.550000000000002</v>
      </c>
      <c r="AY31" s="37" t="s">
        <v>6</v>
      </c>
      <c r="AZ31" s="38">
        <f t="shared" si="128"/>
        <v>242.55000000000004</v>
      </c>
      <c r="BA31" s="38">
        <f t="shared" si="129"/>
        <v>11.550000000000002</v>
      </c>
      <c r="BC31" s="37" t="s">
        <v>6</v>
      </c>
      <c r="BD31" s="38">
        <f t="shared" si="130"/>
        <v>6063.75</v>
      </c>
      <c r="BE31" s="38">
        <f t="shared" si="131"/>
        <v>288.75</v>
      </c>
      <c r="BG31" s="37" t="s">
        <v>6</v>
      </c>
      <c r="BH31" s="38">
        <f t="shared" si="132"/>
        <v>485.10000000000008</v>
      </c>
      <c r="BI31" s="38">
        <f t="shared" si="133"/>
        <v>23.100000000000005</v>
      </c>
      <c r="BK31" s="37" t="s">
        <v>6</v>
      </c>
      <c r="BL31" s="38">
        <f t="shared" si="134"/>
        <v>6063.75</v>
      </c>
      <c r="BM31" s="38">
        <f t="shared" si="135"/>
        <v>288.75</v>
      </c>
      <c r="BO31" s="37" t="s">
        <v>6</v>
      </c>
      <c r="BP31" s="38">
        <f t="shared" si="136"/>
        <v>7276.5000000000009</v>
      </c>
      <c r="BQ31" s="38">
        <f t="shared" si="137"/>
        <v>346.50000000000006</v>
      </c>
      <c r="BS31" s="37" t="s">
        <v>6</v>
      </c>
      <c r="BT31" s="38">
        <f t="shared" si="138"/>
        <v>4851</v>
      </c>
      <c r="BU31" s="38">
        <f t="shared" si="139"/>
        <v>231</v>
      </c>
      <c r="BV31" s="44"/>
      <c r="BW31" s="37" t="s">
        <v>6</v>
      </c>
      <c r="BX31" s="38">
        <f t="shared" si="140"/>
        <v>2182.9500000000007</v>
      </c>
      <c r="BY31" s="38">
        <f t="shared" si="141"/>
        <v>103.95000000000003</v>
      </c>
      <c r="CA31" s="37" t="s">
        <v>6</v>
      </c>
      <c r="CB31" s="38">
        <f t="shared" si="142"/>
        <v>2425.5</v>
      </c>
      <c r="CC31" s="38">
        <f t="shared" si="143"/>
        <v>115.5</v>
      </c>
      <c r="CD31" s="44"/>
      <c r="CE31" s="37" t="s">
        <v>6</v>
      </c>
      <c r="CF31" s="38">
        <f t="shared" si="144"/>
        <v>1212.75</v>
      </c>
      <c r="CG31" s="38">
        <f t="shared" si="145"/>
        <v>57.75</v>
      </c>
      <c r="CI31" s="37" t="s">
        <v>6</v>
      </c>
      <c r="CJ31" s="38">
        <f t="shared" si="146"/>
        <v>1212.75</v>
      </c>
      <c r="CK31" s="38">
        <f t="shared" si="147"/>
        <v>57.75</v>
      </c>
      <c r="CM31" s="37" t="s">
        <v>6</v>
      </c>
      <c r="CN31" s="38">
        <f t="shared" si="148"/>
        <v>1212.75</v>
      </c>
      <c r="CO31" s="38">
        <f t="shared" si="149"/>
        <v>57.75</v>
      </c>
      <c r="CQ31" s="37" t="s">
        <v>6</v>
      </c>
      <c r="CR31" s="38">
        <f t="shared" si="150"/>
        <v>1212.75</v>
      </c>
      <c r="CS31" s="38">
        <f t="shared" si="151"/>
        <v>57.75</v>
      </c>
      <c r="CU31" s="37" t="s">
        <v>6</v>
      </c>
      <c r="CV31" s="38">
        <f t="shared" si="152"/>
        <v>0</v>
      </c>
      <c r="CW31" s="38">
        <f t="shared" si="153"/>
        <v>0</v>
      </c>
      <c r="CY31" s="37" t="s">
        <v>6</v>
      </c>
      <c r="CZ31" s="38">
        <f t="shared" si="154"/>
        <v>5578.6500000000005</v>
      </c>
      <c r="DA31" s="38">
        <f t="shared" si="155"/>
        <v>265.65000000000003</v>
      </c>
    </row>
    <row r="32" spans="2:105" x14ac:dyDescent="0.35">
      <c r="B32" s="37" t="s">
        <v>7</v>
      </c>
      <c r="C32" s="38">
        <f t="shared" si="104"/>
        <v>254.67750000000007</v>
      </c>
      <c r="D32" s="38">
        <f t="shared" si="105"/>
        <v>12.127500000000003</v>
      </c>
      <c r="E32" s="44"/>
      <c r="F32" s="37" t="s">
        <v>7</v>
      </c>
      <c r="G32" s="38">
        <f t="shared" si="106"/>
        <v>0</v>
      </c>
      <c r="H32" s="38">
        <f t="shared" si="107"/>
        <v>0</v>
      </c>
      <c r="J32" s="37" t="s">
        <v>7</v>
      </c>
      <c r="K32" s="38">
        <f t="shared" si="108"/>
        <v>254.67750000000007</v>
      </c>
      <c r="L32" s="38">
        <f t="shared" si="109"/>
        <v>12.127500000000003</v>
      </c>
      <c r="N32" s="37" t="s">
        <v>7</v>
      </c>
      <c r="O32" s="38">
        <f t="shared" si="110"/>
        <v>509.35500000000013</v>
      </c>
      <c r="P32" s="38">
        <f t="shared" si="111"/>
        <v>24.255000000000006</v>
      </c>
      <c r="R32" s="37" t="s">
        <v>7</v>
      </c>
      <c r="S32" s="38">
        <f t="shared" si="112"/>
        <v>2546.7750000000001</v>
      </c>
      <c r="T32" s="38">
        <f t="shared" si="113"/>
        <v>121.27500000000001</v>
      </c>
      <c r="W32" s="37" t="s">
        <v>7</v>
      </c>
      <c r="X32" s="38">
        <f t="shared" si="114"/>
        <v>254.67750000000007</v>
      </c>
      <c r="Y32" s="38">
        <f t="shared" si="115"/>
        <v>12.127500000000003</v>
      </c>
      <c r="AA32" s="37" t="s">
        <v>7</v>
      </c>
      <c r="AB32" s="38">
        <f t="shared" si="116"/>
        <v>254.67750000000007</v>
      </c>
      <c r="AC32" s="38">
        <f t="shared" si="117"/>
        <v>12.127500000000003</v>
      </c>
      <c r="AE32" s="37" t="s">
        <v>7</v>
      </c>
      <c r="AF32" s="38">
        <f t="shared" si="118"/>
        <v>1528.0650000000001</v>
      </c>
      <c r="AG32" s="38">
        <f t="shared" si="119"/>
        <v>72.765000000000001</v>
      </c>
      <c r="AI32" s="37" t="s">
        <v>7</v>
      </c>
      <c r="AJ32" s="38">
        <f t="shared" si="120"/>
        <v>254.67750000000007</v>
      </c>
      <c r="AK32" s="38">
        <f t="shared" si="121"/>
        <v>12.127500000000003</v>
      </c>
      <c r="AL32" s="44"/>
      <c r="AM32" s="37" t="s">
        <v>7</v>
      </c>
      <c r="AN32" s="38">
        <f t="shared" si="122"/>
        <v>254.67750000000007</v>
      </c>
      <c r="AO32" s="38">
        <f t="shared" si="123"/>
        <v>12.127500000000003</v>
      </c>
      <c r="AQ32" s="37" t="s">
        <v>7</v>
      </c>
      <c r="AR32" s="38">
        <f t="shared" si="124"/>
        <v>254.67750000000007</v>
      </c>
      <c r="AS32" s="38">
        <f t="shared" si="125"/>
        <v>12.127500000000003</v>
      </c>
      <c r="AU32" s="37" t="s">
        <v>7</v>
      </c>
      <c r="AV32" s="38">
        <f t="shared" si="126"/>
        <v>254.67750000000007</v>
      </c>
      <c r="AW32" s="38">
        <f t="shared" si="127"/>
        <v>12.127500000000003</v>
      </c>
      <c r="AY32" s="37" t="s">
        <v>7</v>
      </c>
      <c r="AZ32" s="38">
        <f t="shared" si="128"/>
        <v>254.67750000000007</v>
      </c>
      <c r="BA32" s="38">
        <f t="shared" si="129"/>
        <v>12.127500000000003</v>
      </c>
      <c r="BC32" s="37" t="s">
        <v>7</v>
      </c>
      <c r="BD32" s="38">
        <f t="shared" si="130"/>
        <v>6366.9375</v>
      </c>
      <c r="BE32" s="38">
        <f t="shared" si="131"/>
        <v>303.1875</v>
      </c>
      <c r="BG32" s="37" t="s">
        <v>7</v>
      </c>
      <c r="BH32" s="38">
        <f t="shared" si="132"/>
        <v>509.35500000000013</v>
      </c>
      <c r="BI32" s="38">
        <f t="shared" si="133"/>
        <v>24.255000000000006</v>
      </c>
      <c r="BK32" s="37" t="s">
        <v>7</v>
      </c>
      <c r="BL32" s="38">
        <f t="shared" si="134"/>
        <v>6366.9375</v>
      </c>
      <c r="BM32" s="38">
        <f t="shared" si="135"/>
        <v>303.1875</v>
      </c>
      <c r="BO32" s="37" t="s">
        <v>7</v>
      </c>
      <c r="BP32" s="38">
        <f t="shared" si="136"/>
        <v>7640.3250000000016</v>
      </c>
      <c r="BQ32" s="38">
        <f t="shared" si="137"/>
        <v>363.82500000000005</v>
      </c>
      <c r="BS32" s="37" t="s">
        <v>7</v>
      </c>
      <c r="BT32" s="38">
        <f t="shared" si="138"/>
        <v>5093.55</v>
      </c>
      <c r="BU32" s="38">
        <f t="shared" si="139"/>
        <v>242.55</v>
      </c>
      <c r="BV32" s="44"/>
      <c r="BW32" s="37" t="s">
        <v>7</v>
      </c>
      <c r="BX32" s="38">
        <f t="shared" si="140"/>
        <v>2292.0975000000008</v>
      </c>
      <c r="BY32" s="38">
        <f t="shared" si="141"/>
        <v>109.14750000000004</v>
      </c>
      <c r="CA32" s="37" t="s">
        <v>7</v>
      </c>
      <c r="CB32" s="38">
        <f t="shared" si="142"/>
        <v>2546.7750000000001</v>
      </c>
      <c r="CC32" s="38">
        <f t="shared" si="143"/>
        <v>121.27500000000001</v>
      </c>
      <c r="CD32" s="44"/>
      <c r="CE32" s="37" t="s">
        <v>7</v>
      </c>
      <c r="CF32" s="38">
        <f t="shared" si="144"/>
        <v>1273.3875</v>
      </c>
      <c r="CG32" s="38">
        <f t="shared" si="145"/>
        <v>60.637500000000003</v>
      </c>
      <c r="CI32" s="37" t="s">
        <v>7</v>
      </c>
      <c r="CJ32" s="38">
        <f t="shared" si="146"/>
        <v>1273.3875</v>
      </c>
      <c r="CK32" s="38">
        <f t="shared" si="147"/>
        <v>60.637500000000003</v>
      </c>
      <c r="CM32" s="37" t="s">
        <v>7</v>
      </c>
      <c r="CN32" s="38">
        <f t="shared" si="148"/>
        <v>1273.3875</v>
      </c>
      <c r="CO32" s="38">
        <f t="shared" si="149"/>
        <v>60.637500000000003</v>
      </c>
      <c r="CQ32" s="37" t="s">
        <v>7</v>
      </c>
      <c r="CR32" s="38">
        <f t="shared" si="150"/>
        <v>1273.3875</v>
      </c>
      <c r="CS32" s="38">
        <f t="shared" si="151"/>
        <v>60.637500000000003</v>
      </c>
      <c r="CU32" s="37" t="s">
        <v>7</v>
      </c>
      <c r="CV32" s="38">
        <f t="shared" si="152"/>
        <v>0</v>
      </c>
      <c r="CW32" s="38">
        <f t="shared" si="153"/>
        <v>0</v>
      </c>
      <c r="CY32" s="37" t="s">
        <v>7</v>
      </c>
      <c r="CZ32" s="38">
        <f t="shared" si="154"/>
        <v>5857.5825000000004</v>
      </c>
      <c r="DA32" s="38">
        <f t="shared" si="155"/>
        <v>278.93250000000006</v>
      </c>
    </row>
    <row r="33" spans="2:105" x14ac:dyDescent="0.35">
      <c r="B33" s="37" t="s">
        <v>8</v>
      </c>
      <c r="C33" s="38">
        <f t="shared" si="104"/>
        <v>267.41137500000008</v>
      </c>
      <c r="D33" s="38">
        <f t="shared" si="105"/>
        <v>12.733875000000005</v>
      </c>
      <c r="E33" s="44"/>
      <c r="F33" s="37" t="s">
        <v>8</v>
      </c>
      <c r="G33" s="38">
        <f t="shared" si="106"/>
        <v>0</v>
      </c>
      <c r="H33" s="38">
        <f t="shared" si="107"/>
        <v>0</v>
      </c>
      <c r="J33" s="37" t="s">
        <v>8</v>
      </c>
      <c r="K33" s="38">
        <f t="shared" si="108"/>
        <v>267.41137500000008</v>
      </c>
      <c r="L33" s="38">
        <f t="shared" si="109"/>
        <v>12.733875000000005</v>
      </c>
      <c r="N33" s="37" t="s">
        <v>8</v>
      </c>
      <c r="O33" s="38">
        <f t="shared" si="110"/>
        <v>534.82275000000016</v>
      </c>
      <c r="P33" s="38">
        <f t="shared" si="111"/>
        <v>25.467750000000009</v>
      </c>
      <c r="R33" s="37" t="s">
        <v>8</v>
      </c>
      <c r="S33" s="38">
        <f t="shared" si="112"/>
        <v>2674.11375</v>
      </c>
      <c r="T33" s="38">
        <f t="shared" si="113"/>
        <v>127.33875</v>
      </c>
      <c r="W33" s="37" t="s">
        <v>8</v>
      </c>
      <c r="X33" s="38">
        <f t="shared" si="114"/>
        <v>267.41137500000008</v>
      </c>
      <c r="Y33" s="38">
        <f t="shared" si="115"/>
        <v>12.733875000000005</v>
      </c>
      <c r="AA33" s="37" t="s">
        <v>8</v>
      </c>
      <c r="AB33" s="38">
        <f t="shared" si="116"/>
        <v>267.41137500000008</v>
      </c>
      <c r="AC33" s="38">
        <f t="shared" si="117"/>
        <v>12.733875000000005</v>
      </c>
      <c r="AE33" s="37" t="s">
        <v>8</v>
      </c>
      <c r="AF33" s="38">
        <f t="shared" si="118"/>
        <v>1604.4682500000001</v>
      </c>
      <c r="AG33" s="38">
        <f t="shared" si="119"/>
        <v>76.40325</v>
      </c>
      <c r="AI33" s="37" t="s">
        <v>8</v>
      </c>
      <c r="AJ33" s="38">
        <f t="shared" si="120"/>
        <v>267.41137500000008</v>
      </c>
      <c r="AK33" s="38">
        <f t="shared" si="121"/>
        <v>12.733875000000005</v>
      </c>
      <c r="AL33" s="44"/>
      <c r="AM33" s="37" t="s">
        <v>8</v>
      </c>
      <c r="AN33" s="38">
        <f t="shared" si="122"/>
        <v>267.41137500000008</v>
      </c>
      <c r="AO33" s="38">
        <f t="shared" si="123"/>
        <v>12.733875000000005</v>
      </c>
      <c r="AQ33" s="37" t="s">
        <v>8</v>
      </c>
      <c r="AR33" s="38">
        <f t="shared" si="124"/>
        <v>267.41137500000008</v>
      </c>
      <c r="AS33" s="38">
        <f t="shared" si="125"/>
        <v>12.733875000000005</v>
      </c>
      <c r="AU33" s="37" t="s">
        <v>8</v>
      </c>
      <c r="AV33" s="38">
        <f t="shared" si="126"/>
        <v>267.41137500000008</v>
      </c>
      <c r="AW33" s="38">
        <f t="shared" si="127"/>
        <v>12.733875000000005</v>
      </c>
      <c r="AY33" s="37" t="s">
        <v>8</v>
      </c>
      <c r="AZ33" s="38">
        <f t="shared" si="128"/>
        <v>267.41137500000008</v>
      </c>
      <c r="BA33" s="38">
        <f t="shared" si="129"/>
        <v>12.733875000000005</v>
      </c>
      <c r="BC33" s="37" t="s">
        <v>8</v>
      </c>
      <c r="BD33" s="38">
        <f t="shared" si="130"/>
        <v>6685.2843750000002</v>
      </c>
      <c r="BE33" s="38">
        <f t="shared" si="131"/>
        <v>318.34687500000001</v>
      </c>
      <c r="BG33" s="37" t="s">
        <v>8</v>
      </c>
      <c r="BH33" s="38">
        <f t="shared" si="132"/>
        <v>534.82275000000016</v>
      </c>
      <c r="BI33" s="38">
        <f t="shared" si="133"/>
        <v>25.467750000000009</v>
      </c>
      <c r="BK33" s="37" t="s">
        <v>8</v>
      </c>
      <c r="BL33" s="38">
        <f t="shared" si="134"/>
        <v>6685.2843750000002</v>
      </c>
      <c r="BM33" s="38">
        <f t="shared" si="135"/>
        <v>318.34687500000001</v>
      </c>
      <c r="BO33" s="37" t="s">
        <v>8</v>
      </c>
      <c r="BP33" s="38">
        <f t="shared" si="136"/>
        <v>8022.3412500000022</v>
      </c>
      <c r="BQ33" s="38">
        <f t="shared" si="137"/>
        <v>382.01625000000013</v>
      </c>
      <c r="BS33" s="37" t="s">
        <v>8</v>
      </c>
      <c r="BT33" s="38">
        <f t="shared" si="138"/>
        <v>5348.2275</v>
      </c>
      <c r="BU33" s="38">
        <f t="shared" si="139"/>
        <v>254.67750000000001</v>
      </c>
      <c r="BV33" s="44"/>
      <c r="BW33" s="37" t="s">
        <v>8</v>
      </c>
      <c r="BX33" s="38">
        <f t="shared" si="140"/>
        <v>2406.7023750000008</v>
      </c>
      <c r="BY33" s="38">
        <f t="shared" si="141"/>
        <v>114.60487500000005</v>
      </c>
      <c r="CA33" s="37" t="s">
        <v>8</v>
      </c>
      <c r="CB33" s="38">
        <f t="shared" si="142"/>
        <v>2674.11375</v>
      </c>
      <c r="CC33" s="38">
        <f t="shared" si="143"/>
        <v>127.33875</v>
      </c>
      <c r="CD33" s="44"/>
      <c r="CE33" s="37" t="s">
        <v>8</v>
      </c>
      <c r="CF33" s="38">
        <f t="shared" si="144"/>
        <v>1337.056875</v>
      </c>
      <c r="CG33" s="38">
        <f t="shared" si="145"/>
        <v>63.669375000000002</v>
      </c>
      <c r="CI33" s="37" t="s">
        <v>8</v>
      </c>
      <c r="CJ33" s="38">
        <f t="shared" si="146"/>
        <v>1337.056875</v>
      </c>
      <c r="CK33" s="38">
        <f t="shared" si="147"/>
        <v>63.669375000000002</v>
      </c>
      <c r="CM33" s="37" t="s">
        <v>8</v>
      </c>
      <c r="CN33" s="38">
        <f t="shared" si="148"/>
        <v>1337.056875</v>
      </c>
      <c r="CO33" s="38">
        <f t="shared" si="149"/>
        <v>63.669375000000002</v>
      </c>
      <c r="CQ33" s="37" t="s">
        <v>8</v>
      </c>
      <c r="CR33" s="38">
        <f t="shared" si="150"/>
        <v>1337.056875</v>
      </c>
      <c r="CS33" s="38">
        <f t="shared" si="151"/>
        <v>63.669375000000002</v>
      </c>
      <c r="CU33" s="37" t="s">
        <v>8</v>
      </c>
      <c r="CV33" s="38">
        <f t="shared" si="152"/>
        <v>0</v>
      </c>
      <c r="CW33" s="38">
        <f t="shared" si="153"/>
        <v>0</v>
      </c>
      <c r="CY33" s="37" t="s">
        <v>8</v>
      </c>
      <c r="CZ33" s="38">
        <f t="shared" si="154"/>
        <v>6150.4616250000008</v>
      </c>
      <c r="DA33" s="38">
        <f t="shared" si="155"/>
        <v>292.87912500000004</v>
      </c>
    </row>
    <row r="34" spans="2:105" x14ac:dyDescent="0.35">
      <c r="B34" s="37" t="s">
        <v>9</v>
      </c>
      <c r="C34" s="38">
        <f t="shared" si="104"/>
        <v>280.7819437500001</v>
      </c>
      <c r="D34" s="38">
        <f t="shared" si="105"/>
        <v>13.370568750000004</v>
      </c>
      <c r="E34" s="44"/>
      <c r="F34" s="37" t="s">
        <v>9</v>
      </c>
      <c r="G34" s="38">
        <f t="shared" si="106"/>
        <v>0</v>
      </c>
      <c r="H34" s="38">
        <f t="shared" si="107"/>
        <v>0</v>
      </c>
      <c r="J34" s="37" t="s">
        <v>9</v>
      </c>
      <c r="K34" s="38">
        <f t="shared" si="108"/>
        <v>280.7819437500001</v>
      </c>
      <c r="L34" s="38">
        <f t="shared" si="109"/>
        <v>13.370568750000004</v>
      </c>
      <c r="N34" s="37" t="s">
        <v>9</v>
      </c>
      <c r="O34" s="38">
        <f t="shared" si="110"/>
        <v>561.56388750000019</v>
      </c>
      <c r="P34" s="38">
        <f t="shared" si="111"/>
        <v>26.741137500000008</v>
      </c>
      <c r="R34" s="37" t="s">
        <v>9</v>
      </c>
      <c r="S34" s="38">
        <f t="shared" si="112"/>
        <v>2807.8194375000003</v>
      </c>
      <c r="T34" s="38">
        <f t="shared" si="113"/>
        <v>133.70568750000001</v>
      </c>
      <c r="W34" s="37" t="s">
        <v>9</v>
      </c>
      <c r="X34" s="38">
        <f t="shared" si="114"/>
        <v>280.7819437500001</v>
      </c>
      <c r="Y34" s="38">
        <f t="shared" si="115"/>
        <v>13.370568750000004</v>
      </c>
      <c r="AA34" s="37" t="s">
        <v>9</v>
      </c>
      <c r="AB34" s="38">
        <f t="shared" si="116"/>
        <v>280.7819437500001</v>
      </c>
      <c r="AC34" s="38">
        <f t="shared" si="117"/>
        <v>13.370568750000004</v>
      </c>
      <c r="AE34" s="37" t="s">
        <v>9</v>
      </c>
      <c r="AF34" s="38">
        <f t="shared" si="118"/>
        <v>1684.6916625000001</v>
      </c>
      <c r="AG34" s="38">
        <f t="shared" si="119"/>
        <v>80.223412500000009</v>
      </c>
      <c r="AI34" s="37" t="s">
        <v>9</v>
      </c>
      <c r="AJ34" s="38">
        <f t="shared" si="120"/>
        <v>280.7819437500001</v>
      </c>
      <c r="AK34" s="38">
        <f t="shared" si="121"/>
        <v>13.370568750000004</v>
      </c>
      <c r="AL34" s="44"/>
      <c r="AM34" s="37" t="s">
        <v>9</v>
      </c>
      <c r="AN34" s="38">
        <f t="shared" si="122"/>
        <v>280.7819437500001</v>
      </c>
      <c r="AO34" s="38">
        <f t="shared" si="123"/>
        <v>13.370568750000004</v>
      </c>
      <c r="AQ34" s="37" t="s">
        <v>9</v>
      </c>
      <c r="AR34" s="38">
        <f t="shared" si="124"/>
        <v>280.7819437500001</v>
      </c>
      <c r="AS34" s="38">
        <f t="shared" si="125"/>
        <v>13.370568750000004</v>
      </c>
      <c r="AU34" s="37" t="s">
        <v>9</v>
      </c>
      <c r="AV34" s="38">
        <f t="shared" si="126"/>
        <v>280.7819437500001</v>
      </c>
      <c r="AW34" s="38">
        <f t="shared" si="127"/>
        <v>13.370568750000004</v>
      </c>
      <c r="AY34" s="37" t="s">
        <v>9</v>
      </c>
      <c r="AZ34" s="38">
        <f t="shared" si="128"/>
        <v>280.7819437500001</v>
      </c>
      <c r="BA34" s="38">
        <f t="shared" si="129"/>
        <v>13.370568750000004</v>
      </c>
      <c r="BC34" s="37" t="s">
        <v>9</v>
      </c>
      <c r="BD34" s="38">
        <f t="shared" si="130"/>
        <v>7019.5485937500007</v>
      </c>
      <c r="BE34" s="38">
        <f t="shared" si="131"/>
        <v>334.26421875000005</v>
      </c>
      <c r="BG34" s="37" t="s">
        <v>9</v>
      </c>
      <c r="BH34" s="38">
        <f t="shared" si="132"/>
        <v>561.56388750000019</v>
      </c>
      <c r="BI34" s="38">
        <f t="shared" si="133"/>
        <v>26.741137500000008</v>
      </c>
      <c r="BK34" s="37" t="s">
        <v>9</v>
      </c>
      <c r="BL34" s="38">
        <f t="shared" si="134"/>
        <v>7019.5485937500007</v>
      </c>
      <c r="BM34" s="38">
        <f t="shared" si="135"/>
        <v>334.26421875000005</v>
      </c>
      <c r="BO34" s="37" t="s">
        <v>9</v>
      </c>
      <c r="BP34" s="38">
        <f t="shared" si="136"/>
        <v>8423.4583125000026</v>
      </c>
      <c r="BQ34" s="38">
        <f t="shared" si="137"/>
        <v>401.11706250000015</v>
      </c>
      <c r="BS34" s="37" t="s">
        <v>9</v>
      </c>
      <c r="BT34" s="38">
        <f t="shared" si="138"/>
        <v>5615.6388750000006</v>
      </c>
      <c r="BU34" s="38">
        <f t="shared" si="139"/>
        <v>267.41137500000002</v>
      </c>
      <c r="BV34" s="44"/>
      <c r="BW34" s="37" t="s">
        <v>9</v>
      </c>
      <c r="BX34" s="38">
        <f t="shared" si="140"/>
        <v>2527.037493750001</v>
      </c>
      <c r="BY34" s="38">
        <f t="shared" si="141"/>
        <v>120.33511875000005</v>
      </c>
      <c r="CA34" s="37" t="s">
        <v>9</v>
      </c>
      <c r="CB34" s="38">
        <f t="shared" si="142"/>
        <v>2807.8194375000003</v>
      </c>
      <c r="CC34" s="38">
        <f t="shared" si="143"/>
        <v>133.70568750000001</v>
      </c>
      <c r="CD34" s="44"/>
      <c r="CE34" s="37" t="s">
        <v>9</v>
      </c>
      <c r="CF34" s="38">
        <f t="shared" si="144"/>
        <v>1403.9097187500001</v>
      </c>
      <c r="CG34" s="38">
        <f t="shared" si="145"/>
        <v>66.852843750000005</v>
      </c>
      <c r="CI34" s="37" t="s">
        <v>9</v>
      </c>
      <c r="CJ34" s="38">
        <f t="shared" si="146"/>
        <v>1403.9097187500001</v>
      </c>
      <c r="CK34" s="38">
        <f t="shared" si="147"/>
        <v>66.852843750000005</v>
      </c>
      <c r="CM34" s="37" t="s">
        <v>9</v>
      </c>
      <c r="CN34" s="38">
        <f t="shared" si="148"/>
        <v>1403.9097187500001</v>
      </c>
      <c r="CO34" s="38">
        <f t="shared" si="149"/>
        <v>66.852843750000005</v>
      </c>
      <c r="CQ34" s="37" t="s">
        <v>9</v>
      </c>
      <c r="CR34" s="38">
        <f t="shared" si="150"/>
        <v>1403.9097187500001</v>
      </c>
      <c r="CS34" s="38">
        <f t="shared" si="151"/>
        <v>66.852843750000005</v>
      </c>
      <c r="CU34" s="37" t="s">
        <v>9</v>
      </c>
      <c r="CV34" s="38">
        <f t="shared" si="152"/>
        <v>0</v>
      </c>
      <c r="CW34" s="38">
        <f t="shared" si="153"/>
        <v>0</v>
      </c>
      <c r="CY34" s="37" t="s">
        <v>9</v>
      </c>
      <c r="CZ34" s="38">
        <f t="shared" si="154"/>
        <v>6457.9847062500012</v>
      </c>
      <c r="DA34" s="38">
        <f t="shared" si="155"/>
        <v>307.52308125000008</v>
      </c>
    </row>
    <row r="35" spans="2:105" x14ac:dyDescent="0.35">
      <c r="B35" s="37" t="s">
        <v>164</v>
      </c>
      <c r="C35" s="38">
        <f t="shared" si="104"/>
        <v>294.82104093750013</v>
      </c>
      <c r="D35" s="38">
        <f t="shared" si="105"/>
        <v>14.039097187500005</v>
      </c>
      <c r="E35" s="44"/>
      <c r="F35" s="37" t="s">
        <v>164</v>
      </c>
      <c r="G35" s="38">
        <f t="shared" si="106"/>
        <v>0</v>
      </c>
      <c r="H35" s="38">
        <f t="shared" si="107"/>
        <v>0</v>
      </c>
      <c r="J35" s="37" t="s">
        <v>164</v>
      </c>
      <c r="K35" s="38">
        <f t="shared" si="108"/>
        <v>294.82104093750013</v>
      </c>
      <c r="L35" s="38">
        <f t="shared" si="109"/>
        <v>14.039097187500005</v>
      </c>
      <c r="N35" s="37" t="s">
        <v>164</v>
      </c>
      <c r="O35" s="38">
        <f t="shared" si="110"/>
        <v>589.64208187500026</v>
      </c>
      <c r="P35" s="38">
        <f t="shared" si="111"/>
        <v>28.07819437500001</v>
      </c>
      <c r="R35" s="37" t="s">
        <v>164</v>
      </c>
      <c r="S35" s="38">
        <f t="shared" si="112"/>
        <v>2948.2104093750004</v>
      </c>
      <c r="T35" s="38">
        <f t="shared" si="113"/>
        <v>140.39097187500002</v>
      </c>
      <c r="W35" s="37" t="s">
        <v>164</v>
      </c>
      <c r="X35" s="38">
        <f t="shared" si="114"/>
        <v>294.82104093750013</v>
      </c>
      <c r="Y35" s="38">
        <f t="shared" si="115"/>
        <v>14.039097187500005</v>
      </c>
      <c r="AA35" s="37" t="s">
        <v>164</v>
      </c>
      <c r="AB35" s="38">
        <f t="shared" si="116"/>
        <v>294.82104093750013</v>
      </c>
      <c r="AC35" s="38">
        <f t="shared" si="117"/>
        <v>14.039097187500005</v>
      </c>
      <c r="AE35" s="37" t="s">
        <v>164</v>
      </c>
      <c r="AF35" s="38">
        <f t="shared" si="118"/>
        <v>1768.9262456250001</v>
      </c>
      <c r="AG35" s="38">
        <f t="shared" si="119"/>
        <v>84.234583125000015</v>
      </c>
      <c r="AI35" s="37" t="s">
        <v>164</v>
      </c>
      <c r="AJ35" s="38">
        <f t="shared" si="120"/>
        <v>294.82104093750013</v>
      </c>
      <c r="AK35" s="38">
        <f t="shared" si="121"/>
        <v>14.039097187500005</v>
      </c>
      <c r="AL35" s="44"/>
      <c r="AM35" s="37" t="s">
        <v>164</v>
      </c>
      <c r="AN35" s="38">
        <f t="shared" si="122"/>
        <v>294.82104093750013</v>
      </c>
      <c r="AO35" s="38">
        <f t="shared" si="123"/>
        <v>14.039097187500005</v>
      </c>
      <c r="AQ35" s="37" t="s">
        <v>164</v>
      </c>
      <c r="AR35" s="38">
        <f t="shared" si="124"/>
        <v>294.82104093750013</v>
      </c>
      <c r="AS35" s="38">
        <f t="shared" si="125"/>
        <v>14.039097187500005</v>
      </c>
      <c r="AU35" s="37" t="s">
        <v>164</v>
      </c>
      <c r="AV35" s="38">
        <f t="shared" si="126"/>
        <v>294.82104093750013</v>
      </c>
      <c r="AW35" s="38">
        <f t="shared" si="127"/>
        <v>14.039097187500005</v>
      </c>
      <c r="AY35" s="37" t="s">
        <v>164</v>
      </c>
      <c r="AZ35" s="38">
        <f t="shared" si="128"/>
        <v>294.82104093750013</v>
      </c>
      <c r="BA35" s="38">
        <f t="shared" si="129"/>
        <v>14.039097187500005</v>
      </c>
      <c r="BC35" s="37" t="s">
        <v>164</v>
      </c>
      <c r="BD35" s="38">
        <f t="shared" si="130"/>
        <v>7370.526023437501</v>
      </c>
      <c r="BE35" s="38">
        <f t="shared" si="131"/>
        <v>350.97742968750003</v>
      </c>
      <c r="BG35" s="37" t="s">
        <v>164</v>
      </c>
      <c r="BH35" s="38">
        <f t="shared" si="132"/>
        <v>589.64208187500026</v>
      </c>
      <c r="BI35" s="38">
        <f t="shared" si="133"/>
        <v>28.07819437500001</v>
      </c>
      <c r="BK35" s="37" t="s">
        <v>164</v>
      </c>
      <c r="BL35" s="38">
        <f t="shared" si="134"/>
        <v>7370.526023437501</v>
      </c>
      <c r="BM35" s="38">
        <f t="shared" si="135"/>
        <v>350.97742968750003</v>
      </c>
      <c r="BO35" s="37" t="s">
        <v>164</v>
      </c>
      <c r="BP35" s="38">
        <f t="shared" si="136"/>
        <v>8844.631228125003</v>
      </c>
      <c r="BQ35" s="38">
        <f t="shared" si="137"/>
        <v>421.17291562500014</v>
      </c>
      <c r="BS35" s="37" t="s">
        <v>164</v>
      </c>
      <c r="BT35" s="38">
        <f t="shared" si="138"/>
        <v>5896.4208187500008</v>
      </c>
      <c r="BU35" s="38">
        <f t="shared" si="139"/>
        <v>280.78194375000004</v>
      </c>
      <c r="BV35" s="44"/>
      <c r="BW35" s="37" t="s">
        <v>164</v>
      </c>
      <c r="BX35" s="38">
        <f t="shared" si="140"/>
        <v>2653.3893684375012</v>
      </c>
      <c r="BY35" s="38">
        <f t="shared" si="141"/>
        <v>126.35187468750006</v>
      </c>
      <c r="CA35" s="37" t="s">
        <v>164</v>
      </c>
      <c r="CB35" s="38">
        <f t="shared" si="142"/>
        <v>2948.2104093750004</v>
      </c>
      <c r="CC35" s="38">
        <f t="shared" si="143"/>
        <v>140.39097187500002</v>
      </c>
      <c r="CD35" s="44"/>
      <c r="CE35" s="37" t="s">
        <v>164</v>
      </c>
      <c r="CF35" s="38">
        <f t="shared" si="144"/>
        <v>1474.1052046875002</v>
      </c>
      <c r="CG35" s="38">
        <f t="shared" si="145"/>
        <v>70.19548593750001</v>
      </c>
      <c r="CI35" s="37" t="s">
        <v>164</v>
      </c>
      <c r="CJ35" s="38">
        <f t="shared" si="146"/>
        <v>1474.1052046875002</v>
      </c>
      <c r="CK35" s="38">
        <f t="shared" si="147"/>
        <v>70.19548593750001</v>
      </c>
      <c r="CM35" s="37" t="s">
        <v>164</v>
      </c>
      <c r="CN35" s="38">
        <f t="shared" si="148"/>
        <v>1474.1052046875002</v>
      </c>
      <c r="CO35" s="38">
        <f t="shared" si="149"/>
        <v>70.19548593750001</v>
      </c>
      <c r="CQ35" s="37" t="s">
        <v>164</v>
      </c>
      <c r="CR35" s="38">
        <f t="shared" si="150"/>
        <v>1474.1052046875002</v>
      </c>
      <c r="CS35" s="38">
        <f t="shared" si="151"/>
        <v>70.19548593750001</v>
      </c>
      <c r="CU35" s="37" t="s">
        <v>164</v>
      </c>
      <c r="CV35" s="38">
        <f t="shared" si="152"/>
        <v>0</v>
      </c>
      <c r="CW35" s="38">
        <f t="shared" si="153"/>
        <v>0</v>
      </c>
      <c r="CY35" s="37" t="s">
        <v>164</v>
      </c>
      <c r="CZ35" s="38">
        <f t="shared" si="154"/>
        <v>6780.8839415625016</v>
      </c>
      <c r="DA35" s="38">
        <f t="shared" si="155"/>
        <v>322.89923531250008</v>
      </c>
    </row>
    <row r="36" spans="2:105" x14ac:dyDescent="0.35">
      <c r="B36" s="37" t="s">
        <v>165</v>
      </c>
      <c r="C36" s="38">
        <f t="shared" si="104"/>
        <v>309.56209298437517</v>
      </c>
      <c r="D36" s="38">
        <f t="shared" si="105"/>
        <v>14.741052046875007</v>
      </c>
      <c r="E36" s="44"/>
      <c r="F36" s="37" t="s">
        <v>165</v>
      </c>
      <c r="G36" s="38">
        <f t="shared" si="106"/>
        <v>0</v>
      </c>
      <c r="H36" s="38">
        <f t="shared" si="107"/>
        <v>0</v>
      </c>
      <c r="J36" s="37" t="s">
        <v>165</v>
      </c>
      <c r="K36" s="38">
        <f t="shared" si="108"/>
        <v>309.56209298437517</v>
      </c>
      <c r="L36" s="38">
        <f t="shared" si="109"/>
        <v>14.741052046875007</v>
      </c>
      <c r="N36" s="37" t="s">
        <v>165</v>
      </c>
      <c r="O36" s="38">
        <f t="shared" si="110"/>
        <v>619.12418596875034</v>
      </c>
      <c r="P36" s="38">
        <f t="shared" si="111"/>
        <v>29.482104093750014</v>
      </c>
      <c r="R36" s="37" t="s">
        <v>165</v>
      </c>
      <c r="S36" s="38">
        <f t="shared" si="112"/>
        <v>3095.6209298437507</v>
      </c>
      <c r="T36" s="38">
        <f t="shared" si="113"/>
        <v>147.41052046875004</v>
      </c>
      <c r="W36" s="37" t="s">
        <v>165</v>
      </c>
      <c r="X36" s="38">
        <f t="shared" si="114"/>
        <v>309.56209298437517</v>
      </c>
      <c r="Y36" s="38">
        <f t="shared" si="115"/>
        <v>14.741052046875007</v>
      </c>
      <c r="AA36" s="37" t="s">
        <v>165</v>
      </c>
      <c r="AB36" s="38">
        <f t="shared" si="116"/>
        <v>309.56209298437517</v>
      </c>
      <c r="AC36" s="38">
        <f t="shared" si="117"/>
        <v>14.741052046875007</v>
      </c>
      <c r="AE36" s="37" t="s">
        <v>165</v>
      </c>
      <c r="AF36" s="38">
        <f t="shared" si="118"/>
        <v>1857.3725579062502</v>
      </c>
      <c r="AG36" s="38">
        <f t="shared" si="119"/>
        <v>88.446312281250016</v>
      </c>
      <c r="AI36" s="37" t="s">
        <v>165</v>
      </c>
      <c r="AJ36" s="38">
        <f t="shared" si="120"/>
        <v>309.56209298437517</v>
      </c>
      <c r="AK36" s="38">
        <f t="shared" si="121"/>
        <v>14.741052046875007</v>
      </c>
      <c r="AL36" s="44"/>
      <c r="AM36" s="37" t="s">
        <v>165</v>
      </c>
      <c r="AN36" s="38">
        <f t="shared" si="122"/>
        <v>309.56209298437517</v>
      </c>
      <c r="AO36" s="38">
        <f t="shared" si="123"/>
        <v>14.741052046875007</v>
      </c>
      <c r="AQ36" s="37" t="s">
        <v>165</v>
      </c>
      <c r="AR36" s="38">
        <f t="shared" si="124"/>
        <v>309.56209298437517</v>
      </c>
      <c r="AS36" s="38">
        <f t="shared" si="125"/>
        <v>14.741052046875007</v>
      </c>
      <c r="AU36" s="37" t="s">
        <v>165</v>
      </c>
      <c r="AV36" s="38">
        <f t="shared" si="126"/>
        <v>309.56209298437517</v>
      </c>
      <c r="AW36" s="38">
        <f t="shared" si="127"/>
        <v>14.741052046875007</v>
      </c>
      <c r="AY36" s="37" t="s">
        <v>165</v>
      </c>
      <c r="AZ36" s="38">
        <f t="shared" si="128"/>
        <v>309.56209298437517</v>
      </c>
      <c r="BA36" s="38">
        <f t="shared" si="129"/>
        <v>14.741052046875007</v>
      </c>
      <c r="BC36" s="37" t="s">
        <v>165</v>
      </c>
      <c r="BD36" s="38">
        <f t="shared" si="130"/>
        <v>7739.0523246093762</v>
      </c>
      <c r="BE36" s="38">
        <f t="shared" si="131"/>
        <v>368.52630117187505</v>
      </c>
      <c r="BG36" s="37" t="s">
        <v>165</v>
      </c>
      <c r="BH36" s="38">
        <f t="shared" si="132"/>
        <v>619.12418596875034</v>
      </c>
      <c r="BI36" s="38">
        <f t="shared" si="133"/>
        <v>29.482104093750014</v>
      </c>
      <c r="BK36" s="37" t="s">
        <v>165</v>
      </c>
      <c r="BL36" s="38">
        <f t="shared" si="134"/>
        <v>7739.0523246093762</v>
      </c>
      <c r="BM36" s="38">
        <f t="shared" si="135"/>
        <v>368.52630117187505</v>
      </c>
      <c r="BO36" s="37" t="s">
        <v>165</v>
      </c>
      <c r="BP36" s="38">
        <f t="shared" si="136"/>
        <v>9286.8627895312529</v>
      </c>
      <c r="BQ36" s="38">
        <f t="shared" si="137"/>
        <v>442.23156140625019</v>
      </c>
      <c r="BS36" s="37" t="s">
        <v>165</v>
      </c>
      <c r="BT36" s="38">
        <f t="shared" si="138"/>
        <v>6191.2418596875013</v>
      </c>
      <c r="BU36" s="38">
        <f t="shared" si="139"/>
        <v>294.82104093750007</v>
      </c>
      <c r="BV36" s="44"/>
      <c r="BW36" s="37" t="s">
        <v>165</v>
      </c>
      <c r="BX36" s="38">
        <f t="shared" si="140"/>
        <v>2786.0588368593762</v>
      </c>
      <c r="BY36" s="38">
        <f t="shared" si="141"/>
        <v>132.66946842187505</v>
      </c>
      <c r="CA36" s="37" t="s">
        <v>165</v>
      </c>
      <c r="CB36" s="38">
        <f t="shared" si="142"/>
        <v>3095.6209298437507</v>
      </c>
      <c r="CC36" s="38">
        <f t="shared" si="143"/>
        <v>147.41052046875004</v>
      </c>
      <c r="CD36" s="44"/>
      <c r="CE36" s="37" t="s">
        <v>165</v>
      </c>
      <c r="CF36" s="38">
        <f t="shared" si="144"/>
        <v>1547.8104649218753</v>
      </c>
      <c r="CG36" s="38">
        <f t="shared" si="145"/>
        <v>73.705260234375018</v>
      </c>
      <c r="CI36" s="37" t="s">
        <v>165</v>
      </c>
      <c r="CJ36" s="38">
        <f t="shared" si="146"/>
        <v>1547.8104649218753</v>
      </c>
      <c r="CK36" s="38">
        <f t="shared" si="147"/>
        <v>73.705260234375018</v>
      </c>
      <c r="CM36" s="37" t="s">
        <v>165</v>
      </c>
      <c r="CN36" s="38">
        <f t="shared" si="148"/>
        <v>1547.8104649218753</v>
      </c>
      <c r="CO36" s="38">
        <f t="shared" si="149"/>
        <v>73.705260234375018</v>
      </c>
      <c r="CQ36" s="37" t="s">
        <v>165</v>
      </c>
      <c r="CR36" s="38">
        <f t="shared" si="150"/>
        <v>1547.8104649218753</v>
      </c>
      <c r="CS36" s="38">
        <f t="shared" si="151"/>
        <v>73.705260234375018</v>
      </c>
      <c r="CU36" s="37" t="s">
        <v>165</v>
      </c>
      <c r="CV36" s="38">
        <f t="shared" si="152"/>
        <v>0</v>
      </c>
      <c r="CW36" s="38">
        <f t="shared" si="153"/>
        <v>0</v>
      </c>
      <c r="CY36" s="37" t="s">
        <v>165</v>
      </c>
      <c r="CZ36" s="38">
        <f t="shared" si="154"/>
        <v>7119.9281386406274</v>
      </c>
      <c r="DA36" s="38">
        <f t="shared" si="155"/>
        <v>339.04419707812508</v>
      </c>
    </row>
    <row r="37" spans="2:105" x14ac:dyDescent="0.35">
      <c r="B37" s="37"/>
      <c r="C37" s="38"/>
      <c r="D37" s="38"/>
      <c r="E37" s="44"/>
      <c r="F37" s="37"/>
      <c r="G37" s="38"/>
      <c r="H37" s="38"/>
      <c r="J37" s="37"/>
      <c r="K37" s="38"/>
      <c r="L37" s="38"/>
      <c r="N37" s="37"/>
      <c r="O37" s="38"/>
      <c r="P37" s="38"/>
      <c r="R37" s="37"/>
      <c r="S37" s="38"/>
      <c r="T37" s="38"/>
      <c r="W37" s="37"/>
      <c r="X37" s="38"/>
      <c r="Y37" s="38"/>
      <c r="AA37" s="37"/>
      <c r="AB37" s="38"/>
      <c r="AC37" s="38"/>
      <c r="AE37" s="37"/>
      <c r="AF37" s="38"/>
      <c r="AG37" s="38"/>
      <c r="AI37" s="37"/>
      <c r="AJ37" s="38"/>
      <c r="AK37" s="38"/>
      <c r="AL37" s="44"/>
      <c r="AM37" s="37"/>
      <c r="AN37" s="38"/>
      <c r="AO37" s="38"/>
      <c r="AQ37" s="37"/>
      <c r="AR37" s="38"/>
      <c r="AS37" s="38"/>
      <c r="AU37" s="37"/>
      <c r="AV37" s="38"/>
      <c r="AW37" s="38"/>
      <c r="AY37" s="37"/>
      <c r="AZ37" s="38"/>
      <c r="BA37" s="38"/>
      <c r="BC37" s="37"/>
      <c r="BD37" s="38"/>
      <c r="BE37" s="38"/>
      <c r="BG37" s="37"/>
      <c r="BH37" s="38"/>
      <c r="BI37" s="38"/>
      <c r="BK37" s="37"/>
      <c r="BL37" s="38"/>
      <c r="BM37" s="38"/>
      <c r="BO37" s="37"/>
      <c r="BP37" s="38"/>
      <c r="BQ37" s="38"/>
      <c r="BS37" s="37"/>
      <c r="BT37" s="38"/>
      <c r="BU37" s="38"/>
      <c r="BV37" s="44"/>
      <c r="BW37" s="37"/>
      <c r="BX37" s="38"/>
      <c r="BY37" s="38"/>
      <c r="CA37" s="37"/>
      <c r="CB37" s="38"/>
      <c r="CC37" s="38"/>
      <c r="CD37" s="44"/>
      <c r="CE37" s="37"/>
      <c r="CF37" s="38"/>
      <c r="CG37" s="38"/>
      <c r="CI37" s="37"/>
      <c r="CJ37" s="38"/>
      <c r="CK37" s="38"/>
      <c r="CM37" s="37"/>
      <c r="CN37" s="38"/>
      <c r="CO37" s="38"/>
      <c r="CQ37" s="37"/>
      <c r="CR37" s="38"/>
      <c r="CS37" s="38"/>
      <c r="CU37" s="37"/>
      <c r="CV37" s="38"/>
      <c r="CW37" s="38"/>
      <c r="CY37" s="37"/>
      <c r="CZ37" s="38"/>
      <c r="DA37" s="38"/>
    </row>
    <row r="38" spans="2:105" x14ac:dyDescent="0.35">
      <c r="B38" s="37" t="s">
        <v>162</v>
      </c>
      <c r="C38" s="38">
        <f>VLOOKUP(B1,INFSHARES,9,0)</f>
        <v>200</v>
      </c>
      <c r="D38" s="38"/>
      <c r="E38" s="44"/>
      <c r="F38" s="37" t="s">
        <v>162</v>
      </c>
      <c r="G38" s="41">
        <f>VLOOKUP(F1,INFSHARES,9,0)</f>
        <v>0</v>
      </c>
      <c r="H38" s="38"/>
      <c r="J38" s="37" t="s">
        <v>162</v>
      </c>
      <c r="K38" s="41">
        <f>VLOOKUP(J1,INFSHARES,9,0)</f>
        <v>200</v>
      </c>
      <c r="L38" s="38"/>
      <c r="N38" s="37" t="s">
        <v>162</v>
      </c>
      <c r="O38" s="38">
        <f>VLOOKUP(N1,INFSHARES,9,0)</f>
        <v>200</v>
      </c>
      <c r="P38" s="38"/>
      <c r="R38" s="37" t="s">
        <v>162</v>
      </c>
      <c r="S38" s="38">
        <f>VLOOKUP(R1,INFSHARES,9,0)</f>
        <v>200</v>
      </c>
      <c r="T38" s="38"/>
      <c r="W38" s="37" t="s">
        <v>162</v>
      </c>
      <c r="X38" s="38">
        <f>VLOOKUP(W1,INFSHARES,9,0)</f>
        <v>200</v>
      </c>
      <c r="Y38" s="38"/>
      <c r="AA38" s="37" t="s">
        <v>162</v>
      </c>
      <c r="AB38" s="38">
        <f>VLOOKUP(AA1,INFSHARES,9,0)</f>
        <v>200</v>
      </c>
      <c r="AC38" s="38"/>
      <c r="AE38" s="37" t="s">
        <v>162</v>
      </c>
      <c r="AF38" s="38">
        <f>VLOOKUP(AE1,INFSHARES,9,0)</f>
        <v>400</v>
      </c>
      <c r="AG38" s="38"/>
      <c r="AI38" s="37" t="s">
        <v>162</v>
      </c>
      <c r="AJ38" s="38">
        <f>VLOOKUP(AI1,INFSHARES,9,0)</f>
        <v>200</v>
      </c>
      <c r="AK38" s="38"/>
      <c r="AL38" s="44"/>
      <c r="AM38" s="37" t="s">
        <v>162</v>
      </c>
      <c r="AN38" s="38">
        <f>VLOOKUP(AM1,INFSHARES,9,0)</f>
        <v>4800</v>
      </c>
      <c r="AO38" s="38"/>
      <c r="AQ38" s="37" t="s">
        <v>162</v>
      </c>
      <c r="AR38" s="38">
        <f>VLOOKUP(AQ1,INFSHARES,9,0)</f>
        <v>200</v>
      </c>
      <c r="AS38" s="38"/>
      <c r="AU38" s="37" t="s">
        <v>162</v>
      </c>
      <c r="AV38" s="38">
        <f>VLOOKUP(AU1,INFSHARES,9,0)</f>
        <v>200</v>
      </c>
      <c r="AW38" s="38"/>
      <c r="AY38" s="37" t="s">
        <v>162</v>
      </c>
      <c r="AZ38" s="38">
        <f>VLOOKUP(AY1,INFSHARES,9,0)</f>
        <v>200</v>
      </c>
      <c r="BA38" s="38"/>
      <c r="BC38" s="37" t="s">
        <v>162</v>
      </c>
      <c r="BD38" s="38">
        <f>VLOOKUP(BC1,INFSHARES,9,0)</f>
        <v>5000</v>
      </c>
      <c r="BE38" s="38"/>
      <c r="BG38" s="37" t="s">
        <v>162</v>
      </c>
      <c r="BH38" s="38">
        <f>VLOOKUP(BG1,INFSHARES,9,0)</f>
        <v>600</v>
      </c>
      <c r="BI38" s="38"/>
      <c r="BK38" s="37" t="s">
        <v>162</v>
      </c>
      <c r="BL38" s="38">
        <f>VLOOKUP(BK1,INFSHARES,9,0)</f>
        <v>1000</v>
      </c>
      <c r="BM38" s="38"/>
      <c r="BO38" s="37" t="s">
        <v>162</v>
      </c>
      <c r="BP38" s="38">
        <f>VLOOKUP(BO1,INFSHARES,9,0)</f>
        <v>4000</v>
      </c>
      <c r="BQ38" s="38"/>
      <c r="BS38" s="37" t="s">
        <v>162</v>
      </c>
      <c r="BT38" s="38">
        <f>VLOOKUP(BS1,INFSHARES,9,0)</f>
        <v>13000</v>
      </c>
      <c r="BU38" s="38"/>
      <c r="BV38" s="44"/>
      <c r="BW38" s="37" t="s">
        <v>162</v>
      </c>
      <c r="BX38" s="38">
        <f>VLOOKUP(BW1,INFSHARES,9,0)</f>
        <v>8800</v>
      </c>
      <c r="BY38" s="38"/>
      <c r="CA38" s="37" t="s">
        <v>162</v>
      </c>
      <c r="CB38" s="38">
        <f>VLOOKUP(CA1,INFSHARES,9,0)</f>
        <v>200</v>
      </c>
      <c r="CC38" s="38"/>
      <c r="CD38" s="44"/>
      <c r="CE38" s="37" t="s">
        <v>162</v>
      </c>
      <c r="CF38" s="38">
        <f>VLOOKUP(CE1,INFSHARES,9,0)</f>
        <v>200</v>
      </c>
      <c r="CG38" s="38"/>
      <c r="CI38" s="37" t="s">
        <v>162</v>
      </c>
      <c r="CJ38" s="38">
        <f>VLOOKUP(CI1,INFSHARES,9,0)</f>
        <v>5000</v>
      </c>
      <c r="CK38" s="38"/>
      <c r="CM38" s="37" t="s">
        <v>162</v>
      </c>
      <c r="CN38" s="38">
        <f>VLOOKUP(CM1,INFSHARES,9,0)</f>
        <v>2000</v>
      </c>
      <c r="CO38" s="38"/>
      <c r="CQ38" s="37" t="s">
        <v>162</v>
      </c>
      <c r="CR38" s="38">
        <f>VLOOKUP(CQ1,INFSHARES,9,0)</f>
        <v>200</v>
      </c>
      <c r="CS38" s="38"/>
      <c r="CU38" s="37" t="s">
        <v>162</v>
      </c>
      <c r="CV38" s="38">
        <f>VLOOKUP(CU1,INFSHARES,9,0)</f>
        <v>0</v>
      </c>
      <c r="CW38" s="38"/>
      <c r="CY38" s="37" t="s">
        <v>162</v>
      </c>
      <c r="CZ38" s="38">
        <f>VLOOKUP(CY1,INFRACASHshares2025,9,0)</f>
        <v>4600</v>
      </c>
      <c r="DA38" s="38"/>
    </row>
    <row r="39" spans="2:105" x14ac:dyDescent="0.35">
      <c r="B39" s="37" t="s">
        <v>163</v>
      </c>
      <c r="C39" s="38">
        <f>C38*1.1</f>
        <v>220.00000000000003</v>
      </c>
      <c r="D39" s="38">
        <f>C38*0.1</f>
        <v>20</v>
      </c>
      <c r="E39" s="44"/>
      <c r="F39" s="37" t="s">
        <v>163</v>
      </c>
      <c r="G39" s="38">
        <f>G38*1.1</f>
        <v>0</v>
      </c>
      <c r="H39" s="38">
        <f>G38*0.1</f>
        <v>0</v>
      </c>
      <c r="J39" s="37" t="s">
        <v>163</v>
      </c>
      <c r="K39" s="38">
        <f>K38*1.1</f>
        <v>220.00000000000003</v>
      </c>
      <c r="L39" s="38">
        <f>K38*0.1</f>
        <v>20</v>
      </c>
      <c r="N39" s="37" t="s">
        <v>163</v>
      </c>
      <c r="O39" s="38">
        <f>O38*1.1</f>
        <v>220.00000000000003</v>
      </c>
      <c r="P39" s="38">
        <f>O38*0.1</f>
        <v>20</v>
      </c>
      <c r="R39" s="37" t="s">
        <v>163</v>
      </c>
      <c r="S39" s="38">
        <f>S38*1.1</f>
        <v>220.00000000000003</v>
      </c>
      <c r="T39" s="38">
        <f>S38*0.1</f>
        <v>20</v>
      </c>
      <c r="W39" s="37" t="s">
        <v>163</v>
      </c>
      <c r="X39" s="38">
        <f>X38*1.1</f>
        <v>220.00000000000003</v>
      </c>
      <c r="Y39" s="38">
        <f>X38*0.1</f>
        <v>20</v>
      </c>
      <c r="AA39" s="37" t="s">
        <v>163</v>
      </c>
      <c r="AB39" s="38">
        <f>AB38*1.1</f>
        <v>220.00000000000003</v>
      </c>
      <c r="AC39" s="38">
        <f>AB38*0.1</f>
        <v>20</v>
      </c>
      <c r="AE39" s="37" t="s">
        <v>163</v>
      </c>
      <c r="AF39" s="38">
        <f>AF38*1.1</f>
        <v>440.00000000000006</v>
      </c>
      <c r="AG39" s="38">
        <f>AF38*0.1</f>
        <v>40</v>
      </c>
      <c r="AI39" s="37" t="s">
        <v>163</v>
      </c>
      <c r="AJ39" s="38">
        <f>AJ38*1.1</f>
        <v>220.00000000000003</v>
      </c>
      <c r="AK39" s="38">
        <f>AJ38*0.1</f>
        <v>20</v>
      </c>
      <c r="AL39" s="44"/>
      <c r="AM39" s="37" t="s">
        <v>163</v>
      </c>
      <c r="AN39" s="38">
        <f>AN38*1.1</f>
        <v>5280</v>
      </c>
      <c r="AO39" s="38">
        <f>AN38*0.1</f>
        <v>480</v>
      </c>
      <c r="AQ39" s="37" t="s">
        <v>163</v>
      </c>
      <c r="AR39" s="38">
        <f>AR38*1.1</f>
        <v>220.00000000000003</v>
      </c>
      <c r="AS39" s="38">
        <f>AR38*0.1</f>
        <v>20</v>
      </c>
      <c r="AU39" s="37" t="s">
        <v>163</v>
      </c>
      <c r="AV39" s="38">
        <f>AV38*1.1</f>
        <v>220.00000000000003</v>
      </c>
      <c r="AW39" s="38">
        <f>AV38*0.1</f>
        <v>20</v>
      </c>
      <c r="AY39" s="37" t="s">
        <v>163</v>
      </c>
      <c r="AZ39" s="38">
        <f>AZ38*1.1</f>
        <v>220.00000000000003</v>
      </c>
      <c r="BA39" s="38">
        <f>AZ38*0.1</f>
        <v>20</v>
      </c>
      <c r="BC39" s="37" t="s">
        <v>163</v>
      </c>
      <c r="BD39" s="38">
        <f>BD38*1.1</f>
        <v>5500</v>
      </c>
      <c r="BE39" s="38">
        <f>BD38*0.1</f>
        <v>500</v>
      </c>
      <c r="BG39" s="37" t="s">
        <v>163</v>
      </c>
      <c r="BH39" s="38">
        <f>BH38*1.1</f>
        <v>660</v>
      </c>
      <c r="BI39" s="38">
        <f>BH38*0.1</f>
        <v>60</v>
      </c>
      <c r="BK39" s="37" t="s">
        <v>163</v>
      </c>
      <c r="BL39" s="38">
        <f>BL38*1.1</f>
        <v>1100</v>
      </c>
      <c r="BM39" s="38">
        <f>BL38*0.1</f>
        <v>100</v>
      </c>
      <c r="BO39" s="37" t="s">
        <v>163</v>
      </c>
      <c r="BP39" s="38">
        <f>BP38*1.1</f>
        <v>4400</v>
      </c>
      <c r="BQ39" s="38">
        <f>BP38*0.1</f>
        <v>400</v>
      </c>
      <c r="BS39" s="37" t="s">
        <v>163</v>
      </c>
      <c r="BT39" s="38">
        <f>BT38*1.1</f>
        <v>14300.000000000002</v>
      </c>
      <c r="BU39" s="38">
        <f>BT38*0.1</f>
        <v>1300</v>
      </c>
      <c r="BV39" s="44"/>
      <c r="BW39" s="37" t="s">
        <v>163</v>
      </c>
      <c r="BX39" s="38">
        <f>BX38*1.1</f>
        <v>9680</v>
      </c>
      <c r="BY39" s="38">
        <f>BX38*0.1</f>
        <v>880</v>
      </c>
      <c r="CA39" s="37" t="s">
        <v>163</v>
      </c>
      <c r="CB39" s="38">
        <f>CB38*1.1</f>
        <v>220.00000000000003</v>
      </c>
      <c r="CC39" s="38">
        <f>CB38*0.1</f>
        <v>20</v>
      </c>
      <c r="CD39" s="44"/>
      <c r="CE39" s="37" t="s">
        <v>163</v>
      </c>
      <c r="CF39" s="38">
        <f>CF38*1.1</f>
        <v>220.00000000000003</v>
      </c>
      <c r="CG39" s="38">
        <f>CF38*0.1</f>
        <v>20</v>
      </c>
      <c r="CI39" s="37" t="s">
        <v>163</v>
      </c>
      <c r="CJ39" s="38">
        <f>CJ38*1.1</f>
        <v>5500</v>
      </c>
      <c r="CK39" s="38">
        <f>CJ38*0.1</f>
        <v>500</v>
      </c>
      <c r="CM39" s="37" t="s">
        <v>163</v>
      </c>
      <c r="CN39" s="38">
        <f>CN38*1.1</f>
        <v>2200</v>
      </c>
      <c r="CO39" s="38">
        <f>CN38*0.1</f>
        <v>200</v>
      </c>
      <c r="CQ39" s="37" t="s">
        <v>163</v>
      </c>
      <c r="CR39" s="38">
        <f>CR38*1.1</f>
        <v>220.00000000000003</v>
      </c>
      <c r="CS39" s="38">
        <f>CR38*0.1</f>
        <v>20</v>
      </c>
      <c r="CU39" s="37" t="s">
        <v>163</v>
      </c>
      <c r="CV39" s="38">
        <f>CV38*1.1</f>
        <v>0</v>
      </c>
      <c r="CW39" s="38">
        <f>CV38*0.1</f>
        <v>0</v>
      </c>
      <c r="CY39" s="37" t="s">
        <v>163</v>
      </c>
      <c r="CZ39" s="38">
        <f>CZ38*1.1</f>
        <v>5060</v>
      </c>
      <c r="DA39" s="38">
        <f>CZ38*0.1</f>
        <v>460</v>
      </c>
    </row>
    <row r="40" spans="2:105" x14ac:dyDescent="0.35">
      <c r="B40" s="37" t="s">
        <v>166</v>
      </c>
      <c r="C40" s="38">
        <f t="shared" ref="C40:C45" si="156">C39*1.05</f>
        <v>231.00000000000003</v>
      </c>
      <c r="D40" s="38">
        <f t="shared" ref="D40:D45" si="157">C39*0.05</f>
        <v>11.000000000000002</v>
      </c>
      <c r="E40" s="44"/>
      <c r="F40" s="37" t="s">
        <v>166</v>
      </c>
      <c r="G40" s="38">
        <f t="shared" ref="G40:G45" si="158">G39*1.05</f>
        <v>0</v>
      </c>
      <c r="H40" s="38">
        <f t="shared" ref="H40:H45" si="159">G39*0.05</f>
        <v>0</v>
      </c>
      <c r="J40" s="37" t="s">
        <v>166</v>
      </c>
      <c r="K40" s="38">
        <f t="shared" ref="K40:K45" si="160">K39*1.05</f>
        <v>231.00000000000003</v>
      </c>
      <c r="L40" s="38">
        <f t="shared" ref="L40:L45" si="161">K39*0.05</f>
        <v>11.000000000000002</v>
      </c>
      <c r="N40" s="37" t="s">
        <v>166</v>
      </c>
      <c r="O40" s="38">
        <f t="shared" ref="O40:O45" si="162">O39*1.05</f>
        <v>231.00000000000003</v>
      </c>
      <c r="P40" s="38">
        <f t="shared" ref="P40:P45" si="163">O39*0.05</f>
        <v>11.000000000000002</v>
      </c>
      <c r="R40" s="37" t="s">
        <v>166</v>
      </c>
      <c r="S40" s="38">
        <f t="shared" ref="S40:S45" si="164">S39*1.05</f>
        <v>231.00000000000003</v>
      </c>
      <c r="T40" s="38">
        <f t="shared" ref="T40:T45" si="165">S39*0.05</f>
        <v>11.000000000000002</v>
      </c>
      <c r="W40" s="37" t="s">
        <v>166</v>
      </c>
      <c r="X40" s="38">
        <f t="shared" ref="X40:X45" si="166">X39*1.05</f>
        <v>231.00000000000003</v>
      </c>
      <c r="Y40" s="38">
        <f t="shared" ref="Y40:Y45" si="167">X39*0.05</f>
        <v>11.000000000000002</v>
      </c>
      <c r="AA40" s="37" t="s">
        <v>166</v>
      </c>
      <c r="AB40" s="38">
        <f t="shared" ref="AB40:AB45" si="168">AB39*1.05</f>
        <v>231.00000000000003</v>
      </c>
      <c r="AC40" s="38">
        <f t="shared" ref="AC40:AC45" si="169">AB39*0.05</f>
        <v>11.000000000000002</v>
      </c>
      <c r="AE40" s="37" t="s">
        <v>166</v>
      </c>
      <c r="AF40" s="38">
        <f t="shared" ref="AF40:AF45" si="170">AF39*1.05</f>
        <v>462.00000000000006</v>
      </c>
      <c r="AG40" s="38">
        <f t="shared" ref="AG40:AG45" si="171">AF39*0.05</f>
        <v>22.000000000000004</v>
      </c>
      <c r="AI40" s="37" t="s">
        <v>166</v>
      </c>
      <c r="AJ40" s="38">
        <f t="shared" ref="AJ40:AJ45" si="172">AJ39*1.05</f>
        <v>231.00000000000003</v>
      </c>
      <c r="AK40" s="38">
        <f t="shared" ref="AK40:AK45" si="173">AJ39*0.05</f>
        <v>11.000000000000002</v>
      </c>
      <c r="AL40" s="44"/>
      <c r="AM40" s="37" t="s">
        <v>166</v>
      </c>
      <c r="AN40" s="38">
        <f t="shared" ref="AN40:AN45" si="174">AN39*1.05</f>
        <v>5544</v>
      </c>
      <c r="AO40" s="38">
        <f t="shared" ref="AO40:AO45" si="175">AN39*0.05</f>
        <v>264</v>
      </c>
      <c r="AQ40" s="37" t="s">
        <v>166</v>
      </c>
      <c r="AR40" s="38">
        <f t="shared" ref="AR40:AR45" si="176">AR39*1.05</f>
        <v>231.00000000000003</v>
      </c>
      <c r="AS40" s="38">
        <f t="shared" ref="AS40:AS45" si="177">AR39*0.05</f>
        <v>11.000000000000002</v>
      </c>
      <c r="AU40" s="37" t="s">
        <v>166</v>
      </c>
      <c r="AV40" s="38">
        <f t="shared" ref="AV40:AV45" si="178">AV39*1.05</f>
        <v>231.00000000000003</v>
      </c>
      <c r="AW40" s="38">
        <f t="shared" ref="AW40:AW45" si="179">AV39*0.05</f>
        <v>11.000000000000002</v>
      </c>
      <c r="AY40" s="37" t="s">
        <v>166</v>
      </c>
      <c r="AZ40" s="38">
        <f t="shared" ref="AZ40:AZ45" si="180">AZ39*1.05</f>
        <v>231.00000000000003</v>
      </c>
      <c r="BA40" s="38">
        <f t="shared" ref="BA40:BA45" si="181">AZ39*0.05</f>
        <v>11.000000000000002</v>
      </c>
      <c r="BC40" s="37" t="s">
        <v>166</v>
      </c>
      <c r="BD40" s="38">
        <f t="shared" ref="BD40:BD45" si="182">BD39*1.05</f>
        <v>5775</v>
      </c>
      <c r="BE40" s="38">
        <f t="shared" ref="BE40:BE45" si="183">BD39*0.05</f>
        <v>275</v>
      </c>
      <c r="BG40" s="37" t="s">
        <v>166</v>
      </c>
      <c r="BH40" s="38">
        <f t="shared" ref="BH40:BH45" si="184">BH39*1.05</f>
        <v>693</v>
      </c>
      <c r="BI40" s="38">
        <f t="shared" ref="BI40:BI45" si="185">BH39*0.05</f>
        <v>33</v>
      </c>
      <c r="BK40" s="37" t="s">
        <v>166</v>
      </c>
      <c r="BL40" s="38">
        <f t="shared" ref="BL40:BL45" si="186">BL39*1.05</f>
        <v>1155</v>
      </c>
      <c r="BM40" s="38">
        <f t="shared" ref="BM40:BM45" si="187">BL39*0.05</f>
        <v>55</v>
      </c>
      <c r="BO40" s="37" t="s">
        <v>166</v>
      </c>
      <c r="BP40" s="38">
        <f t="shared" ref="BP40:BP45" si="188">BP39*1.05</f>
        <v>4620</v>
      </c>
      <c r="BQ40" s="38">
        <f t="shared" ref="BQ40:BQ45" si="189">BP39*0.05</f>
        <v>220</v>
      </c>
      <c r="BS40" s="37" t="s">
        <v>166</v>
      </c>
      <c r="BT40" s="38">
        <f t="shared" ref="BT40:BT45" si="190">BT39*1.05</f>
        <v>15015.000000000002</v>
      </c>
      <c r="BU40" s="38">
        <f t="shared" ref="BU40:BU45" si="191">BT39*0.05</f>
        <v>715.00000000000011</v>
      </c>
      <c r="BV40" s="44"/>
      <c r="BW40" s="37" t="s">
        <v>166</v>
      </c>
      <c r="BX40" s="38">
        <f t="shared" ref="BX40:BX45" si="192">BX39*1.05</f>
        <v>10164</v>
      </c>
      <c r="BY40" s="38">
        <f t="shared" ref="BY40:BY45" si="193">BX39*0.05</f>
        <v>484</v>
      </c>
      <c r="CA40" s="37" t="s">
        <v>166</v>
      </c>
      <c r="CB40" s="38">
        <f t="shared" ref="CB40:CB45" si="194">CB39*1.05</f>
        <v>231.00000000000003</v>
      </c>
      <c r="CC40" s="38">
        <f t="shared" ref="CC40:CC45" si="195">CB39*0.05</f>
        <v>11.000000000000002</v>
      </c>
      <c r="CD40" s="44"/>
      <c r="CE40" s="37" t="s">
        <v>166</v>
      </c>
      <c r="CF40" s="38">
        <f t="shared" ref="CF40:CF45" si="196">CF39*1.05</f>
        <v>231.00000000000003</v>
      </c>
      <c r="CG40" s="38">
        <f t="shared" ref="CG40:CG45" si="197">CF39*0.05</f>
        <v>11.000000000000002</v>
      </c>
      <c r="CI40" s="37" t="s">
        <v>166</v>
      </c>
      <c r="CJ40" s="38">
        <f t="shared" ref="CJ40:CJ45" si="198">CJ39*1.05</f>
        <v>5775</v>
      </c>
      <c r="CK40" s="38">
        <f t="shared" ref="CK40:CK45" si="199">CJ39*0.05</f>
        <v>275</v>
      </c>
      <c r="CM40" s="37" t="s">
        <v>166</v>
      </c>
      <c r="CN40" s="38">
        <f t="shared" ref="CN40:CN45" si="200">CN39*1.05</f>
        <v>2310</v>
      </c>
      <c r="CO40" s="38">
        <f t="shared" ref="CO40:CO45" si="201">CN39*0.05</f>
        <v>110</v>
      </c>
      <c r="CQ40" s="37" t="s">
        <v>166</v>
      </c>
      <c r="CR40" s="38">
        <f t="shared" ref="CR40:CR45" si="202">CR39*1.05</f>
        <v>231.00000000000003</v>
      </c>
      <c r="CS40" s="38">
        <f t="shared" ref="CS40:CS45" si="203">CR39*0.05</f>
        <v>11.000000000000002</v>
      </c>
      <c r="CU40" s="37" t="s">
        <v>166</v>
      </c>
      <c r="CV40" s="38">
        <f t="shared" ref="CV40:CV45" si="204">CV39*1.05</f>
        <v>0</v>
      </c>
      <c r="CW40" s="38">
        <f t="shared" ref="CW40:CW45" si="205">CV39*0.05</f>
        <v>0</v>
      </c>
      <c r="CY40" s="37" t="s">
        <v>166</v>
      </c>
      <c r="CZ40" s="38">
        <f t="shared" ref="CZ40:CZ45" si="206">CZ39*1.05</f>
        <v>5313</v>
      </c>
      <c r="DA40" s="38">
        <f t="shared" ref="DA40:DA45" si="207">CZ39*0.05</f>
        <v>253</v>
      </c>
    </row>
    <row r="41" spans="2:105" x14ac:dyDescent="0.35">
      <c r="B41" s="37" t="s">
        <v>7</v>
      </c>
      <c r="C41" s="38">
        <f t="shared" si="156"/>
        <v>242.55000000000004</v>
      </c>
      <c r="D41" s="38">
        <f t="shared" si="157"/>
        <v>11.550000000000002</v>
      </c>
      <c r="E41" s="44"/>
      <c r="F41" s="37" t="s">
        <v>7</v>
      </c>
      <c r="G41" s="38">
        <f t="shared" si="158"/>
        <v>0</v>
      </c>
      <c r="H41" s="38">
        <f t="shared" si="159"/>
        <v>0</v>
      </c>
      <c r="J41" s="37" t="s">
        <v>7</v>
      </c>
      <c r="K41" s="38">
        <f t="shared" si="160"/>
        <v>242.55000000000004</v>
      </c>
      <c r="L41" s="38">
        <f t="shared" si="161"/>
        <v>11.550000000000002</v>
      </c>
      <c r="N41" s="37" t="s">
        <v>7</v>
      </c>
      <c r="O41" s="38">
        <f t="shared" si="162"/>
        <v>242.55000000000004</v>
      </c>
      <c r="P41" s="38">
        <f t="shared" si="163"/>
        <v>11.550000000000002</v>
      </c>
      <c r="R41" s="37" t="s">
        <v>7</v>
      </c>
      <c r="S41" s="38">
        <f t="shared" si="164"/>
        <v>242.55000000000004</v>
      </c>
      <c r="T41" s="38">
        <f t="shared" si="165"/>
        <v>11.550000000000002</v>
      </c>
      <c r="W41" s="37" t="s">
        <v>7</v>
      </c>
      <c r="X41" s="38">
        <f t="shared" si="166"/>
        <v>242.55000000000004</v>
      </c>
      <c r="Y41" s="38">
        <f t="shared" si="167"/>
        <v>11.550000000000002</v>
      </c>
      <c r="AA41" s="37" t="s">
        <v>7</v>
      </c>
      <c r="AB41" s="38">
        <f t="shared" si="168"/>
        <v>242.55000000000004</v>
      </c>
      <c r="AC41" s="38">
        <f t="shared" si="169"/>
        <v>11.550000000000002</v>
      </c>
      <c r="AE41" s="37" t="s">
        <v>7</v>
      </c>
      <c r="AF41" s="38">
        <f t="shared" si="170"/>
        <v>485.10000000000008</v>
      </c>
      <c r="AG41" s="38">
        <f t="shared" si="171"/>
        <v>23.100000000000005</v>
      </c>
      <c r="AI41" s="37" t="s">
        <v>7</v>
      </c>
      <c r="AJ41" s="38">
        <f t="shared" si="172"/>
        <v>242.55000000000004</v>
      </c>
      <c r="AK41" s="38">
        <f t="shared" si="173"/>
        <v>11.550000000000002</v>
      </c>
      <c r="AL41" s="44"/>
      <c r="AM41" s="37" t="s">
        <v>7</v>
      </c>
      <c r="AN41" s="38">
        <f t="shared" si="174"/>
        <v>5821.2</v>
      </c>
      <c r="AO41" s="38">
        <f t="shared" si="175"/>
        <v>277.2</v>
      </c>
      <c r="AQ41" s="37" t="s">
        <v>7</v>
      </c>
      <c r="AR41" s="38">
        <f t="shared" si="176"/>
        <v>242.55000000000004</v>
      </c>
      <c r="AS41" s="38">
        <f t="shared" si="177"/>
        <v>11.550000000000002</v>
      </c>
      <c r="AU41" s="37" t="s">
        <v>7</v>
      </c>
      <c r="AV41" s="38">
        <f t="shared" si="178"/>
        <v>242.55000000000004</v>
      </c>
      <c r="AW41" s="38">
        <f t="shared" si="179"/>
        <v>11.550000000000002</v>
      </c>
      <c r="AY41" s="37" t="s">
        <v>7</v>
      </c>
      <c r="AZ41" s="38">
        <f t="shared" si="180"/>
        <v>242.55000000000004</v>
      </c>
      <c r="BA41" s="38">
        <f t="shared" si="181"/>
        <v>11.550000000000002</v>
      </c>
      <c r="BC41" s="37" t="s">
        <v>7</v>
      </c>
      <c r="BD41" s="38">
        <f t="shared" si="182"/>
        <v>6063.75</v>
      </c>
      <c r="BE41" s="38">
        <f t="shared" si="183"/>
        <v>288.75</v>
      </c>
      <c r="BG41" s="37" t="s">
        <v>7</v>
      </c>
      <c r="BH41" s="38">
        <f t="shared" si="184"/>
        <v>727.65</v>
      </c>
      <c r="BI41" s="38">
        <f t="shared" si="185"/>
        <v>34.65</v>
      </c>
      <c r="BK41" s="37" t="s">
        <v>7</v>
      </c>
      <c r="BL41" s="38">
        <f t="shared" si="186"/>
        <v>1212.75</v>
      </c>
      <c r="BM41" s="38">
        <f t="shared" si="187"/>
        <v>57.75</v>
      </c>
      <c r="BO41" s="37" t="s">
        <v>7</v>
      </c>
      <c r="BP41" s="38">
        <f t="shared" si="188"/>
        <v>4851</v>
      </c>
      <c r="BQ41" s="38">
        <f t="shared" si="189"/>
        <v>231</v>
      </c>
      <c r="BS41" s="37" t="s">
        <v>7</v>
      </c>
      <c r="BT41" s="38">
        <f t="shared" si="190"/>
        <v>15765.750000000002</v>
      </c>
      <c r="BU41" s="38">
        <f t="shared" si="191"/>
        <v>750.75000000000011</v>
      </c>
      <c r="BV41" s="44"/>
      <c r="BW41" s="37" t="s">
        <v>7</v>
      </c>
      <c r="BX41" s="38">
        <f t="shared" si="192"/>
        <v>10672.2</v>
      </c>
      <c r="BY41" s="38">
        <f t="shared" si="193"/>
        <v>508.20000000000005</v>
      </c>
      <c r="CA41" s="37" t="s">
        <v>7</v>
      </c>
      <c r="CB41" s="38">
        <f t="shared" si="194"/>
        <v>242.55000000000004</v>
      </c>
      <c r="CC41" s="38">
        <f t="shared" si="195"/>
        <v>11.550000000000002</v>
      </c>
      <c r="CD41" s="44"/>
      <c r="CE41" s="37" t="s">
        <v>7</v>
      </c>
      <c r="CF41" s="38">
        <f t="shared" si="196"/>
        <v>242.55000000000004</v>
      </c>
      <c r="CG41" s="38">
        <f t="shared" si="197"/>
        <v>11.550000000000002</v>
      </c>
      <c r="CI41" s="37" t="s">
        <v>7</v>
      </c>
      <c r="CJ41" s="38">
        <f t="shared" si="198"/>
        <v>6063.75</v>
      </c>
      <c r="CK41" s="38">
        <f t="shared" si="199"/>
        <v>288.75</v>
      </c>
      <c r="CM41" s="37" t="s">
        <v>7</v>
      </c>
      <c r="CN41" s="38">
        <f t="shared" si="200"/>
        <v>2425.5</v>
      </c>
      <c r="CO41" s="38">
        <f t="shared" si="201"/>
        <v>115.5</v>
      </c>
      <c r="CQ41" s="37" t="s">
        <v>7</v>
      </c>
      <c r="CR41" s="38">
        <f t="shared" si="202"/>
        <v>242.55000000000004</v>
      </c>
      <c r="CS41" s="38">
        <f t="shared" si="203"/>
        <v>11.550000000000002</v>
      </c>
      <c r="CU41" s="37" t="s">
        <v>7</v>
      </c>
      <c r="CV41" s="38">
        <f t="shared" si="204"/>
        <v>0</v>
      </c>
      <c r="CW41" s="38">
        <f t="shared" si="205"/>
        <v>0</v>
      </c>
      <c r="CY41" s="37" t="s">
        <v>7</v>
      </c>
      <c r="CZ41" s="38">
        <f t="shared" si="206"/>
        <v>5578.6500000000005</v>
      </c>
      <c r="DA41" s="38">
        <f t="shared" si="207"/>
        <v>265.65000000000003</v>
      </c>
    </row>
    <row r="42" spans="2:105" x14ac:dyDescent="0.35">
      <c r="B42" s="37" t="s">
        <v>8</v>
      </c>
      <c r="C42" s="38">
        <f t="shared" si="156"/>
        <v>254.67750000000007</v>
      </c>
      <c r="D42" s="38">
        <f t="shared" si="157"/>
        <v>12.127500000000003</v>
      </c>
      <c r="E42" s="44"/>
      <c r="F42" s="37" t="s">
        <v>8</v>
      </c>
      <c r="G42" s="38">
        <f t="shared" si="158"/>
        <v>0</v>
      </c>
      <c r="H42" s="38">
        <f t="shared" si="159"/>
        <v>0</v>
      </c>
      <c r="J42" s="37" t="s">
        <v>8</v>
      </c>
      <c r="K42" s="38">
        <f t="shared" si="160"/>
        <v>254.67750000000007</v>
      </c>
      <c r="L42" s="38">
        <f t="shared" si="161"/>
        <v>12.127500000000003</v>
      </c>
      <c r="N42" s="37" t="s">
        <v>8</v>
      </c>
      <c r="O42" s="38">
        <f t="shared" si="162"/>
        <v>254.67750000000007</v>
      </c>
      <c r="P42" s="38">
        <f t="shared" si="163"/>
        <v>12.127500000000003</v>
      </c>
      <c r="R42" s="37" t="s">
        <v>8</v>
      </c>
      <c r="S42" s="38">
        <f t="shared" si="164"/>
        <v>254.67750000000007</v>
      </c>
      <c r="T42" s="38">
        <f t="shared" si="165"/>
        <v>12.127500000000003</v>
      </c>
      <c r="W42" s="37" t="s">
        <v>8</v>
      </c>
      <c r="X42" s="38">
        <f t="shared" si="166"/>
        <v>254.67750000000007</v>
      </c>
      <c r="Y42" s="38">
        <f t="shared" si="167"/>
        <v>12.127500000000003</v>
      </c>
      <c r="AA42" s="37" t="s">
        <v>8</v>
      </c>
      <c r="AB42" s="38">
        <f t="shared" si="168"/>
        <v>254.67750000000007</v>
      </c>
      <c r="AC42" s="38">
        <f t="shared" si="169"/>
        <v>12.127500000000003</v>
      </c>
      <c r="AE42" s="37" t="s">
        <v>8</v>
      </c>
      <c r="AF42" s="38">
        <f t="shared" si="170"/>
        <v>509.35500000000013</v>
      </c>
      <c r="AG42" s="38">
        <f t="shared" si="171"/>
        <v>24.255000000000006</v>
      </c>
      <c r="AI42" s="37" t="s">
        <v>8</v>
      </c>
      <c r="AJ42" s="38">
        <f t="shared" si="172"/>
        <v>254.67750000000007</v>
      </c>
      <c r="AK42" s="38">
        <f t="shared" si="173"/>
        <v>12.127500000000003</v>
      </c>
      <c r="AL42" s="44"/>
      <c r="AM42" s="37" t="s">
        <v>8</v>
      </c>
      <c r="AN42" s="38">
        <f t="shared" si="174"/>
        <v>6112.26</v>
      </c>
      <c r="AO42" s="38">
        <f t="shared" si="175"/>
        <v>291.06</v>
      </c>
      <c r="AQ42" s="37" t="s">
        <v>8</v>
      </c>
      <c r="AR42" s="38">
        <f t="shared" si="176"/>
        <v>254.67750000000007</v>
      </c>
      <c r="AS42" s="38">
        <f t="shared" si="177"/>
        <v>12.127500000000003</v>
      </c>
      <c r="AU42" s="37" t="s">
        <v>8</v>
      </c>
      <c r="AV42" s="38">
        <f t="shared" si="178"/>
        <v>254.67750000000007</v>
      </c>
      <c r="AW42" s="38">
        <f t="shared" si="179"/>
        <v>12.127500000000003</v>
      </c>
      <c r="AY42" s="37" t="s">
        <v>8</v>
      </c>
      <c r="AZ42" s="38">
        <f t="shared" si="180"/>
        <v>254.67750000000007</v>
      </c>
      <c r="BA42" s="38">
        <f t="shared" si="181"/>
        <v>12.127500000000003</v>
      </c>
      <c r="BC42" s="37" t="s">
        <v>8</v>
      </c>
      <c r="BD42" s="38">
        <f t="shared" si="182"/>
        <v>6366.9375</v>
      </c>
      <c r="BE42" s="38">
        <f t="shared" si="183"/>
        <v>303.1875</v>
      </c>
      <c r="BG42" s="37" t="s">
        <v>8</v>
      </c>
      <c r="BH42" s="38">
        <f t="shared" si="184"/>
        <v>764.03250000000003</v>
      </c>
      <c r="BI42" s="38">
        <f t="shared" si="185"/>
        <v>36.3825</v>
      </c>
      <c r="BK42" s="37" t="s">
        <v>8</v>
      </c>
      <c r="BL42" s="38">
        <f t="shared" si="186"/>
        <v>1273.3875</v>
      </c>
      <c r="BM42" s="38">
        <f t="shared" si="187"/>
        <v>60.637500000000003</v>
      </c>
      <c r="BO42" s="37" t="s">
        <v>8</v>
      </c>
      <c r="BP42" s="38">
        <f t="shared" si="188"/>
        <v>5093.55</v>
      </c>
      <c r="BQ42" s="38">
        <f t="shared" si="189"/>
        <v>242.55</v>
      </c>
      <c r="BS42" s="37" t="s">
        <v>8</v>
      </c>
      <c r="BT42" s="38">
        <f t="shared" si="190"/>
        <v>16554.037500000002</v>
      </c>
      <c r="BU42" s="38">
        <f t="shared" si="191"/>
        <v>788.28750000000014</v>
      </c>
      <c r="BV42" s="44"/>
      <c r="BW42" s="37" t="s">
        <v>8</v>
      </c>
      <c r="BX42" s="38">
        <f t="shared" si="192"/>
        <v>11205.810000000001</v>
      </c>
      <c r="BY42" s="38">
        <f t="shared" si="193"/>
        <v>533.61</v>
      </c>
      <c r="CA42" s="37" t="s">
        <v>8</v>
      </c>
      <c r="CB42" s="38">
        <f t="shared" si="194"/>
        <v>254.67750000000007</v>
      </c>
      <c r="CC42" s="38">
        <f t="shared" si="195"/>
        <v>12.127500000000003</v>
      </c>
      <c r="CD42" s="44"/>
      <c r="CE42" s="37" t="s">
        <v>8</v>
      </c>
      <c r="CF42" s="38">
        <f t="shared" si="196"/>
        <v>254.67750000000007</v>
      </c>
      <c r="CG42" s="38">
        <f t="shared" si="197"/>
        <v>12.127500000000003</v>
      </c>
      <c r="CI42" s="37" t="s">
        <v>8</v>
      </c>
      <c r="CJ42" s="38">
        <f t="shared" si="198"/>
        <v>6366.9375</v>
      </c>
      <c r="CK42" s="38">
        <f t="shared" si="199"/>
        <v>303.1875</v>
      </c>
      <c r="CM42" s="37" t="s">
        <v>8</v>
      </c>
      <c r="CN42" s="38">
        <f t="shared" si="200"/>
        <v>2546.7750000000001</v>
      </c>
      <c r="CO42" s="38">
        <f t="shared" si="201"/>
        <v>121.27500000000001</v>
      </c>
      <c r="CQ42" s="37" t="s">
        <v>8</v>
      </c>
      <c r="CR42" s="38">
        <f t="shared" si="202"/>
        <v>254.67750000000007</v>
      </c>
      <c r="CS42" s="38">
        <f t="shared" si="203"/>
        <v>12.127500000000003</v>
      </c>
      <c r="CU42" s="37" t="s">
        <v>8</v>
      </c>
      <c r="CV42" s="38">
        <f t="shared" si="204"/>
        <v>0</v>
      </c>
      <c r="CW42" s="38">
        <f t="shared" si="205"/>
        <v>0</v>
      </c>
      <c r="CY42" s="37" t="s">
        <v>8</v>
      </c>
      <c r="CZ42" s="38">
        <f t="shared" si="206"/>
        <v>5857.5825000000004</v>
      </c>
      <c r="DA42" s="38">
        <f t="shared" si="207"/>
        <v>278.93250000000006</v>
      </c>
    </row>
    <row r="43" spans="2:105" x14ac:dyDescent="0.35">
      <c r="B43" s="37" t="s">
        <v>9</v>
      </c>
      <c r="C43" s="38">
        <f t="shared" si="156"/>
        <v>267.41137500000008</v>
      </c>
      <c r="D43" s="38">
        <f t="shared" si="157"/>
        <v>12.733875000000005</v>
      </c>
      <c r="E43" s="44"/>
      <c r="F43" s="37" t="s">
        <v>9</v>
      </c>
      <c r="G43" s="38">
        <f t="shared" si="158"/>
        <v>0</v>
      </c>
      <c r="H43" s="38">
        <f t="shared" si="159"/>
        <v>0</v>
      </c>
      <c r="J43" s="37" t="s">
        <v>9</v>
      </c>
      <c r="K43" s="38">
        <f t="shared" si="160"/>
        <v>267.41137500000008</v>
      </c>
      <c r="L43" s="38">
        <f t="shared" si="161"/>
        <v>12.733875000000005</v>
      </c>
      <c r="N43" s="37" t="s">
        <v>9</v>
      </c>
      <c r="O43" s="38">
        <f t="shared" si="162"/>
        <v>267.41137500000008</v>
      </c>
      <c r="P43" s="38">
        <f t="shared" si="163"/>
        <v>12.733875000000005</v>
      </c>
      <c r="R43" s="37" t="s">
        <v>9</v>
      </c>
      <c r="S43" s="38">
        <f t="shared" si="164"/>
        <v>267.41137500000008</v>
      </c>
      <c r="T43" s="38">
        <f t="shared" si="165"/>
        <v>12.733875000000005</v>
      </c>
      <c r="W43" s="37" t="s">
        <v>9</v>
      </c>
      <c r="X43" s="38">
        <f t="shared" si="166"/>
        <v>267.41137500000008</v>
      </c>
      <c r="Y43" s="38">
        <f t="shared" si="167"/>
        <v>12.733875000000005</v>
      </c>
      <c r="AA43" s="37" t="s">
        <v>9</v>
      </c>
      <c r="AB43" s="38">
        <f t="shared" si="168"/>
        <v>267.41137500000008</v>
      </c>
      <c r="AC43" s="38">
        <f t="shared" si="169"/>
        <v>12.733875000000005</v>
      </c>
      <c r="AE43" s="37" t="s">
        <v>9</v>
      </c>
      <c r="AF43" s="38">
        <f t="shared" si="170"/>
        <v>534.82275000000016</v>
      </c>
      <c r="AG43" s="38">
        <f t="shared" si="171"/>
        <v>25.467750000000009</v>
      </c>
      <c r="AI43" s="37" t="s">
        <v>9</v>
      </c>
      <c r="AJ43" s="38">
        <f t="shared" si="172"/>
        <v>267.41137500000008</v>
      </c>
      <c r="AK43" s="38">
        <f t="shared" si="173"/>
        <v>12.733875000000005</v>
      </c>
      <c r="AL43" s="44"/>
      <c r="AM43" s="37" t="s">
        <v>9</v>
      </c>
      <c r="AN43" s="38">
        <f t="shared" si="174"/>
        <v>6417.8730000000005</v>
      </c>
      <c r="AO43" s="38">
        <f t="shared" si="175"/>
        <v>305.613</v>
      </c>
      <c r="AQ43" s="37" t="s">
        <v>9</v>
      </c>
      <c r="AR43" s="38">
        <f t="shared" si="176"/>
        <v>267.41137500000008</v>
      </c>
      <c r="AS43" s="38">
        <f t="shared" si="177"/>
        <v>12.733875000000005</v>
      </c>
      <c r="AU43" s="37" t="s">
        <v>9</v>
      </c>
      <c r="AV43" s="38">
        <f t="shared" si="178"/>
        <v>267.41137500000008</v>
      </c>
      <c r="AW43" s="38">
        <f t="shared" si="179"/>
        <v>12.733875000000005</v>
      </c>
      <c r="AY43" s="37" t="s">
        <v>9</v>
      </c>
      <c r="AZ43" s="38">
        <f t="shared" si="180"/>
        <v>267.41137500000008</v>
      </c>
      <c r="BA43" s="38">
        <f t="shared" si="181"/>
        <v>12.733875000000005</v>
      </c>
      <c r="BC43" s="37" t="s">
        <v>9</v>
      </c>
      <c r="BD43" s="38">
        <f t="shared" si="182"/>
        <v>6685.2843750000002</v>
      </c>
      <c r="BE43" s="38">
        <f t="shared" si="183"/>
        <v>318.34687500000001</v>
      </c>
      <c r="BG43" s="37" t="s">
        <v>9</v>
      </c>
      <c r="BH43" s="38">
        <f t="shared" si="184"/>
        <v>802.23412500000006</v>
      </c>
      <c r="BI43" s="38">
        <f t="shared" si="185"/>
        <v>38.201625</v>
      </c>
      <c r="BK43" s="37" t="s">
        <v>9</v>
      </c>
      <c r="BL43" s="38">
        <f t="shared" si="186"/>
        <v>1337.056875</v>
      </c>
      <c r="BM43" s="38">
        <f t="shared" si="187"/>
        <v>63.669375000000002</v>
      </c>
      <c r="BO43" s="37" t="s">
        <v>9</v>
      </c>
      <c r="BP43" s="38">
        <f t="shared" si="188"/>
        <v>5348.2275</v>
      </c>
      <c r="BQ43" s="38">
        <f t="shared" si="189"/>
        <v>254.67750000000001</v>
      </c>
      <c r="BS43" s="37" t="s">
        <v>9</v>
      </c>
      <c r="BT43" s="38">
        <f t="shared" si="190"/>
        <v>17381.739375000005</v>
      </c>
      <c r="BU43" s="38">
        <f t="shared" si="191"/>
        <v>827.7018750000002</v>
      </c>
      <c r="BV43" s="44"/>
      <c r="BW43" s="37" t="s">
        <v>9</v>
      </c>
      <c r="BX43" s="38">
        <f t="shared" si="192"/>
        <v>11766.100500000002</v>
      </c>
      <c r="BY43" s="38">
        <f t="shared" si="193"/>
        <v>560.29050000000007</v>
      </c>
      <c r="CA43" s="37" t="s">
        <v>9</v>
      </c>
      <c r="CB43" s="38">
        <f t="shared" si="194"/>
        <v>267.41137500000008</v>
      </c>
      <c r="CC43" s="38">
        <f t="shared" si="195"/>
        <v>12.733875000000005</v>
      </c>
      <c r="CD43" s="44"/>
      <c r="CE43" s="37" t="s">
        <v>9</v>
      </c>
      <c r="CF43" s="38">
        <f t="shared" si="196"/>
        <v>267.41137500000008</v>
      </c>
      <c r="CG43" s="38">
        <f t="shared" si="197"/>
        <v>12.733875000000005</v>
      </c>
      <c r="CI43" s="37" t="s">
        <v>9</v>
      </c>
      <c r="CJ43" s="38">
        <f t="shared" si="198"/>
        <v>6685.2843750000002</v>
      </c>
      <c r="CK43" s="38">
        <f t="shared" si="199"/>
        <v>318.34687500000001</v>
      </c>
      <c r="CM43" s="37" t="s">
        <v>9</v>
      </c>
      <c r="CN43" s="38">
        <f t="shared" si="200"/>
        <v>2674.11375</v>
      </c>
      <c r="CO43" s="38">
        <f t="shared" si="201"/>
        <v>127.33875</v>
      </c>
      <c r="CQ43" s="37" t="s">
        <v>9</v>
      </c>
      <c r="CR43" s="38">
        <f t="shared" si="202"/>
        <v>267.41137500000008</v>
      </c>
      <c r="CS43" s="38">
        <f t="shared" si="203"/>
        <v>12.733875000000005</v>
      </c>
      <c r="CU43" s="37" t="s">
        <v>9</v>
      </c>
      <c r="CV43" s="38">
        <f t="shared" si="204"/>
        <v>0</v>
      </c>
      <c r="CW43" s="38">
        <f t="shared" si="205"/>
        <v>0</v>
      </c>
      <c r="CY43" s="37" t="s">
        <v>9</v>
      </c>
      <c r="CZ43" s="38">
        <f t="shared" si="206"/>
        <v>6150.4616250000008</v>
      </c>
      <c r="DA43" s="38">
        <f t="shared" si="207"/>
        <v>292.87912500000004</v>
      </c>
    </row>
    <row r="44" spans="2:105" x14ac:dyDescent="0.35">
      <c r="B44" s="37" t="s">
        <v>164</v>
      </c>
      <c r="C44" s="38">
        <f t="shared" si="156"/>
        <v>280.7819437500001</v>
      </c>
      <c r="D44" s="38">
        <f t="shared" si="157"/>
        <v>13.370568750000004</v>
      </c>
      <c r="E44" s="44"/>
      <c r="F44" s="37" t="s">
        <v>164</v>
      </c>
      <c r="G44" s="38">
        <f t="shared" si="158"/>
        <v>0</v>
      </c>
      <c r="H44" s="38">
        <f t="shared" si="159"/>
        <v>0</v>
      </c>
      <c r="J44" s="37" t="s">
        <v>164</v>
      </c>
      <c r="K44" s="38">
        <f t="shared" si="160"/>
        <v>280.7819437500001</v>
      </c>
      <c r="L44" s="38">
        <f t="shared" si="161"/>
        <v>13.370568750000004</v>
      </c>
      <c r="N44" s="37" t="s">
        <v>164</v>
      </c>
      <c r="O44" s="38">
        <f t="shared" si="162"/>
        <v>280.7819437500001</v>
      </c>
      <c r="P44" s="38">
        <f t="shared" si="163"/>
        <v>13.370568750000004</v>
      </c>
      <c r="R44" s="37" t="s">
        <v>164</v>
      </c>
      <c r="S44" s="38">
        <f t="shared" si="164"/>
        <v>280.7819437500001</v>
      </c>
      <c r="T44" s="38">
        <f t="shared" si="165"/>
        <v>13.370568750000004</v>
      </c>
      <c r="W44" s="37" t="s">
        <v>164</v>
      </c>
      <c r="X44" s="38">
        <f t="shared" si="166"/>
        <v>280.7819437500001</v>
      </c>
      <c r="Y44" s="38">
        <f t="shared" si="167"/>
        <v>13.370568750000004</v>
      </c>
      <c r="AA44" s="37" t="s">
        <v>164</v>
      </c>
      <c r="AB44" s="38">
        <f t="shared" si="168"/>
        <v>280.7819437500001</v>
      </c>
      <c r="AC44" s="38">
        <f t="shared" si="169"/>
        <v>13.370568750000004</v>
      </c>
      <c r="AE44" s="37" t="s">
        <v>164</v>
      </c>
      <c r="AF44" s="38">
        <f t="shared" si="170"/>
        <v>561.56388750000019</v>
      </c>
      <c r="AG44" s="38">
        <f t="shared" si="171"/>
        <v>26.741137500000008</v>
      </c>
      <c r="AI44" s="37" t="s">
        <v>164</v>
      </c>
      <c r="AJ44" s="38">
        <f t="shared" si="172"/>
        <v>280.7819437500001</v>
      </c>
      <c r="AK44" s="38">
        <f t="shared" si="173"/>
        <v>13.370568750000004</v>
      </c>
      <c r="AL44" s="44"/>
      <c r="AM44" s="37" t="s">
        <v>164</v>
      </c>
      <c r="AN44" s="38">
        <f t="shared" si="174"/>
        <v>6738.7666500000005</v>
      </c>
      <c r="AO44" s="38">
        <f t="shared" si="175"/>
        <v>320.89365000000004</v>
      </c>
      <c r="AQ44" s="37" t="s">
        <v>164</v>
      </c>
      <c r="AR44" s="38">
        <f t="shared" si="176"/>
        <v>280.7819437500001</v>
      </c>
      <c r="AS44" s="38">
        <f t="shared" si="177"/>
        <v>13.370568750000004</v>
      </c>
      <c r="AU44" s="37" t="s">
        <v>164</v>
      </c>
      <c r="AV44" s="38">
        <f t="shared" si="178"/>
        <v>280.7819437500001</v>
      </c>
      <c r="AW44" s="38">
        <f t="shared" si="179"/>
        <v>13.370568750000004</v>
      </c>
      <c r="AY44" s="37" t="s">
        <v>164</v>
      </c>
      <c r="AZ44" s="38">
        <f t="shared" si="180"/>
        <v>280.7819437500001</v>
      </c>
      <c r="BA44" s="38">
        <f t="shared" si="181"/>
        <v>13.370568750000004</v>
      </c>
      <c r="BC44" s="37" t="s">
        <v>164</v>
      </c>
      <c r="BD44" s="38">
        <f t="shared" si="182"/>
        <v>7019.5485937500007</v>
      </c>
      <c r="BE44" s="38">
        <f t="shared" si="183"/>
        <v>334.26421875000005</v>
      </c>
      <c r="BG44" s="37" t="s">
        <v>164</v>
      </c>
      <c r="BH44" s="38">
        <f t="shared" si="184"/>
        <v>842.34583125000006</v>
      </c>
      <c r="BI44" s="38">
        <f t="shared" si="185"/>
        <v>40.111706250000005</v>
      </c>
      <c r="BK44" s="37" t="s">
        <v>164</v>
      </c>
      <c r="BL44" s="38">
        <f t="shared" si="186"/>
        <v>1403.9097187500001</v>
      </c>
      <c r="BM44" s="38">
        <f t="shared" si="187"/>
        <v>66.852843750000005</v>
      </c>
      <c r="BO44" s="37" t="s">
        <v>164</v>
      </c>
      <c r="BP44" s="38">
        <f t="shared" si="188"/>
        <v>5615.6388750000006</v>
      </c>
      <c r="BQ44" s="38">
        <f t="shared" si="189"/>
        <v>267.41137500000002</v>
      </c>
      <c r="BS44" s="37" t="s">
        <v>164</v>
      </c>
      <c r="BT44" s="38">
        <f t="shared" si="190"/>
        <v>18250.826343750006</v>
      </c>
      <c r="BU44" s="38">
        <f t="shared" si="191"/>
        <v>869.08696875000032</v>
      </c>
      <c r="BV44" s="44"/>
      <c r="BW44" s="37" t="s">
        <v>164</v>
      </c>
      <c r="BX44" s="38">
        <f t="shared" si="192"/>
        <v>12354.405525000004</v>
      </c>
      <c r="BY44" s="38">
        <f t="shared" si="193"/>
        <v>588.30502500000011</v>
      </c>
      <c r="CA44" s="37" t="s">
        <v>164</v>
      </c>
      <c r="CB44" s="38">
        <f t="shared" si="194"/>
        <v>280.7819437500001</v>
      </c>
      <c r="CC44" s="38">
        <f t="shared" si="195"/>
        <v>13.370568750000004</v>
      </c>
      <c r="CD44" s="44"/>
      <c r="CE44" s="37" t="s">
        <v>164</v>
      </c>
      <c r="CF44" s="38">
        <f t="shared" si="196"/>
        <v>280.7819437500001</v>
      </c>
      <c r="CG44" s="38">
        <f t="shared" si="197"/>
        <v>13.370568750000004</v>
      </c>
      <c r="CI44" s="37" t="s">
        <v>164</v>
      </c>
      <c r="CJ44" s="38">
        <f t="shared" si="198"/>
        <v>7019.5485937500007</v>
      </c>
      <c r="CK44" s="38">
        <f t="shared" si="199"/>
        <v>334.26421875000005</v>
      </c>
      <c r="CM44" s="37" t="s">
        <v>164</v>
      </c>
      <c r="CN44" s="38">
        <f t="shared" si="200"/>
        <v>2807.8194375000003</v>
      </c>
      <c r="CO44" s="38">
        <f t="shared" si="201"/>
        <v>133.70568750000001</v>
      </c>
      <c r="CQ44" s="37" t="s">
        <v>164</v>
      </c>
      <c r="CR44" s="38">
        <f t="shared" si="202"/>
        <v>280.7819437500001</v>
      </c>
      <c r="CS44" s="38">
        <f t="shared" si="203"/>
        <v>13.370568750000004</v>
      </c>
      <c r="CU44" s="37" t="s">
        <v>164</v>
      </c>
      <c r="CV44" s="38">
        <f t="shared" si="204"/>
        <v>0</v>
      </c>
      <c r="CW44" s="38">
        <f t="shared" si="205"/>
        <v>0</v>
      </c>
      <c r="CY44" s="37" t="s">
        <v>164</v>
      </c>
      <c r="CZ44" s="38">
        <f t="shared" si="206"/>
        <v>6457.9847062500012</v>
      </c>
      <c r="DA44" s="38">
        <f t="shared" si="207"/>
        <v>307.52308125000008</v>
      </c>
    </row>
    <row r="45" spans="2:105" x14ac:dyDescent="0.35">
      <c r="B45" s="37" t="s">
        <v>165</v>
      </c>
      <c r="C45" s="38">
        <f t="shared" si="156"/>
        <v>294.82104093750013</v>
      </c>
      <c r="D45" s="38">
        <f t="shared" si="157"/>
        <v>14.039097187500005</v>
      </c>
      <c r="E45" s="44"/>
      <c r="F45" s="37" t="s">
        <v>165</v>
      </c>
      <c r="G45" s="38">
        <f t="shared" si="158"/>
        <v>0</v>
      </c>
      <c r="H45" s="38">
        <f t="shared" si="159"/>
        <v>0</v>
      </c>
      <c r="J45" s="37" t="s">
        <v>165</v>
      </c>
      <c r="K45" s="38">
        <f t="shared" si="160"/>
        <v>294.82104093750013</v>
      </c>
      <c r="L45" s="38">
        <f t="shared" si="161"/>
        <v>14.039097187500005</v>
      </c>
      <c r="N45" s="37" t="s">
        <v>165</v>
      </c>
      <c r="O45" s="38">
        <f t="shared" si="162"/>
        <v>294.82104093750013</v>
      </c>
      <c r="P45" s="38">
        <f t="shared" si="163"/>
        <v>14.039097187500005</v>
      </c>
      <c r="R45" s="37" t="s">
        <v>165</v>
      </c>
      <c r="S45" s="38">
        <f t="shared" si="164"/>
        <v>294.82104093750013</v>
      </c>
      <c r="T45" s="38">
        <f t="shared" si="165"/>
        <v>14.039097187500005</v>
      </c>
      <c r="W45" s="37" t="s">
        <v>165</v>
      </c>
      <c r="X45" s="38">
        <f t="shared" si="166"/>
        <v>294.82104093750013</v>
      </c>
      <c r="Y45" s="38">
        <f t="shared" si="167"/>
        <v>14.039097187500005</v>
      </c>
      <c r="AA45" s="37" t="s">
        <v>165</v>
      </c>
      <c r="AB45" s="38">
        <f t="shared" si="168"/>
        <v>294.82104093750013</v>
      </c>
      <c r="AC45" s="38">
        <f t="shared" si="169"/>
        <v>14.039097187500005</v>
      </c>
      <c r="AE45" s="37" t="s">
        <v>165</v>
      </c>
      <c r="AF45" s="38">
        <f t="shared" si="170"/>
        <v>589.64208187500026</v>
      </c>
      <c r="AG45" s="38">
        <f t="shared" si="171"/>
        <v>28.07819437500001</v>
      </c>
      <c r="AI45" s="37" t="s">
        <v>165</v>
      </c>
      <c r="AJ45" s="38">
        <f t="shared" si="172"/>
        <v>294.82104093750013</v>
      </c>
      <c r="AK45" s="38">
        <f t="shared" si="173"/>
        <v>14.039097187500005</v>
      </c>
      <c r="AL45" s="44"/>
      <c r="AM45" s="37" t="s">
        <v>165</v>
      </c>
      <c r="AN45" s="38">
        <f t="shared" si="174"/>
        <v>7075.7049825000004</v>
      </c>
      <c r="AO45" s="38">
        <f t="shared" si="175"/>
        <v>336.93833250000006</v>
      </c>
      <c r="AQ45" s="37" t="s">
        <v>165</v>
      </c>
      <c r="AR45" s="38">
        <f t="shared" si="176"/>
        <v>294.82104093750013</v>
      </c>
      <c r="AS45" s="38">
        <f t="shared" si="177"/>
        <v>14.039097187500005</v>
      </c>
      <c r="AU45" s="37" t="s">
        <v>165</v>
      </c>
      <c r="AV45" s="38">
        <f t="shared" si="178"/>
        <v>294.82104093750013</v>
      </c>
      <c r="AW45" s="38">
        <f t="shared" si="179"/>
        <v>14.039097187500005</v>
      </c>
      <c r="AY45" s="37" t="s">
        <v>165</v>
      </c>
      <c r="AZ45" s="38">
        <f t="shared" si="180"/>
        <v>294.82104093750013</v>
      </c>
      <c r="BA45" s="38">
        <f t="shared" si="181"/>
        <v>14.039097187500005</v>
      </c>
      <c r="BC45" s="37" t="s">
        <v>165</v>
      </c>
      <c r="BD45" s="38">
        <f t="shared" si="182"/>
        <v>7370.526023437501</v>
      </c>
      <c r="BE45" s="38">
        <f t="shared" si="183"/>
        <v>350.97742968750003</v>
      </c>
      <c r="BG45" s="37" t="s">
        <v>165</v>
      </c>
      <c r="BH45" s="38">
        <f t="shared" si="184"/>
        <v>884.46312281250005</v>
      </c>
      <c r="BI45" s="38">
        <f t="shared" si="185"/>
        <v>42.117291562500007</v>
      </c>
      <c r="BK45" s="37" t="s">
        <v>165</v>
      </c>
      <c r="BL45" s="38">
        <f t="shared" si="186"/>
        <v>1474.1052046875002</v>
      </c>
      <c r="BM45" s="38">
        <f t="shared" si="187"/>
        <v>70.19548593750001</v>
      </c>
      <c r="BO45" s="37" t="s">
        <v>165</v>
      </c>
      <c r="BP45" s="38">
        <f t="shared" si="188"/>
        <v>5896.4208187500008</v>
      </c>
      <c r="BQ45" s="38">
        <f t="shared" si="189"/>
        <v>280.78194375000004</v>
      </c>
      <c r="BS45" s="37" t="s">
        <v>165</v>
      </c>
      <c r="BT45" s="38">
        <f t="shared" si="190"/>
        <v>19163.367660937507</v>
      </c>
      <c r="BU45" s="38">
        <f t="shared" si="191"/>
        <v>912.54131718750034</v>
      </c>
      <c r="BV45" s="44"/>
      <c r="BW45" s="37" t="s">
        <v>165</v>
      </c>
      <c r="BX45" s="38">
        <f t="shared" si="192"/>
        <v>12972.125801250004</v>
      </c>
      <c r="BY45" s="38">
        <f t="shared" si="193"/>
        <v>617.72027625000021</v>
      </c>
      <c r="CA45" s="37" t="s">
        <v>165</v>
      </c>
      <c r="CB45" s="38">
        <f t="shared" si="194"/>
        <v>294.82104093750013</v>
      </c>
      <c r="CC45" s="38">
        <f t="shared" si="195"/>
        <v>14.039097187500005</v>
      </c>
      <c r="CD45" s="44"/>
      <c r="CE45" s="37" t="s">
        <v>165</v>
      </c>
      <c r="CF45" s="38">
        <f t="shared" si="196"/>
        <v>294.82104093750013</v>
      </c>
      <c r="CG45" s="38">
        <f t="shared" si="197"/>
        <v>14.039097187500005</v>
      </c>
      <c r="CI45" s="37" t="s">
        <v>165</v>
      </c>
      <c r="CJ45" s="38">
        <f t="shared" si="198"/>
        <v>7370.526023437501</v>
      </c>
      <c r="CK45" s="38">
        <f t="shared" si="199"/>
        <v>350.97742968750003</v>
      </c>
      <c r="CM45" s="37" t="s">
        <v>165</v>
      </c>
      <c r="CN45" s="38">
        <f t="shared" si="200"/>
        <v>2948.2104093750004</v>
      </c>
      <c r="CO45" s="38">
        <f t="shared" si="201"/>
        <v>140.39097187500002</v>
      </c>
      <c r="CQ45" s="37" t="s">
        <v>165</v>
      </c>
      <c r="CR45" s="38">
        <f t="shared" si="202"/>
        <v>294.82104093750013</v>
      </c>
      <c r="CS45" s="38">
        <f t="shared" si="203"/>
        <v>14.039097187500005</v>
      </c>
      <c r="CU45" s="37" t="s">
        <v>165</v>
      </c>
      <c r="CV45" s="38">
        <f t="shared" si="204"/>
        <v>0</v>
      </c>
      <c r="CW45" s="38">
        <f t="shared" si="205"/>
        <v>0</v>
      </c>
      <c r="CY45" s="37" t="s">
        <v>165</v>
      </c>
      <c r="CZ45" s="38">
        <f t="shared" si="206"/>
        <v>6780.8839415625016</v>
      </c>
      <c r="DA45" s="38">
        <f t="shared" si="207"/>
        <v>322.89923531250008</v>
      </c>
    </row>
    <row r="46" spans="2:105" x14ac:dyDescent="0.35">
      <c r="B46" s="39"/>
      <c r="C46" s="38"/>
      <c r="D46" s="38"/>
      <c r="E46" s="44"/>
      <c r="F46" s="39"/>
      <c r="G46" s="38"/>
      <c r="H46" s="38"/>
      <c r="J46" s="39"/>
      <c r="K46" s="38"/>
      <c r="L46" s="38"/>
      <c r="N46" s="39"/>
      <c r="O46" s="38"/>
      <c r="P46" s="38"/>
      <c r="R46" s="39"/>
      <c r="S46" s="38"/>
      <c r="T46" s="38"/>
      <c r="W46" s="39"/>
      <c r="X46" s="38"/>
      <c r="Y46" s="38"/>
      <c r="AA46" s="39"/>
      <c r="AB46" s="38"/>
      <c r="AC46" s="38"/>
      <c r="AE46" s="39"/>
      <c r="AF46" s="38"/>
      <c r="AG46" s="38"/>
      <c r="AI46" s="39"/>
      <c r="AJ46" s="38"/>
      <c r="AK46" s="38"/>
      <c r="AL46" s="44"/>
      <c r="AM46" s="39"/>
      <c r="AN46" s="38"/>
      <c r="AO46" s="38"/>
      <c r="AQ46" s="39"/>
      <c r="AR46" s="38"/>
      <c r="AS46" s="38"/>
      <c r="AU46" s="39"/>
      <c r="AV46" s="38"/>
      <c r="AW46" s="38"/>
      <c r="AY46" s="39"/>
      <c r="AZ46" s="38"/>
      <c r="BA46" s="38"/>
      <c r="BC46" s="39"/>
      <c r="BD46" s="38"/>
      <c r="BE46" s="38"/>
      <c r="BG46" s="39"/>
      <c r="BH46" s="38"/>
      <c r="BI46" s="38"/>
      <c r="BK46" s="39"/>
      <c r="BL46" s="38"/>
      <c r="BM46" s="38"/>
      <c r="BO46" s="39"/>
      <c r="BP46" s="38"/>
      <c r="BQ46" s="38"/>
      <c r="BS46" s="39"/>
      <c r="BT46" s="38"/>
      <c r="BU46" s="38"/>
      <c r="BV46" s="44"/>
      <c r="BW46" s="39"/>
      <c r="BX46" s="38"/>
      <c r="BY46" s="38"/>
      <c r="CA46" s="39"/>
      <c r="CB46" s="38"/>
      <c r="CC46" s="38"/>
      <c r="CD46" s="44"/>
      <c r="CE46" s="39"/>
      <c r="CF46" s="38"/>
      <c r="CG46" s="38"/>
      <c r="CI46" s="39"/>
      <c r="CJ46" s="38"/>
      <c r="CK46" s="38"/>
      <c r="CM46" s="39"/>
      <c r="CN46" s="38"/>
      <c r="CO46" s="38"/>
      <c r="CQ46" s="39"/>
      <c r="CR46" s="38"/>
      <c r="CS46" s="38"/>
      <c r="CU46" s="39"/>
      <c r="CV46" s="38"/>
      <c r="CW46" s="38"/>
      <c r="CY46" s="39"/>
      <c r="CZ46" s="38"/>
      <c r="DA46" s="38"/>
    </row>
    <row r="47" spans="2:105" x14ac:dyDescent="0.35">
      <c r="B47" s="37" t="s">
        <v>163</v>
      </c>
      <c r="C47" s="38">
        <f>VLOOKUP(B1,INFSHARES,11,0)</f>
        <v>10000</v>
      </c>
      <c r="D47" s="38"/>
      <c r="E47" s="44"/>
      <c r="F47" s="37" t="s">
        <v>163</v>
      </c>
      <c r="G47" s="38">
        <f>VLOOKUP(F1,INFSHARES,11,0)</f>
        <v>48000</v>
      </c>
      <c r="H47" s="38"/>
      <c r="J47" s="37" t="s">
        <v>163</v>
      </c>
      <c r="K47" s="38">
        <f>VLOOKUP(J1,INFSHARES,11,0)</f>
        <v>3000</v>
      </c>
      <c r="L47" s="38"/>
      <c r="N47" s="37" t="s">
        <v>163</v>
      </c>
      <c r="O47" s="38">
        <f>VLOOKUP(N1,INFSHARES,11,0)</f>
        <v>400</v>
      </c>
      <c r="P47" s="38"/>
      <c r="R47" s="37" t="s">
        <v>163</v>
      </c>
      <c r="S47" s="38">
        <f>VLOOKUP(R1,INFSHARES,11,0)</f>
        <v>200</v>
      </c>
      <c r="T47" s="38"/>
      <c r="W47" s="37" t="s">
        <v>163</v>
      </c>
      <c r="X47" s="38">
        <f>VLOOKUP(W1,INFSHARES,11,0)</f>
        <v>200</v>
      </c>
      <c r="Y47" s="38"/>
      <c r="AA47" s="37" t="s">
        <v>163</v>
      </c>
      <c r="AB47" s="38">
        <f>VLOOKUP(AA1,INFSHARES,11,0)</f>
        <v>200</v>
      </c>
      <c r="AC47" s="38"/>
      <c r="AE47" s="37" t="s">
        <v>163</v>
      </c>
      <c r="AF47" s="38">
        <f>VLOOKUP(AE1,INFSHARES,11,0)</f>
        <v>400</v>
      </c>
      <c r="AG47" s="38"/>
      <c r="AI47" s="37" t="s">
        <v>163</v>
      </c>
      <c r="AJ47" s="38">
        <f>VLOOKUP(AI1,INFSHARES,11,0)</f>
        <v>1000</v>
      </c>
      <c r="AK47" s="38"/>
      <c r="AL47" s="44"/>
      <c r="AM47" s="37" t="s">
        <v>163</v>
      </c>
      <c r="AN47" s="38">
        <f>VLOOKUP(AM1,INFSHARES,11,0)</f>
        <v>200</v>
      </c>
      <c r="AO47" s="38"/>
      <c r="AQ47" s="37" t="s">
        <v>163</v>
      </c>
      <c r="AR47" s="38">
        <f>VLOOKUP(AQ1,INFSHARES,11,0)</f>
        <v>200</v>
      </c>
      <c r="AS47" s="38"/>
      <c r="AU47" s="37" t="s">
        <v>163</v>
      </c>
      <c r="AV47" s="38">
        <f>VLOOKUP(AU1,INFSHARES,11,0)</f>
        <v>15000</v>
      </c>
      <c r="AW47" s="38"/>
      <c r="AY47" s="37" t="s">
        <v>163</v>
      </c>
      <c r="AZ47" s="38">
        <f>VLOOKUP(AY1,INFSHARES,11,0)</f>
        <v>200</v>
      </c>
      <c r="BA47" s="38"/>
      <c r="BC47" s="37" t="s">
        <v>163</v>
      </c>
      <c r="BD47" s="38">
        <f>VLOOKUP(BC1,INFSHARES,11,0)</f>
        <v>10000</v>
      </c>
      <c r="BE47" s="38"/>
      <c r="BG47" s="37" t="s">
        <v>163</v>
      </c>
      <c r="BH47" s="38">
        <f>VLOOKUP(BG1,INFSHARES,11,0)</f>
        <v>200</v>
      </c>
      <c r="BI47" s="38"/>
      <c r="BK47" s="37" t="s">
        <v>163</v>
      </c>
      <c r="BL47" s="38">
        <f>VLOOKUP(BK1,INFSHARES,11,0)</f>
        <v>3400</v>
      </c>
      <c r="BM47" s="38"/>
      <c r="BO47" s="37" t="s">
        <v>163</v>
      </c>
      <c r="BP47" s="38">
        <f>VLOOKUP(BO1,INFSHARES,11,0)</f>
        <v>7000</v>
      </c>
      <c r="BQ47" s="38"/>
      <c r="BS47" s="37" t="s">
        <v>163</v>
      </c>
      <c r="BT47" s="38">
        <f>VLOOKUP(BS1,INFSHARES,11,0)</f>
        <v>5000</v>
      </c>
      <c r="BU47" s="38"/>
      <c r="BV47" s="44"/>
      <c r="BW47" s="37" t="s">
        <v>163</v>
      </c>
      <c r="BX47" s="38">
        <f>VLOOKUP(BW1,INFSHARES,11,0)</f>
        <v>20000</v>
      </c>
      <c r="BY47" s="38"/>
      <c r="CA47" s="37" t="s">
        <v>163</v>
      </c>
      <c r="CB47" s="38">
        <f>VLOOKUP(CA1,INFSHARES,11,0)</f>
        <v>5000</v>
      </c>
      <c r="CC47" s="38"/>
      <c r="CD47" s="44"/>
      <c r="CE47" s="37" t="s">
        <v>163</v>
      </c>
      <c r="CF47" s="38">
        <f>VLOOKUP(CE1,INFSHARES,11,0)</f>
        <v>10000</v>
      </c>
      <c r="CG47" s="38"/>
      <c r="CI47" s="37" t="s">
        <v>163</v>
      </c>
      <c r="CJ47" s="38">
        <f>VLOOKUP(CI1,INFSHARES,11,0)</f>
        <v>5000</v>
      </c>
      <c r="CK47" s="38"/>
      <c r="CM47" s="37" t="s">
        <v>163</v>
      </c>
      <c r="CN47" s="38">
        <f>VLOOKUP(CM1,INFSHARES,11,0)</f>
        <v>1000</v>
      </c>
      <c r="CO47" s="38"/>
      <c r="CQ47" s="37" t="s">
        <v>163</v>
      </c>
      <c r="CR47" s="38">
        <f>VLOOKUP(CQ1,INFSHARES,11,0)</f>
        <v>200</v>
      </c>
      <c r="CS47" s="38"/>
      <c r="CU47" s="37" t="s">
        <v>163</v>
      </c>
      <c r="CV47" s="38">
        <f>VLOOKUP(CU1,INFSHARES,11,0)</f>
        <v>0</v>
      </c>
      <c r="CW47" s="38"/>
      <c r="CY47" s="37" t="s">
        <v>163</v>
      </c>
      <c r="CZ47" s="38">
        <f>VLOOKUP(CY1,INFRACASHshares2025,11,0)</f>
        <v>4800</v>
      </c>
      <c r="DA47" s="38"/>
    </row>
    <row r="48" spans="2:105" x14ac:dyDescent="0.35">
      <c r="B48" s="37" t="s">
        <v>166</v>
      </c>
      <c r="C48" s="38">
        <f>C47*1.1</f>
        <v>11000</v>
      </c>
      <c r="D48" s="38">
        <f>C47*0.1</f>
        <v>1000</v>
      </c>
      <c r="E48" s="44"/>
      <c r="F48" s="37" t="s">
        <v>166</v>
      </c>
      <c r="G48" s="38">
        <f>G47*1.1</f>
        <v>52800.000000000007</v>
      </c>
      <c r="H48" s="38">
        <f>G47*0.1</f>
        <v>4800</v>
      </c>
      <c r="J48" s="37" t="s">
        <v>166</v>
      </c>
      <c r="K48" s="38">
        <f>K47*1.1</f>
        <v>3300.0000000000005</v>
      </c>
      <c r="L48" s="38">
        <f>K47*0.1</f>
        <v>300</v>
      </c>
      <c r="N48" s="37" t="s">
        <v>166</v>
      </c>
      <c r="O48" s="38">
        <f>O47*1.1</f>
        <v>440.00000000000006</v>
      </c>
      <c r="P48" s="38">
        <f>O47*0.1</f>
        <v>40</v>
      </c>
      <c r="R48" s="37" t="s">
        <v>166</v>
      </c>
      <c r="S48" s="38">
        <f>S47*1.1</f>
        <v>220.00000000000003</v>
      </c>
      <c r="T48" s="38">
        <f>S47*0.1</f>
        <v>20</v>
      </c>
      <c r="W48" s="37" t="s">
        <v>166</v>
      </c>
      <c r="X48" s="38">
        <f>X47*1.1</f>
        <v>220.00000000000003</v>
      </c>
      <c r="Y48" s="38">
        <f>X47*0.1</f>
        <v>20</v>
      </c>
      <c r="AA48" s="37" t="s">
        <v>166</v>
      </c>
      <c r="AB48" s="38">
        <f>AB47*1.1</f>
        <v>220.00000000000003</v>
      </c>
      <c r="AC48" s="38">
        <f>AB47*0.1</f>
        <v>20</v>
      </c>
      <c r="AE48" s="37" t="s">
        <v>166</v>
      </c>
      <c r="AF48" s="38">
        <f>AF47*1.1</f>
        <v>440.00000000000006</v>
      </c>
      <c r="AG48" s="38">
        <f>AF47*0.1</f>
        <v>40</v>
      </c>
      <c r="AI48" s="37" t="s">
        <v>166</v>
      </c>
      <c r="AJ48" s="38">
        <f>AJ47*1.1</f>
        <v>1100</v>
      </c>
      <c r="AK48" s="38">
        <f>AJ47*0.1</f>
        <v>100</v>
      </c>
      <c r="AL48" s="44"/>
      <c r="AM48" s="37" t="s">
        <v>166</v>
      </c>
      <c r="AN48" s="38">
        <f>AN47*1.1</f>
        <v>220.00000000000003</v>
      </c>
      <c r="AO48" s="38">
        <f>AN47*0.1</f>
        <v>20</v>
      </c>
      <c r="AQ48" s="37" t="s">
        <v>166</v>
      </c>
      <c r="AR48" s="38">
        <f>AR47*1.1</f>
        <v>220.00000000000003</v>
      </c>
      <c r="AS48" s="38">
        <f>AR47*0.1</f>
        <v>20</v>
      </c>
      <c r="AU48" s="37" t="s">
        <v>166</v>
      </c>
      <c r="AV48" s="38">
        <f>AV47*1.1</f>
        <v>16500</v>
      </c>
      <c r="AW48" s="38">
        <f>AV47*0.1</f>
        <v>1500</v>
      </c>
      <c r="AY48" s="37" t="s">
        <v>166</v>
      </c>
      <c r="AZ48" s="38">
        <f>AZ47*1.1</f>
        <v>220.00000000000003</v>
      </c>
      <c r="BA48" s="38">
        <f>AZ47*0.1</f>
        <v>20</v>
      </c>
      <c r="BC48" s="37" t="s">
        <v>166</v>
      </c>
      <c r="BD48" s="38">
        <f>BD47*1.1</f>
        <v>11000</v>
      </c>
      <c r="BE48" s="38">
        <f>BD47*0.1</f>
        <v>1000</v>
      </c>
      <c r="BG48" s="37" t="s">
        <v>166</v>
      </c>
      <c r="BH48" s="38">
        <f>BH47*1.1</f>
        <v>220.00000000000003</v>
      </c>
      <c r="BI48" s="38">
        <f>BH47*0.1</f>
        <v>20</v>
      </c>
      <c r="BK48" s="37" t="s">
        <v>166</v>
      </c>
      <c r="BL48" s="38">
        <f>BL47*1.1</f>
        <v>3740.0000000000005</v>
      </c>
      <c r="BM48" s="38">
        <f>BL47*0.1</f>
        <v>340</v>
      </c>
      <c r="BO48" s="37" t="s">
        <v>166</v>
      </c>
      <c r="BP48" s="38">
        <f>BP47*1.1</f>
        <v>7700.0000000000009</v>
      </c>
      <c r="BQ48" s="38">
        <f>BP47*0.1</f>
        <v>700</v>
      </c>
      <c r="BS48" s="37" t="s">
        <v>166</v>
      </c>
      <c r="BT48" s="38">
        <f>BT47*1.1</f>
        <v>5500</v>
      </c>
      <c r="BU48" s="38">
        <f>BT47*0.1</f>
        <v>500</v>
      </c>
      <c r="BV48" s="44"/>
      <c r="BW48" s="37" t="s">
        <v>166</v>
      </c>
      <c r="BX48" s="38">
        <f>BX47*1.1</f>
        <v>22000</v>
      </c>
      <c r="BY48" s="38">
        <f>BX47*0.1</f>
        <v>2000</v>
      </c>
      <c r="CA48" s="37" t="s">
        <v>166</v>
      </c>
      <c r="CB48" s="38">
        <f>CB47*1.1</f>
        <v>5500</v>
      </c>
      <c r="CC48" s="38">
        <f>CB47*0.1</f>
        <v>500</v>
      </c>
      <c r="CD48" s="44"/>
      <c r="CE48" s="37" t="s">
        <v>166</v>
      </c>
      <c r="CF48" s="38">
        <f>CF47*1.1</f>
        <v>11000</v>
      </c>
      <c r="CG48" s="38">
        <f>CF47*0.1</f>
        <v>1000</v>
      </c>
      <c r="CI48" s="37" t="s">
        <v>166</v>
      </c>
      <c r="CJ48" s="38">
        <f>CJ47*1.1</f>
        <v>5500</v>
      </c>
      <c r="CK48" s="38">
        <f>CJ47*0.1</f>
        <v>500</v>
      </c>
      <c r="CM48" s="37" t="s">
        <v>166</v>
      </c>
      <c r="CN48" s="38">
        <f>CN47*1.1</f>
        <v>1100</v>
      </c>
      <c r="CO48" s="38">
        <f>CN47*0.1</f>
        <v>100</v>
      </c>
      <c r="CQ48" s="37" t="s">
        <v>166</v>
      </c>
      <c r="CR48" s="38">
        <f>CR47*1.1</f>
        <v>220.00000000000003</v>
      </c>
      <c r="CS48" s="38">
        <f>CR47*0.1</f>
        <v>20</v>
      </c>
      <c r="CU48" s="37" t="s">
        <v>166</v>
      </c>
      <c r="CV48" s="38">
        <f>CV47*1.1</f>
        <v>0</v>
      </c>
      <c r="CW48" s="38">
        <f>CV47*0.1</f>
        <v>0</v>
      </c>
      <c r="CY48" s="37" t="s">
        <v>166</v>
      </c>
      <c r="CZ48" s="38">
        <f>CZ47*1.1</f>
        <v>5280</v>
      </c>
      <c r="DA48" s="38">
        <f>CZ47*0.1</f>
        <v>480</v>
      </c>
    </row>
    <row r="49" spans="2:105" x14ac:dyDescent="0.35">
      <c r="B49" s="37" t="s">
        <v>7</v>
      </c>
      <c r="C49" s="38">
        <f>C48*1.05</f>
        <v>11550</v>
      </c>
      <c r="D49" s="38">
        <f>C48*0.05</f>
        <v>550</v>
      </c>
      <c r="E49" s="44"/>
      <c r="F49" s="37" t="s">
        <v>7</v>
      </c>
      <c r="G49" s="38">
        <f>G48*1.05</f>
        <v>55440.000000000007</v>
      </c>
      <c r="H49" s="38">
        <f>G48*0.05</f>
        <v>2640.0000000000005</v>
      </c>
      <c r="J49" s="37" t="s">
        <v>7</v>
      </c>
      <c r="K49" s="38">
        <f>K48*1.05</f>
        <v>3465.0000000000005</v>
      </c>
      <c r="L49" s="38">
        <f>K48*0.05</f>
        <v>165.00000000000003</v>
      </c>
      <c r="N49" s="37" t="s">
        <v>7</v>
      </c>
      <c r="O49" s="38">
        <f>O48*1.05</f>
        <v>462.00000000000006</v>
      </c>
      <c r="P49" s="38">
        <f>O48*0.05</f>
        <v>22.000000000000004</v>
      </c>
      <c r="R49" s="37" t="s">
        <v>7</v>
      </c>
      <c r="S49" s="38">
        <f>S48*1.05</f>
        <v>231.00000000000003</v>
      </c>
      <c r="T49" s="38">
        <f>S48*0.05</f>
        <v>11.000000000000002</v>
      </c>
      <c r="W49" s="37" t="s">
        <v>7</v>
      </c>
      <c r="X49" s="38">
        <f>X48*1.05</f>
        <v>231.00000000000003</v>
      </c>
      <c r="Y49" s="38">
        <f>X48*0.05</f>
        <v>11.000000000000002</v>
      </c>
      <c r="AA49" s="37" t="s">
        <v>7</v>
      </c>
      <c r="AB49" s="38">
        <f>AB48*1.05</f>
        <v>231.00000000000003</v>
      </c>
      <c r="AC49" s="38">
        <f>AB48*0.05</f>
        <v>11.000000000000002</v>
      </c>
      <c r="AE49" s="37" t="s">
        <v>7</v>
      </c>
      <c r="AF49" s="38">
        <f>AF48*1.05</f>
        <v>462.00000000000006</v>
      </c>
      <c r="AG49" s="38">
        <f>AF48*0.05</f>
        <v>22.000000000000004</v>
      </c>
      <c r="AI49" s="37" t="s">
        <v>7</v>
      </c>
      <c r="AJ49" s="38">
        <f>AJ48*1.05</f>
        <v>1155</v>
      </c>
      <c r="AK49" s="38">
        <f>AJ48*0.05</f>
        <v>55</v>
      </c>
      <c r="AL49" s="44"/>
      <c r="AM49" s="37" t="s">
        <v>7</v>
      </c>
      <c r="AN49" s="38">
        <f>AN48*1.05</f>
        <v>231.00000000000003</v>
      </c>
      <c r="AO49" s="38">
        <f>AN48*0.05</f>
        <v>11.000000000000002</v>
      </c>
      <c r="AQ49" s="37" t="s">
        <v>7</v>
      </c>
      <c r="AR49" s="38">
        <f>AR48*1.05</f>
        <v>231.00000000000003</v>
      </c>
      <c r="AS49" s="38">
        <f>AR48*0.05</f>
        <v>11.000000000000002</v>
      </c>
      <c r="AU49" s="37" t="s">
        <v>7</v>
      </c>
      <c r="AV49" s="38">
        <f>AV48*1.05</f>
        <v>17325</v>
      </c>
      <c r="AW49" s="38">
        <f>AV48*0.05</f>
        <v>825</v>
      </c>
      <c r="AY49" s="37" t="s">
        <v>7</v>
      </c>
      <c r="AZ49" s="38">
        <f>AZ48*1.05</f>
        <v>231.00000000000003</v>
      </c>
      <c r="BA49" s="38">
        <f>AZ48*0.05</f>
        <v>11.000000000000002</v>
      </c>
      <c r="BC49" s="37" t="s">
        <v>7</v>
      </c>
      <c r="BD49" s="38">
        <f>BD48*1.05</f>
        <v>11550</v>
      </c>
      <c r="BE49" s="38">
        <f>BD48*0.05</f>
        <v>550</v>
      </c>
      <c r="BG49" s="37" t="s">
        <v>7</v>
      </c>
      <c r="BH49" s="38">
        <f>BH48*1.05</f>
        <v>231.00000000000003</v>
      </c>
      <c r="BI49" s="38">
        <f>BH48*0.05</f>
        <v>11.000000000000002</v>
      </c>
      <c r="BK49" s="37" t="s">
        <v>7</v>
      </c>
      <c r="BL49" s="38">
        <f>BL48*1.05</f>
        <v>3927.0000000000005</v>
      </c>
      <c r="BM49" s="38">
        <f>BL48*0.05</f>
        <v>187.00000000000003</v>
      </c>
      <c r="BO49" s="37" t="s">
        <v>7</v>
      </c>
      <c r="BP49" s="38">
        <f>BP48*1.05</f>
        <v>8085.0000000000009</v>
      </c>
      <c r="BQ49" s="38">
        <f>BP48*0.05</f>
        <v>385.00000000000006</v>
      </c>
      <c r="BS49" s="37" t="s">
        <v>7</v>
      </c>
      <c r="BT49" s="38">
        <f>BT48*1.05</f>
        <v>5775</v>
      </c>
      <c r="BU49" s="38">
        <f>BT48*0.05</f>
        <v>275</v>
      </c>
      <c r="BV49" s="44"/>
      <c r="BW49" s="37" t="s">
        <v>7</v>
      </c>
      <c r="BX49" s="38">
        <f>BX48*1.05</f>
        <v>23100</v>
      </c>
      <c r="BY49" s="38">
        <f>BX48*0.05</f>
        <v>1100</v>
      </c>
      <c r="CA49" s="37" t="s">
        <v>7</v>
      </c>
      <c r="CB49" s="38">
        <f>CB48*1.05</f>
        <v>5775</v>
      </c>
      <c r="CC49" s="38">
        <f>CB48*0.05</f>
        <v>275</v>
      </c>
      <c r="CD49" s="44"/>
      <c r="CE49" s="37" t="s">
        <v>7</v>
      </c>
      <c r="CF49" s="38">
        <f>CF48*1.05</f>
        <v>11550</v>
      </c>
      <c r="CG49" s="38">
        <f>CF48*0.05</f>
        <v>550</v>
      </c>
      <c r="CI49" s="37" t="s">
        <v>7</v>
      </c>
      <c r="CJ49" s="38">
        <f>CJ48*1.05</f>
        <v>5775</v>
      </c>
      <c r="CK49" s="38">
        <f>CJ48*0.05</f>
        <v>275</v>
      </c>
      <c r="CM49" s="37" t="s">
        <v>7</v>
      </c>
      <c r="CN49" s="38">
        <f>CN48*1.05</f>
        <v>1155</v>
      </c>
      <c r="CO49" s="38">
        <f>CN48*0.05</f>
        <v>55</v>
      </c>
      <c r="CQ49" s="37" t="s">
        <v>7</v>
      </c>
      <c r="CR49" s="38">
        <f>CR48*1.05</f>
        <v>231.00000000000003</v>
      </c>
      <c r="CS49" s="38">
        <f>CR48*0.05</f>
        <v>11.000000000000002</v>
      </c>
      <c r="CU49" s="37" t="s">
        <v>7</v>
      </c>
      <c r="CV49" s="38">
        <f>CV48*1.05</f>
        <v>0</v>
      </c>
      <c r="CW49" s="38">
        <f>CV48*0.05</f>
        <v>0</v>
      </c>
      <c r="CY49" s="37" t="s">
        <v>7</v>
      </c>
      <c r="CZ49" s="38">
        <f>CZ48*1.05</f>
        <v>5544</v>
      </c>
      <c r="DA49" s="38">
        <f>CZ48*0.05</f>
        <v>264</v>
      </c>
    </row>
    <row r="50" spans="2:105" x14ac:dyDescent="0.35">
      <c r="B50" s="37" t="s">
        <v>8</v>
      </c>
      <c r="C50" s="38">
        <f>C49*1.05</f>
        <v>12127.5</v>
      </c>
      <c r="D50" s="38">
        <f>C49*0.05</f>
        <v>577.5</v>
      </c>
      <c r="E50" s="44"/>
      <c r="F50" s="37" t="s">
        <v>8</v>
      </c>
      <c r="G50" s="38">
        <f>G49*1.05</f>
        <v>58212.000000000007</v>
      </c>
      <c r="H50" s="38">
        <f>G49*0.05</f>
        <v>2772.0000000000005</v>
      </c>
      <c r="J50" s="37" t="s">
        <v>8</v>
      </c>
      <c r="K50" s="38">
        <f>K49*1.05</f>
        <v>3638.2500000000005</v>
      </c>
      <c r="L50" s="38">
        <f>K49*0.05</f>
        <v>173.25000000000003</v>
      </c>
      <c r="N50" s="37" t="s">
        <v>8</v>
      </c>
      <c r="O50" s="38">
        <f>O49*1.05</f>
        <v>485.10000000000008</v>
      </c>
      <c r="P50" s="38">
        <f>O49*0.05</f>
        <v>23.100000000000005</v>
      </c>
      <c r="R50" s="37" t="s">
        <v>8</v>
      </c>
      <c r="S50" s="38">
        <f>S49*1.05</f>
        <v>242.55000000000004</v>
      </c>
      <c r="T50" s="38">
        <f>S49*0.05</f>
        <v>11.550000000000002</v>
      </c>
      <c r="W50" s="37" t="s">
        <v>8</v>
      </c>
      <c r="X50" s="38">
        <f>X49*1.05</f>
        <v>242.55000000000004</v>
      </c>
      <c r="Y50" s="38">
        <f>X49*0.05</f>
        <v>11.550000000000002</v>
      </c>
      <c r="AA50" s="37" t="s">
        <v>8</v>
      </c>
      <c r="AB50" s="38">
        <f>AB49*1.05</f>
        <v>242.55000000000004</v>
      </c>
      <c r="AC50" s="38">
        <f>AB49*0.05</f>
        <v>11.550000000000002</v>
      </c>
      <c r="AE50" s="37" t="s">
        <v>8</v>
      </c>
      <c r="AF50" s="38">
        <f>AF49*1.05</f>
        <v>485.10000000000008</v>
      </c>
      <c r="AG50" s="38">
        <f>AF49*0.05</f>
        <v>23.100000000000005</v>
      </c>
      <c r="AI50" s="37" t="s">
        <v>8</v>
      </c>
      <c r="AJ50" s="38">
        <f>AJ49*1.05</f>
        <v>1212.75</v>
      </c>
      <c r="AK50" s="38">
        <f>AJ49*0.05</f>
        <v>57.75</v>
      </c>
      <c r="AL50" s="44"/>
      <c r="AM50" s="37" t="s">
        <v>8</v>
      </c>
      <c r="AN50" s="38">
        <f>AN49*1.05</f>
        <v>242.55000000000004</v>
      </c>
      <c r="AO50" s="38">
        <f>AN49*0.05</f>
        <v>11.550000000000002</v>
      </c>
      <c r="AQ50" s="37" t="s">
        <v>8</v>
      </c>
      <c r="AR50" s="38">
        <f>AR49*1.05</f>
        <v>242.55000000000004</v>
      </c>
      <c r="AS50" s="38">
        <f>AR49*0.05</f>
        <v>11.550000000000002</v>
      </c>
      <c r="AU50" s="37" t="s">
        <v>8</v>
      </c>
      <c r="AV50" s="38">
        <f>AV49*1.05</f>
        <v>18191.25</v>
      </c>
      <c r="AW50" s="38">
        <f>AV49*0.05</f>
        <v>866.25</v>
      </c>
      <c r="AY50" s="37" t="s">
        <v>8</v>
      </c>
      <c r="AZ50" s="38">
        <f>AZ49*1.05</f>
        <v>242.55000000000004</v>
      </c>
      <c r="BA50" s="38">
        <f>AZ49*0.05</f>
        <v>11.550000000000002</v>
      </c>
      <c r="BC50" s="37" t="s">
        <v>8</v>
      </c>
      <c r="BD50" s="38">
        <f>BD49*1.05</f>
        <v>12127.5</v>
      </c>
      <c r="BE50" s="38">
        <f>BD49*0.05</f>
        <v>577.5</v>
      </c>
      <c r="BG50" s="37" t="s">
        <v>8</v>
      </c>
      <c r="BH50" s="38">
        <f>BH49*1.05</f>
        <v>242.55000000000004</v>
      </c>
      <c r="BI50" s="38">
        <f>BH49*0.05</f>
        <v>11.550000000000002</v>
      </c>
      <c r="BK50" s="37" t="s">
        <v>8</v>
      </c>
      <c r="BL50" s="38">
        <f>BL49*1.05</f>
        <v>4123.3500000000004</v>
      </c>
      <c r="BM50" s="38">
        <f>BL49*0.05</f>
        <v>196.35000000000002</v>
      </c>
      <c r="BO50" s="37" t="s">
        <v>8</v>
      </c>
      <c r="BP50" s="38">
        <f>BP49*1.05</f>
        <v>8489.2500000000018</v>
      </c>
      <c r="BQ50" s="38">
        <f>BP49*0.05</f>
        <v>404.25000000000006</v>
      </c>
      <c r="BS50" s="37" t="s">
        <v>8</v>
      </c>
      <c r="BT50" s="38">
        <f>BT49*1.05</f>
        <v>6063.75</v>
      </c>
      <c r="BU50" s="38">
        <f>BT49*0.05</f>
        <v>288.75</v>
      </c>
      <c r="BV50" s="44"/>
      <c r="BW50" s="37" t="s">
        <v>8</v>
      </c>
      <c r="BX50" s="38">
        <f>BX49*1.05</f>
        <v>24255</v>
      </c>
      <c r="BY50" s="38">
        <f>BX49*0.05</f>
        <v>1155</v>
      </c>
      <c r="CA50" s="37" t="s">
        <v>8</v>
      </c>
      <c r="CB50" s="38">
        <f>CB49*1.05</f>
        <v>6063.75</v>
      </c>
      <c r="CC50" s="38">
        <f>CB49*0.05</f>
        <v>288.75</v>
      </c>
      <c r="CD50" s="44"/>
      <c r="CE50" s="37" t="s">
        <v>8</v>
      </c>
      <c r="CF50" s="38">
        <f>CF49*1.05</f>
        <v>12127.5</v>
      </c>
      <c r="CG50" s="38">
        <f>CF49*0.05</f>
        <v>577.5</v>
      </c>
      <c r="CI50" s="37" t="s">
        <v>8</v>
      </c>
      <c r="CJ50" s="38">
        <f>CJ49*1.05</f>
        <v>6063.75</v>
      </c>
      <c r="CK50" s="38">
        <f>CJ49*0.05</f>
        <v>288.75</v>
      </c>
      <c r="CM50" s="37" t="s">
        <v>8</v>
      </c>
      <c r="CN50" s="38">
        <f>CN49*1.05</f>
        <v>1212.75</v>
      </c>
      <c r="CO50" s="38">
        <f>CN49*0.05</f>
        <v>57.75</v>
      </c>
      <c r="CQ50" s="37" t="s">
        <v>8</v>
      </c>
      <c r="CR50" s="38">
        <f>CR49*1.05</f>
        <v>242.55000000000004</v>
      </c>
      <c r="CS50" s="38">
        <f>CR49*0.05</f>
        <v>11.550000000000002</v>
      </c>
      <c r="CU50" s="37" t="s">
        <v>8</v>
      </c>
      <c r="CV50" s="38">
        <f>CV49*1.05</f>
        <v>0</v>
      </c>
      <c r="CW50" s="38">
        <f>CV49*0.05</f>
        <v>0</v>
      </c>
      <c r="CY50" s="37" t="s">
        <v>8</v>
      </c>
      <c r="CZ50" s="38">
        <f>CZ49*1.05</f>
        <v>5821.2</v>
      </c>
      <c r="DA50" s="38">
        <f>CZ49*0.05</f>
        <v>277.2</v>
      </c>
    </row>
    <row r="51" spans="2:105" x14ac:dyDescent="0.35">
      <c r="B51" s="37" t="s">
        <v>9</v>
      </c>
      <c r="C51" s="38">
        <f>C50*1.05</f>
        <v>12733.875</v>
      </c>
      <c r="D51" s="38">
        <f>C50*0.05</f>
        <v>606.375</v>
      </c>
      <c r="E51" s="44"/>
      <c r="F51" s="37" t="s">
        <v>9</v>
      </c>
      <c r="G51" s="38">
        <f>G50*1.05</f>
        <v>61122.600000000013</v>
      </c>
      <c r="H51" s="38">
        <f>G50*0.05</f>
        <v>2910.6000000000004</v>
      </c>
      <c r="J51" s="37" t="s">
        <v>9</v>
      </c>
      <c r="K51" s="38">
        <f>K50*1.05</f>
        <v>3820.1625000000008</v>
      </c>
      <c r="L51" s="38">
        <f>K50*0.05</f>
        <v>181.91250000000002</v>
      </c>
      <c r="N51" s="37" t="s">
        <v>9</v>
      </c>
      <c r="O51" s="38">
        <f>O50*1.05</f>
        <v>509.35500000000013</v>
      </c>
      <c r="P51" s="38">
        <f>O50*0.05</f>
        <v>24.255000000000006</v>
      </c>
      <c r="R51" s="37" t="s">
        <v>9</v>
      </c>
      <c r="S51" s="38">
        <f>S50*1.05</f>
        <v>254.67750000000007</v>
      </c>
      <c r="T51" s="38">
        <f>S50*0.05</f>
        <v>12.127500000000003</v>
      </c>
      <c r="W51" s="37" t="s">
        <v>9</v>
      </c>
      <c r="X51" s="38">
        <f>X50*1.05</f>
        <v>254.67750000000007</v>
      </c>
      <c r="Y51" s="38">
        <f>X50*0.05</f>
        <v>12.127500000000003</v>
      </c>
      <c r="AA51" s="37" t="s">
        <v>9</v>
      </c>
      <c r="AB51" s="38">
        <f>AB50*1.05</f>
        <v>254.67750000000007</v>
      </c>
      <c r="AC51" s="38">
        <f>AB50*0.05</f>
        <v>12.127500000000003</v>
      </c>
      <c r="AE51" s="37" t="s">
        <v>9</v>
      </c>
      <c r="AF51" s="38">
        <f>AF50*1.05</f>
        <v>509.35500000000013</v>
      </c>
      <c r="AG51" s="38">
        <f>AF50*0.05</f>
        <v>24.255000000000006</v>
      </c>
      <c r="AI51" s="37" t="s">
        <v>9</v>
      </c>
      <c r="AJ51" s="38">
        <f>AJ50*1.05</f>
        <v>1273.3875</v>
      </c>
      <c r="AK51" s="38">
        <f>AJ50*0.05</f>
        <v>60.637500000000003</v>
      </c>
      <c r="AL51" s="44"/>
      <c r="AM51" s="37" t="s">
        <v>9</v>
      </c>
      <c r="AN51" s="38">
        <f>AN50*1.05</f>
        <v>254.67750000000007</v>
      </c>
      <c r="AO51" s="38">
        <f>AN50*0.05</f>
        <v>12.127500000000003</v>
      </c>
      <c r="AQ51" s="37" t="s">
        <v>9</v>
      </c>
      <c r="AR51" s="38">
        <f>AR50*1.05</f>
        <v>254.67750000000007</v>
      </c>
      <c r="AS51" s="38">
        <f>AR50*0.05</f>
        <v>12.127500000000003</v>
      </c>
      <c r="AU51" s="37" t="s">
        <v>9</v>
      </c>
      <c r="AV51" s="38">
        <f>AV50*1.05</f>
        <v>19100.8125</v>
      </c>
      <c r="AW51" s="38">
        <f>AV50*0.05</f>
        <v>909.5625</v>
      </c>
      <c r="AY51" s="37" t="s">
        <v>9</v>
      </c>
      <c r="AZ51" s="38">
        <f>AZ50*1.05</f>
        <v>254.67750000000007</v>
      </c>
      <c r="BA51" s="38">
        <f>AZ50*0.05</f>
        <v>12.127500000000003</v>
      </c>
      <c r="BC51" s="37" t="s">
        <v>9</v>
      </c>
      <c r="BD51" s="38">
        <f>BD50*1.05</f>
        <v>12733.875</v>
      </c>
      <c r="BE51" s="38">
        <f>BD50*0.05</f>
        <v>606.375</v>
      </c>
      <c r="BG51" s="37" t="s">
        <v>9</v>
      </c>
      <c r="BH51" s="38">
        <f>BH50*1.05</f>
        <v>254.67750000000007</v>
      </c>
      <c r="BI51" s="38">
        <f>BH50*0.05</f>
        <v>12.127500000000003</v>
      </c>
      <c r="BK51" s="37" t="s">
        <v>9</v>
      </c>
      <c r="BL51" s="38">
        <f>BL50*1.05</f>
        <v>4329.5175000000008</v>
      </c>
      <c r="BM51" s="38">
        <f>BL50*0.05</f>
        <v>206.16750000000002</v>
      </c>
      <c r="BO51" s="37" t="s">
        <v>9</v>
      </c>
      <c r="BP51" s="38">
        <f>BP50*1.05</f>
        <v>8913.7125000000015</v>
      </c>
      <c r="BQ51" s="38">
        <f>BP50*0.05</f>
        <v>424.46250000000009</v>
      </c>
      <c r="BS51" s="37" t="s">
        <v>9</v>
      </c>
      <c r="BT51" s="38">
        <f>BT50*1.05</f>
        <v>6366.9375</v>
      </c>
      <c r="BU51" s="38">
        <f>BT50*0.05</f>
        <v>303.1875</v>
      </c>
      <c r="BV51" s="44"/>
      <c r="BW51" s="37" t="s">
        <v>9</v>
      </c>
      <c r="BX51" s="38">
        <f>BX50*1.05</f>
        <v>25467.75</v>
      </c>
      <c r="BY51" s="38">
        <f>BX50*0.05</f>
        <v>1212.75</v>
      </c>
      <c r="CA51" s="37" t="s">
        <v>9</v>
      </c>
      <c r="CB51" s="38">
        <f>CB50*1.05</f>
        <v>6366.9375</v>
      </c>
      <c r="CC51" s="38">
        <f>CB50*0.05</f>
        <v>303.1875</v>
      </c>
      <c r="CD51" s="44"/>
      <c r="CE51" s="37" t="s">
        <v>9</v>
      </c>
      <c r="CF51" s="38">
        <f>CF50*1.05</f>
        <v>12733.875</v>
      </c>
      <c r="CG51" s="38">
        <f>CF50*0.05</f>
        <v>606.375</v>
      </c>
      <c r="CI51" s="37" t="s">
        <v>9</v>
      </c>
      <c r="CJ51" s="38">
        <f>CJ50*1.05</f>
        <v>6366.9375</v>
      </c>
      <c r="CK51" s="38">
        <f>CJ50*0.05</f>
        <v>303.1875</v>
      </c>
      <c r="CM51" s="37" t="s">
        <v>9</v>
      </c>
      <c r="CN51" s="38">
        <f>CN50*1.05</f>
        <v>1273.3875</v>
      </c>
      <c r="CO51" s="38">
        <f>CN50*0.05</f>
        <v>60.637500000000003</v>
      </c>
      <c r="CQ51" s="37" t="s">
        <v>9</v>
      </c>
      <c r="CR51" s="38">
        <f>CR50*1.05</f>
        <v>254.67750000000007</v>
      </c>
      <c r="CS51" s="38">
        <f>CR50*0.05</f>
        <v>12.127500000000003</v>
      </c>
      <c r="CU51" s="37" t="s">
        <v>9</v>
      </c>
      <c r="CV51" s="38">
        <f>CV50*1.05</f>
        <v>0</v>
      </c>
      <c r="CW51" s="38">
        <f>CV50*0.05</f>
        <v>0</v>
      </c>
      <c r="CY51" s="37" t="s">
        <v>9</v>
      </c>
      <c r="CZ51" s="38">
        <f>CZ50*1.05</f>
        <v>6112.26</v>
      </c>
      <c r="DA51" s="38">
        <f>CZ50*0.05</f>
        <v>291.06</v>
      </c>
    </row>
    <row r="52" spans="2:105" x14ac:dyDescent="0.35">
      <c r="B52" s="37" t="s">
        <v>164</v>
      </c>
      <c r="C52" s="38">
        <f>C51*1.05</f>
        <v>13370.56875</v>
      </c>
      <c r="D52" s="38">
        <f>C51*0.05</f>
        <v>636.69375000000002</v>
      </c>
      <c r="E52" s="44"/>
      <c r="F52" s="37" t="s">
        <v>164</v>
      </c>
      <c r="G52" s="38">
        <f>G51*1.05</f>
        <v>64178.730000000018</v>
      </c>
      <c r="H52" s="38">
        <f>G51*0.05</f>
        <v>3056.130000000001</v>
      </c>
      <c r="J52" s="37" t="s">
        <v>164</v>
      </c>
      <c r="K52" s="38">
        <f>K51*1.05</f>
        <v>4011.1706250000011</v>
      </c>
      <c r="L52" s="38">
        <f>K51*0.05</f>
        <v>191.00812500000006</v>
      </c>
      <c r="N52" s="37" t="s">
        <v>164</v>
      </c>
      <c r="O52" s="38">
        <f>O51*1.05</f>
        <v>534.82275000000016</v>
      </c>
      <c r="P52" s="38">
        <f>O51*0.05</f>
        <v>25.467750000000009</v>
      </c>
      <c r="R52" s="37" t="s">
        <v>164</v>
      </c>
      <c r="S52" s="38">
        <f>S51*1.05</f>
        <v>267.41137500000008</v>
      </c>
      <c r="T52" s="38">
        <f>S51*0.05</f>
        <v>12.733875000000005</v>
      </c>
      <c r="W52" s="37" t="s">
        <v>164</v>
      </c>
      <c r="X52" s="38">
        <f>X51*1.05</f>
        <v>267.41137500000008</v>
      </c>
      <c r="Y52" s="38">
        <f>X51*0.05</f>
        <v>12.733875000000005</v>
      </c>
      <c r="AA52" s="37" t="s">
        <v>164</v>
      </c>
      <c r="AB52" s="38">
        <f>AB51*1.05</f>
        <v>267.41137500000008</v>
      </c>
      <c r="AC52" s="38">
        <f>AB51*0.05</f>
        <v>12.733875000000005</v>
      </c>
      <c r="AE52" s="37" t="s">
        <v>164</v>
      </c>
      <c r="AF52" s="38">
        <f>AF51*1.05</f>
        <v>534.82275000000016</v>
      </c>
      <c r="AG52" s="38">
        <f>AF51*0.05</f>
        <v>25.467750000000009</v>
      </c>
      <c r="AI52" s="37" t="s">
        <v>164</v>
      </c>
      <c r="AJ52" s="38">
        <f>AJ51*1.05</f>
        <v>1337.056875</v>
      </c>
      <c r="AK52" s="38">
        <f>AJ51*0.05</f>
        <v>63.669375000000002</v>
      </c>
      <c r="AL52" s="44"/>
      <c r="AM52" s="37" t="s">
        <v>164</v>
      </c>
      <c r="AN52" s="38">
        <f>AN51*1.05</f>
        <v>267.41137500000008</v>
      </c>
      <c r="AO52" s="38">
        <f>AN51*0.05</f>
        <v>12.733875000000005</v>
      </c>
      <c r="AQ52" s="37" t="s">
        <v>164</v>
      </c>
      <c r="AR52" s="38">
        <f>AR51*1.05</f>
        <v>267.41137500000008</v>
      </c>
      <c r="AS52" s="38">
        <f>AR51*0.05</f>
        <v>12.733875000000005</v>
      </c>
      <c r="AU52" s="37" t="s">
        <v>164</v>
      </c>
      <c r="AV52" s="38">
        <f>AV51*1.05</f>
        <v>20055.853125000001</v>
      </c>
      <c r="AW52" s="38">
        <f>AV51*0.05</f>
        <v>955.04062500000009</v>
      </c>
      <c r="AY52" s="37" t="s">
        <v>164</v>
      </c>
      <c r="AZ52" s="38">
        <f>AZ51*1.05</f>
        <v>267.41137500000008</v>
      </c>
      <c r="BA52" s="38">
        <f>AZ51*0.05</f>
        <v>12.733875000000005</v>
      </c>
      <c r="BC52" s="37" t="s">
        <v>164</v>
      </c>
      <c r="BD52" s="38">
        <f>BD51*1.05</f>
        <v>13370.56875</v>
      </c>
      <c r="BE52" s="38">
        <f>BD51*0.05</f>
        <v>636.69375000000002</v>
      </c>
      <c r="BG52" s="37" t="s">
        <v>164</v>
      </c>
      <c r="BH52" s="38">
        <f>BH51*1.05</f>
        <v>267.41137500000008</v>
      </c>
      <c r="BI52" s="38">
        <f>BH51*0.05</f>
        <v>12.733875000000005</v>
      </c>
      <c r="BK52" s="37" t="s">
        <v>164</v>
      </c>
      <c r="BL52" s="38">
        <f>BL51*1.05</f>
        <v>4545.9933750000009</v>
      </c>
      <c r="BM52" s="38">
        <f>BL51*0.05</f>
        <v>216.47587500000006</v>
      </c>
      <c r="BO52" s="37" t="s">
        <v>164</v>
      </c>
      <c r="BP52" s="38">
        <f>BP51*1.05</f>
        <v>9359.3981250000015</v>
      </c>
      <c r="BQ52" s="38">
        <f>BP51*0.05</f>
        <v>445.68562500000007</v>
      </c>
      <c r="BS52" s="37" t="s">
        <v>164</v>
      </c>
      <c r="BT52" s="38">
        <f>BT51*1.05</f>
        <v>6685.2843750000002</v>
      </c>
      <c r="BU52" s="38">
        <f>BT51*0.05</f>
        <v>318.34687500000001</v>
      </c>
      <c r="BV52" s="44"/>
      <c r="BW52" s="37" t="s">
        <v>164</v>
      </c>
      <c r="BX52" s="38">
        <f>BX51*1.05</f>
        <v>26741.137500000001</v>
      </c>
      <c r="BY52" s="38">
        <f>BX51*0.05</f>
        <v>1273.3875</v>
      </c>
      <c r="CA52" s="37" t="s">
        <v>164</v>
      </c>
      <c r="CB52" s="38">
        <f>CB51*1.05</f>
        <v>6685.2843750000002</v>
      </c>
      <c r="CC52" s="38">
        <f>CB51*0.05</f>
        <v>318.34687500000001</v>
      </c>
      <c r="CD52" s="44"/>
      <c r="CE52" s="37" t="s">
        <v>164</v>
      </c>
      <c r="CF52" s="38">
        <f>CF51*1.05</f>
        <v>13370.56875</v>
      </c>
      <c r="CG52" s="38">
        <f>CF51*0.05</f>
        <v>636.69375000000002</v>
      </c>
      <c r="CI52" s="37" t="s">
        <v>164</v>
      </c>
      <c r="CJ52" s="38">
        <f>CJ51*1.05</f>
        <v>6685.2843750000002</v>
      </c>
      <c r="CK52" s="38">
        <f>CJ51*0.05</f>
        <v>318.34687500000001</v>
      </c>
      <c r="CM52" s="37" t="s">
        <v>164</v>
      </c>
      <c r="CN52" s="38">
        <f>CN51*1.05</f>
        <v>1337.056875</v>
      </c>
      <c r="CO52" s="38">
        <f>CN51*0.05</f>
        <v>63.669375000000002</v>
      </c>
      <c r="CQ52" s="37" t="s">
        <v>164</v>
      </c>
      <c r="CR52" s="38">
        <f>CR51*1.05</f>
        <v>267.41137500000008</v>
      </c>
      <c r="CS52" s="38">
        <f>CR51*0.05</f>
        <v>12.733875000000005</v>
      </c>
      <c r="CU52" s="37" t="s">
        <v>164</v>
      </c>
      <c r="CV52" s="38">
        <f>CV51*1.05</f>
        <v>0</v>
      </c>
      <c r="CW52" s="38">
        <f>CV51*0.05</f>
        <v>0</v>
      </c>
      <c r="CY52" s="37" t="s">
        <v>164</v>
      </c>
      <c r="CZ52" s="38">
        <f>CZ51*1.05</f>
        <v>6417.8730000000005</v>
      </c>
      <c r="DA52" s="38">
        <f>CZ51*0.05</f>
        <v>305.613</v>
      </c>
    </row>
    <row r="53" spans="2:105" x14ac:dyDescent="0.35">
      <c r="B53" s="37" t="s">
        <v>165</v>
      </c>
      <c r="C53" s="38">
        <f>C52*1.05</f>
        <v>14039.097187500001</v>
      </c>
      <c r="D53" s="38">
        <f>C52*0.05</f>
        <v>668.52843750000011</v>
      </c>
      <c r="E53" s="44"/>
      <c r="F53" s="37" t="s">
        <v>165</v>
      </c>
      <c r="G53" s="38">
        <f>G52*1.05</f>
        <v>67387.666500000021</v>
      </c>
      <c r="H53" s="38">
        <f>G52*0.05</f>
        <v>3208.9365000000012</v>
      </c>
      <c r="J53" s="37" t="s">
        <v>165</v>
      </c>
      <c r="K53" s="38">
        <f>K52*1.05</f>
        <v>4211.7291562500013</v>
      </c>
      <c r="L53" s="38">
        <f>K52*0.05</f>
        <v>200.55853125000007</v>
      </c>
      <c r="N53" s="37" t="s">
        <v>165</v>
      </c>
      <c r="O53" s="38">
        <f>O52*1.05</f>
        <v>561.56388750000019</v>
      </c>
      <c r="P53" s="38">
        <f>O52*0.05</f>
        <v>26.741137500000008</v>
      </c>
      <c r="R53" s="37" t="s">
        <v>165</v>
      </c>
      <c r="S53" s="38">
        <f>S52*1.05</f>
        <v>280.7819437500001</v>
      </c>
      <c r="T53" s="38">
        <f>S52*0.05</f>
        <v>13.370568750000004</v>
      </c>
      <c r="W53" s="37" t="s">
        <v>165</v>
      </c>
      <c r="X53" s="38">
        <f>X52*1.05</f>
        <v>280.7819437500001</v>
      </c>
      <c r="Y53" s="38">
        <f>X52*0.05</f>
        <v>13.370568750000004</v>
      </c>
      <c r="AA53" s="37" t="s">
        <v>165</v>
      </c>
      <c r="AB53" s="38">
        <f>AB52*1.05</f>
        <v>280.7819437500001</v>
      </c>
      <c r="AC53" s="38">
        <f>AB52*0.05</f>
        <v>13.370568750000004</v>
      </c>
      <c r="AE53" s="37" t="s">
        <v>165</v>
      </c>
      <c r="AF53" s="38">
        <f>AF52*1.05</f>
        <v>561.56388750000019</v>
      </c>
      <c r="AG53" s="38">
        <f>AF52*0.05</f>
        <v>26.741137500000008</v>
      </c>
      <c r="AI53" s="37" t="s">
        <v>165</v>
      </c>
      <c r="AJ53" s="38">
        <f>AJ52*1.05</f>
        <v>1403.9097187500001</v>
      </c>
      <c r="AK53" s="38">
        <f>AJ52*0.05</f>
        <v>66.852843750000005</v>
      </c>
      <c r="AL53" s="44"/>
      <c r="AM53" s="37" t="s">
        <v>165</v>
      </c>
      <c r="AN53" s="38">
        <f>AN52*1.05</f>
        <v>280.7819437500001</v>
      </c>
      <c r="AO53" s="38">
        <f>AN52*0.05</f>
        <v>13.370568750000004</v>
      </c>
      <c r="AQ53" s="37" t="s">
        <v>165</v>
      </c>
      <c r="AR53" s="38">
        <f>AR52*1.05</f>
        <v>280.7819437500001</v>
      </c>
      <c r="AS53" s="38">
        <f>AR52*0.05</f>
        <v>13.370568750000004</v>
      </c>
      <c r="AU53" s="37" t="s">
        <v>165</v>
      </c>
      <c r="AV53" s="38">
        <f>AV52*1.05</f>
        <v>21058.645781250001</v>
      </c>
      <c r="AW53" s="38">
        <f>AV52*0.05</f>
        <v>1002.7926562500002</v>
      </c>
      <c r="AY53" s="37" t="s">
        <v>165</v>
      </c>
      <c r="AZ53" s="38">
        <f>AZ52*1.05</f>
        <v>280.7819437500001</v>
      </c>
      <c r="BA53" s="38">
        <f>AZ52*0.05</f>
        <v>13.370568750000004</v>
      </c>
      <c r="BC53" s="37" t="s">
        <v>165</v>
      </c>
      <c r="BD53" s="38">
        <f>BD52*1.05</f>
        <v>14039.097187500001</v>
      </c>
      <c r="BE53" s="38">
        <f>BD52*0.05</f>
        <v>668.52843750000011</v>
      </c>
      <c r="BG53" s="37" t="s">
        <v>165</v>
      </c>
      <c r="BH53" s="38">
        <f>BH52*1.05</f>
        <v>280.7819437500001</v>
      </c>
      <c r="BI53" s="38">
        <f>BH52*0.05</f>
        <v>13.370568750000004</v>
      </c>
      <c r="BK53" s="37" t="s">
        <v>165</v>
      </c>
      <c r="BL53" s="38">
        <f>BL52*1.05</f>
        <v>4773.2930437500008</v>
      </c>
      <c r="BM53" s="38">
        <f>BL52*0.05</f>
        <v>227.29966875000005</v>
      </c>
      <c r="BO53" s="37" t="s">
        <v>165</v>
      </c>
      <c r="BP53" s="38">
        <f>BP52*1.05</f>
        <v>9827.3680312500019</v>
      </c>
      <c r="BQ53" s="38">
        <f>BP52*0.05</f>
        <v>467.96990625000012</v>
      </c>
      <c r="BS53" s="37" t="s">
        <v>165</v>
      </c>
      <c r="BT53" s="38">
        <f>BT52*1.05</f>
        <v>7019.5485937500007</v>
      </c>
      <c r="BU53" s="38">
        <f>BT52*0.05</f>
        <v>334.26421875000005</v>
      </c>
      <c r="BV53" s="44"/>
      <c r="BW53" s="37" t="s">
        <v>165</v>
      </c>
      <c r="BX53" s="38">
        <f>BX52*1.05</f>
        <v>28078.194375000003</v>
      </c>
      <c r="BY53" s="38">
        <f>BX52*0.05</f>
        <v>1337.0568750000002</v>
      </c>
      <c r="CA53" s="37" t="s">
        <v>165</v>
      </c>
      <c r="CB53" s="38">
        <f>CB52*1.05</f>
        <v>7019.5485937500007</v>
      </c>
      <c r="CC53" s="38">
        <f>CB52*0.05</f>
        <v>334.26421875000005</v>
      </c>
      <c r="CD53" s="44"/>
      <c r="CE53" s="37" t="s">
        <v>165</v>
      </c>
      <c r="CF53" s="38">
        <f>CF52*1.05</f>
        <v>14039.097187500001</v>
      </c>
      <c r="CG53" s="38">
        <f>CF52*0.05</f>
        <v>668.52843750000011</v>
      </c>
      <c r="CI53" s="37" t="s">
        <v>165</v>
      </c>
      <c r="CJ53" s="38">
        <f>CJ52*1.05</f>
        <v>7019.5485937500007</v>
      </c>
      <c r="CK53" s="38">
        <f>CJ52*0.05</f>
        <v>334.26421875000005</v>
      </c>
      <c r="CM53" s="37" t="s">
        <v>165</v>
      </c>
      <c r="CN53" s="38">
        <f>CN52*1.05</f>
        <v>1403.9097187500001</v>
      </c>
      <c r="CO53" s="38">
        <f>CN52*0.05</f>
        <v>66.852843750000005</v>
      </c>
      <c r="CQ53" s="37" t="s">
        <v>165</v>
      </c>
      <c r="CR53" s="38">
        <f>CR52*1.05</f>
        <v>280.7819437500001</v>
      </c>
      <c r="CS53" s="38">
        <f>CR52*0.05</f>
        <v>13.370568750000004</v>
      </c>
      <c r="CU53" s="37" t="s">
        <v>165</v>
      </c>
      <c r="CV53" s="38">
        <f>CV52*1.05</f>
        <v>0</v>
      </c>
      <c r="CW53" s="38">
        <f>CV52*0.05</f>
        <v>0</v>
      </c>
      <c r="CY53" s="37" t="s">
        <v>165</v>
      </c>
      <c r="CZ53" s="38">
        <f>CZ52*1.05</f>
        <v>6738.7666500000005</v>
      </c>
      <c r="DA53" s="38">
        <f>CZ52*0.05</f>
        <v>320.89365000000004</v>
      </c>
    </row>
    <row r="54" spans="2:105" x14ac:dyDescent="0.35">
      <c r="B54" s="37"/>
      <c r="C54" s="38"/>
      <c r="D54" s="38"/>
      <c r="E54" s="44"/>
      <c r="F54" s="37"/>
      <c r="G54" s="38"/>
      <c r="H54" s="38"/>
      <c r="J54" s="37"/>
      <c r="K54" s="38"/>
      <c r="L54" s="38"/>
      <c r="N54" s="37"/>
      <c r="O54" s="38"/>
      <c r="P54" s="38"/>
      <c r="R54" s="37"/>
      <c r="S54" s="38"/>
      <c r="T54" s="38"/>
      <c r="W54" s="37"/>
      <c r="X54" s="38"/>
      <c r="Y54" s="38"/>
      <c r="AA54" s="37"/>
      <c r="AB54" s="38"/>
      <c r="AC54" s="38"/>
      <c r="AE54" s="37"/>
      <c r="AF54" s="38"/>
      <c r="AG54" s="38"/>
      <c r="AI54" s="37"/>
      <c r="AJ54" s="38"/>
      <c r="AK54" s="38"/>
      <c r="AL54" s="44"/>
      <c r="AM54" s="37"/>
      <c r="AN54" s="38"/>
      <c r="AO54" s="38"/>
      <c r="AQ54" s="37"/>
      <c r="AR54" s="38"/>
      <c r="AS54" s="38"/>
      <c r="AU54" s="37"/>
      <c r="AV54" s="38"/>
      <c r="AW54" s="38"/>
      <c r="AY54" s="37"/>
      <c r="AZ54" s="38"/>
      <c r="BA54" s="38"/>
      <c r="BC54" s="37"/>
      <c r="BD54" s="38"/>
      <c r="BE54" s="38"/>
      <c r="BG54" s="37"/>
      <c r="BH54" s="38"/>
      <c r="BI54" s="38"/>
      <c r="BK54" s="37"/>
      <c r="BL54" s="38"/>
      <c r="BM54" s="38"/>
      <c r="BO54" s="37"/>
      <c r="BP54" s="38"/>
      <c r="BQ54" s="38"/>
      <c r="BS54" s="37"/>
      <c r="BT54" s="38"/>
      <c r="BU54" s="38"/>
      <c r="BV54" s="44"/>
      <c r="BW54" s="37"/>
      <c r="BX54" s="38"/>
      <c r="BY54" s="38"/>
      <c r="CA54" s="37"/>
      <c r="CB54" s="38"/>
      <c r="CC54" s="38"/>
      <c r="CD54" s="44"/>
      <c r="CE54" s="37"/>
      <c r="CF54" s="38"/>
      <c r="CG54" s="38"/>
      <c r="CI54" s="37"/>
      <c r="CJ54" s="38"/>
      <c r="CK54" s="38"/>
      <c r="CM54" s="37"/>
      <c r="CN54" s="38"/>
      <c r="CO54" s="38"/>
      <c r="CQ54" s="37"/>
      <c r="CR54" s="38"/>
      <c r="CS54" s="38"/>
      <c r="CU54" s="37"/>
      <c r="CV54" s="38"/>
      <c r="CW54" s="38"/>
      <c r="CY54" s="37"/>
      <c r="CZ54" s="38"/>
      <c r="DA54" s="38"/>
    </row>
    <row r="55" spans="2:105" x14ac:dyDescent="0.35">
      <c r="B55" s="37" t="s">
        <v>166</v>
      </c>
      <c r="C55" s="38">
        <f>VLOOKUP(B1,INFSHARES,13,0)</f>
        <v>200</v>
      </c>
      <c r="D55" s="38"/>
      <c r="E55" s="44"/>
      <c r="F55" s="37" t="s">
        <v>166</v>
      </c>
      <c r="G55" s="38">
        <f>VLOOKUP(F1,INFSHARES,13,0)</f>
        <v>200</v>
      </c>
      <c r="H55" s="38"/>
      <c r="J55" s="37" t="s">
        <v>166</v>
      </c>
      <c r="K55" s="38">
        <f>VLOOKUP(J1,INFSHARES,13,0)</f>
        <v>200</v>
      </c>
      <c r="L55" s="38"/>
      <c r="N55" s="37" t="s">
        <v>166</v>
      </c>
      <c r="O55" s="38">
        <f>VLOOKUP(N1,INFSHARES,13,0)</f>
        <v>400</v>
      </c>
      <c r="P55" s="38"/>
      <c r="R55" s="37" t="s">
        <v>166</v>
      </c>
      <c r="S55" s="38">
        <f>VLOOKUP(R1,INFSHARES,13,0)</f>
        <v>2000</v>
      </c>
      <c r="T55" s="38"/>
      <c r="W55" s="37" t="s">
        <v>166</v>
      </c>
      <c r="X55" s="38">
        <f>VLOOKUP(W1,INFSHARES,13,0)</f>
        <v>200</v>
      </c>
      <c r="Y55" s="38"/>
      <c r="AA55" s="37" t="s">
        <v>166</v>
      </c>
      <c r="AB55" s="38">
        <f>VLOOKUP(AA1,INFSHARES,13,0)</f>
        <v>200</v>
      </c>
      <c r="AC55" s="38"/>
      <c r="AE55" s="37" t="s">
        <v>166</v>
      </c>
      <c r="AF55" s="38">
        <f>VLOOKUP(AE1,INFSHARES,13,0)</f>
        <v>3600</v>
      </c>
      <c r="AG55" s="38"/>
      <c r="AI55" s="37" t="s">
        <v>166</v>
      </c>
      <c r="AJ55" s="38">
        <f>VLOOKUP(AI1,INFSHARES,13,0)</f>
        <v>200</v>
      </c>
      <c r="AK55" s="38"/>
      <c r="AL55" s="44"/>
      <c r="AM55" s="37" t="s">
        <v>166</v>
      </c>
      <c r="AN55" s="38">
        <f>VLOOKUP(AM1,INFSHARES,13,0)</f>
        <v>200</v>
      </c>
      <c r="AO55" s="38"/>
      <c r="AQ55" s="37" t="s">
        <v>166</v>
      </c>
      <c r="AR55" s="38">
        <f>VLOOKUP(AQ1,INFSHARES,13,0)</f>
        <v>200</v>
      </c>
      <c r="AS55" s="38"/>
      <c r="AU55" s="37" t="s">
        <v>166</v>
      </c>
      <c r="AV55" s="38">
        <f>VLOOKUP(AU1,INFSHARES,13,0)</f>
        <v>200</v>
      </c>
      <c r="AW55" s="38"/>
      <c r="AY55" s="37" t="s">
        <v>166</v>
      </c>
      <c r="AZ55" s="38">
        <f>VLOOKUP(AY1,INFSHARES,13,0)</f>
        <v>200</v>
      </c>
      <c r="BA55" s="38"/>
      <c r="BC55" s="37" t="s">
        <v>166</v>
      </c>
      <c r="BD55" s="38">
        <f>VLOOKUP(BC1,INFSHARES,13,0)</f>
        <v>5000</v>
      </c>
      <c r="BE55" s="38"/>
      <c r="BG55" s="37" t="s">
        <v>166</v>
      </c>
      <c r="BH55" s="38">
        <f>VLOOKUP(BG1,INFSHARES,13,0)</f>
        <v>200</v>
      </c>
      <c r="BI55" s="38"/>
      <c r="BK55" s="37" t="s">
        <v>166</v>
      </c>
      <c r="BL55" s="38">
        <f>VLOOKUP(BK1,INFSHARES,13,0)</f>
        <v>1000</v>
      </c>
      <c r="BM55" s="38"/>
      <c r="BO55" s="37" t="s">
        <v>166</v>
      </c>
      <c r="BP55" s="38">
        <f>VLOOKUP(BO1,INFSHARES,13,0)</f>
        <v>200</v>
      </c>
      <c r="BQ55" s="38"/>
      <c r="BS55" s="37" t="s">
        <v>166</v>
      </c>
      <c r="BT55" s="38">
        <f>VLOOKUP(BS1,INFSHARES,13,0)</f>
        <v>200</v>
      </c>
      <c r="BU55" s="38"/>
      <c r="BV55" s="44"/>
      <c r="BW55" s="37" t="s">
        <v>166</v>
      </c>
      <c r="BX55" s="38">
        <f>VLOOKUP(BW1,INFSHARES,13,0)</f>
        <v>400</v>
      </c>
      <c r="BY55" s="38"/>
      <c r="CA55" s="37" t="s">
        <v>166</v>
      </c>
      <c r="CB55" s="38">
        <f>VLOOKUP(CA1,INFSHARES,13,0)</f>
        <v>200</v>
      </c>
      <c r="CC55" s="38"/>
      <c r="CD55" s="44"/>
      <c r="CE55" s="37" t="s">
        <v>166</v>
      </c>
      <c r="CF55" s="38">
        <f>VLOOKUP(CE1,INFSHARES,13,0)</f>
        <v>200</v>
      </c>
      <c r="CG55" s="38"/>
      <c r="CI55" s="37" t="s">
        <v>166</v>
      </c>
      <c r="CJ55" s="38">
        <f>VLOOKUP(CI1,INFSHARES,13,0)</f>
        <v>1000</v>
      </c>
      <c r="CK55" s="38"/>
      <c r="CM55" s="37" t="s">
        <v>166</v>
      </c>
      <c r="CN55" s="38">
        <f>VLOOKUP(CM1,INFSHARES,13,0)</f>
        <v>200</v>
      </c>
      <c r="CO55" s="38"/>
      <c r="CQ55" s="37" t="s">
        <v>166</v>
      </c>
      <c r="CR55" s="38">
        <f>VLOOKUP(CQ1,INFSHARES,13,0)</f>
        <v>400</v>
      </c>
      <c r="CS55" s="38"/>
      <c r="CU55" s="37" t="s">
        <v>166</v>
      </c>
      <c r="CV55" s="38">
        <f>VLOOKUP(CU1,INFSHARES,13,0)</f>
        <v>0</v>
      </c>
      <c r="CW55" s="38"/>
      <c r="CY55" s="37" t="s">
        <v>166</v>
      </c>
      <c r="CZ55" s="38">
        <f>VLOOKUP(CY1,INFRACASHshares2025,13,0)</f>
        <v>4600</v>
      </c>
      <c r="DA55" s="38"/>
    </row>
    <row r="56" spans="2:105" x14ac:dyDescent="0.35">
      <c r="B56" s="37" t="s">
        <v>7</v>
      </c>
      <c r="C56" s="38">
        <f>C55*1.1</f>
        <v>220.00000000000003</v>
      </c>
      <c r="D56" s="38">
        <f>C55*0.1</f>
        <v>20</v>
      </c>
      <c r="E56" s="44"/>
      <c r="F56" s="37" t="s">
        <v>7</v>
      </c>
      <c r="G56" s="38">
        <f>G55*1.1</f>
        <v>220.00000000000003</v>
      </c>
      <c r="H56" s="38">
        <f>G55*0.1</f>
        <v>20</v>
      </c>
      <c r="J56" s="37" t="s">
        <v>7</v>
      </c>
      <c r="K56" s="38">
        <f>K55*1.1</f>
        <v>220.00000000000003</v>
      </c>
      <c r="L56" s="38">
        <f>K55*0.1</f>
        <v>20</v>
      </c>
      <c r="N56" s="37" t="s">
        <v>7</v>
      </c>
      <c r="O56" s="38">
        <f>O55*1.1</f>
        <v>440.00000000000006</v>
      </c>
      <c r="P56" s="38">
        <f>O55*0.1</f>
        <v>40</v>
      </c>
      <c r="R56" s="37" t="s">
        <v>7</v>
      </c>
      <c r="S56" s="38">
        <f>S55*1.1</f>
        <v>2200</v>
      </c>
      <c r="T56" s="38">
        <f>S55*0.1</f>
        <v>200</v>
      </c>
      <c r="W56" s="37" t="s">
        <v>7</v>
      </c>
      <c r="X56" s="38">
        <f>X55*1.1</f>
        <v>220.00000000000003</v>
      </c>
      <c r="Y56" s="38">
        <f>X55*0.1</f>
        <v>20</v>
      </c>
      <c r="AA56" s="37" t="s">
        <v>7</v>
      </c>
      <c r="AB56" s="38">
        <f>AB55*1.1</f>
        <v>220.00000000000003</v>
      </c>
      <c r="AC56" s="38">
        <f>AB55*0.1</f>
        <v>20</v>
      </c>
      <c r="AE56" s="37" t="s">
        <v>7</v>
      </c>
      <c r="AF56" s="38">
        <f>AF55*1.1</f>
        <v>3960.0000000000005</v>
      </c>
      <c r="AG56" s="38">
        <f>AF55*0.1</f>
        <v>360</v>
      </c>
      <c r="AI56" s="37" t="s">
        <v>7</v>
      </c>
      <c r="AJ56" s="38">
        <f>AJ55*1.1</f>
        <v>220.00000000000003</v>
      </c>
      <c r="AK56" s="38">
        <f>AJ55*0.1</f>
        <v>20</v>
      </c>
      <c r="AL56" s="44"/>
      <c r="AM56" s="37" t="s">
        <v>7</v>
      </c>
      <c r="AN56" s="38">
        <f>AN55*1.1</f>
        <v>220.00000000000003</v>
      </c>
      <c r="AO56" s="38">
        <f>AN55*0.1</f>
        <v>20</v>
      </c>
      <c r="AQ56" s="37" t="s">
        <v>7</v>
      </c>
      <c r="AR56" s="38">
        <f>AR55*1.1</f>
        <v>220.00000000000003</v>
      </c>
      <c r="AS56" s="38">
        <f>AR55*0.1</f>
        <v>20</v>
      </c>
      <c r="AU56" s="37" t="s">
        <v>7</v>
      </c>
      <c r="AV56" s="38">
        <f>AV55*1.1</f>
        <v>220.00000000000003</v>
      </c>
      <c r="AW56" s="38">
        <f>AV55*0.1</f>
        <v>20</v>
      </c>
      <c r="AY56" s="37" t="s">
        <v>7</v>
      </c>
      <c r="AZ56" s="38">
        <f>AZ55*1.1</f>
        <v>220.00000000000003</v>
      </c>
      <c r="BA56" s="38">
        <f>AZ55*0.1</f>
        <v>20</v>
      </c>
      <c r="BC56" s="37" t="s">
        <v>7</v>
      </c>
      <c r="BD56" s="38">
        <f>BD55*1.1</f>
        <v>5500</v>
      </c>
      <c r="BE56" s="38">
        <f>BD55*0.1</f>
        <v>500</v>
      </c>
      <c r="BG56" s="37" t="s">
        <v>7</v>
      </c>
      <c r="BH56" s="38">
        <f>BH55*1.1</f>
        <v>220.00000000000003</v>
      </c>
      <c r="BI56" s="38">
        <f>BH55*0.1</f>
        <v>20</v>
      </c>
      <c r="BK56" s="37" t="s">
        <v>7</v>
      </c>
      <c r="BL56" s="38">
        <f>BL55*1.1</f>
        <v>1100</v>
      </c>
      <c r="BM56" s="38">
        <f>BL55*0.1</f>
        <v>100</v>
      </c>
      <c r="BO56" s="37" t="s">
        <v>7</v>
      </c>
      <c r="BP56" s="38">
        <f>BP55*1.1</f>
        <v>220.00000000000003</v>
      </c>
      <c r="BQ56" s="38">
        <f>BP55*0.1</f>
        <v>20</v>
      </c>
      <c r="BS56" s="37" t="s">
        <v>7</v>
      </c>
      <c r="BT56" s="38">
        <f>BT55*1.1</f>
        <v>220.00000000000003</v>
      </c>
      <c r="BU56" s="38">
        <f>BT55*0.1</f>
        <v>20</v>
      </c>
      <c r="BV56" s="44"/>
      <c r="BW56" s="37" t="s">
        <v>7</v>
      </c>
      <c r="BX56" s="38">
        <f>BX55*1.1</f>
        <v>440.00000000000006</v>
      </c>
      <c r="BY56" s="38">
        <f>BX55*0.1</f>
        <v>40</v>
      </c>
      <c r="CA56" s="37" t="s">
        <v>7</v>
      </c>
      <c r="CB56" s="38">
        <f>CB55*1.1</f>
        <v>220.00000000000003</v>
      </c>
      <c r="CC56" s="38">
        <f>CB55*0.1</f>
        <v>20</v>
      </c>
      <c r="CD56" s="44"/>
      <c r="CE56" s="37" t="s">
        <v>7</v>
      </c>
      <c r="CF56" s="38">
        <f>CF55*1.1</f>
        <v>220.00000000000003</v>
      </c>
      <c r="CG56" s="38">
        <f>CF55*0.1</f>
        <v>20</v>
      </c>
      <c r="CI56" s="37" t="s">
        <v>7</v>
      </c>
      <c r="CJ56" s="38">
        <f>CJ55*1.1</f>
        <v>1100</v>
      </c>
      <c r="CK56" s="38">
        <f>CJ55*0.1</f>
        <v>100</v>
      </c>
      <c r="CM56" s="37" t="s">
        <v>7</v>
      </c>
      <c r="CN56" s="38">
        <f>CN55*1.1</f>
        <v>220.00000000000003</v>
      </c>
      <c r="CO56" s="38">
        <f>CN55*0.1</f>
        <v>20</v>
      </c>
      <c r="CQ56" s="37" t="s">
        <v>7</v>
      </c>
      <c r="CR56" s="38">
        <f>CR55*1.1</f>
        <v>440.00000000000006</v>
      </c>
      <c r="CS56" s="38">
        <f>CR55*0.1</f>
        <v>40</v>
      </c>
      <c r="CU56" s="37" t="s">
        <v>7</v>
      </c>
      <c r="CV56" s="38">
        <f>CV55*1.1</f>
        <v>0</v>
      </c>
      <c r="CW56" s="38">
        <f>CV55*0.1</f>
        <v>0</v>
      </c>
      <c r="CY56" s="37" t="s">
        <v>7</v>
      </c>
      <c r="CZ56" s="38">
        <f>CZ55*1.1</f>
        <v>5060</v>
      </c>
      <c r="DA56" s="38">
        <f>CZ55*0.1</f>
        <v>460</v>
      </c>
    </row>
    <row r="57" spans="2:105" x14ac:dyDescent="0.35">
      <c r="B57" s="37" t="s">
        <v>8</v>
      </c>
      <c r="C57" s="38">
        <f>C56*1.05</f>
        <v>231.00000000000003</v>
      </c>
      <c r="D57" s="38">
        <f>C56*0.05</f>
        <v>11.000000000000002</v>
      </c>
      <c r="E57" s="44"/>
      <c r="F57" s="37" t="s">
        <v>8</v>
      </c>
      <c r="G57" s="38">
        <f>G56*1.05</f>
        <v>231.00000000000003</v>
      </c>
      <c r="H57" s="38">
        <f>G56*0.05</f>
        <v>11.000000000000002</v>
      </c>
      <c r="J57" s="37" t="s">
        <v>8</v>
      </c>
      <c r="K57" s="38">
        <f>K56*1.05</f>
        <v>231.00000000000003</v>
      </c>
      <c r="L57" s="38">
        <f>K56*0.05</f>
        <v>11.000000000000002</v>
      </c>
      <c r="N57" s="37" t="s">
        <v>8</v>
      </c>
      <c r="O57" s="38">
        <f>O56*1.05</f>
        <v>462.00000000000006</v>
      </c>
      <c r="P57" s="38">
        <f>O56*0.05</f>
        <v>22.000000000000004</v>
      </c>
      <c r="R57" s="37" t="s">
        <v>8</v>
      </c>
      <c r="S57" s="38">
        <f>S56*1.05</f>
        <v>2310</v>
      </c>
      <c r="T57" s="38">
        <f>S56*0.05</f>
        <v>110</v>
      </c>
      <c r="W57" s="37" t="s">
        <v>8</v>
      </c>
      <c r="X57" s="38">
        <f>X56*1.05</f>
        <v>231.00000000000003</v>
      </c>
      <c r="Y57" s="38">
        <f>X56*0.05</f>
        <v>11.000000000000002</v>
      </c>
      <c r="AA57" s="37" t="s">
        <v>8</v>
      </c>
      <c r="AB57" s="38">
        <f>AB56*1.05</f>
        <v>231.00000000000003</v>
      </c>
      <c r="AC57" s="38">
        <f>AB56*0.05</f>
        <v>11.000000000000002</v>
      </c>
      <c r="AE57" s="37" t="s">
        <v>8</v>
      </c>
      <c r="AF57" s="38">
        <f>AF56*1.05</f>
        <v>4158.0000000000009</v>
      </c>
      <c r="AG57" s="38">
        <f>AF56*0.05</f>
        <v>198.00000000000003</v>
      </c>
      <c r="AI57" s="37" t="s">
        <v>8</v>
      </c>
      <c r="AJ57" s="38">
        <f>AJ56*1.05</f>
        <v>231.00000000000003</v>
      </c>
      <c r="AK57" s="38">
        <f>AJ56*0.05</f>
        <v>11.000000000000002</v>
      </c>
      <c r="AL57" s="44"/>
      <c r="AM57" s="37" t="s">
        <v>8</v>
      </c>
      <c r="AN57" s="38">
        <f>AN56*1.05</f>
        <v>231.00000000000003</v>
      </c>
      <c r="AO57" s="38">
        <f>AN56*0.05</f>
        <v>11.000000000000002</v>
      </c>
      <c r="AQ57" s="37" t="s">
        <v>8</v>
      </c>
      <c r="AR57" s="38">
        <f>AR56*1.05</f>
        <v>231.00000000000003</v>
      </c>
      <c r="AS57" s="38">
        <f>AR56*0.05</f>
        <v>11.000000000000002</v>
      </c>
      <c r="AU57" s="37" t="s">
        <v>8</v>
      </c>
      <c r="AV57" s="38">
        <f>AV56*1.05</f>
        <v>231.00000000000003</v>
      </c>
      <c r="AW57" s="38">
        <f>AV56*0.05</f>
        <v>11.000000000000002</v>
      </c>
      <c r="AY57" s="37" t="s">
        <v>8</v>
      </c>
      <c r="AZ57" s="38">
        <f>AZ56*1.05</f>
        <v>231.00000000000003</v>
      </c>
      <c r="BA57" s="38">
        <f>AZ56*0.05</f>
        <v>11.000000000000002</v>
      </c>
      <c r="BC57" s="37" t="s">
        <v>8</v>
      </c>
      <c r="BD57" s="38">
        <f>BD56*1.05</f>
        <v>5775</v>
      </c>
      <c r="BE57" s="38">
        <f>BD56*0.05</f>
        <v>275</v>
      </c>
      <c r="BG57" s="37" t="s">
        <v>8</v>
      </c>
      <c r="BH57" s="38">
        <f>BH56*1.05</f>
        <v>231.00000000000003</v>
      </c>
      <c r="BI57" s="38">
        <f>BH56*0.05</f>
        <v>11.000000000000002</v>
      </c>
      <c r="BK57" s="37" t="s">
        <v>8</v>
      </c>
      <c r="BL57" s="38">
        <f>BL56*1.05</f>
        <v>1155</v>
      </c>
      <c r="BM57" s="38">
        <f>BL56*0.05</f>
        <v>55</v>
      </c>
      <c r="BO57" s="37" t="s">
        <v>8</v>
      </c>
      <c r="BP57" s="38">
        <f>BP56*1.05</f>
        <v>231.00000000000003</v>
      </c>
      <c r="BQ57" s="38">
        <f>BP56*0.05</f>
        <v>11.000000000000002</v>
      </c>
      <c r="BS57" s="37" t="s">
        <v>8</v>
      </c>
      <c r="BT57" s="38">
        <f>BT56*1.05</f>
        <v>231.00000000000003</v>
      </c>
      <c r="BU57" s="38">
        <f>BT56*0.05</f>
        <v>11.000000000000002</v>
      </c>
      <c r="BV57" s="44"/>
      <c r="BW57" s="37" t="s">
        <v>8</v>
      </c>
      <c r="BX57" s="38">
        <f>BX56*1.05</f>
        <v>462.00000000000006</v>
      </c>
      <c r="BY57" s="38">
        <f>BX56*0.05</f>
        <v>22.000000000000004</v>
      </c>
      <c r="CA57" s="37" t="s">
        <v>8</v>
      </c>
      <c r="CB57" s="38">
        <f>CB56*1.05</f>
        <v>231.00000000000003</v>
      </c>
      <c r="CC57" s="38">
        <f>CB56*0.05</f>
        <v>11.000000000000002</v>
      </c>
      <c r="CD57" s="44"/>
      <c r="CE57" s="37" t="s">
        <v>8</v>
      </c>
      <c r="CF57" s="38">
        <f>CF56*1.05</f>
        <v>231.00000000000003</v>
      </c>
      <c r="CG57" s="38">
        <f>CF56*0.05</f>
        <v>11.000000000000002</v>
      </c>
      <c r="CI57" s="37" t="s">
        <v>8</v>
      </c>
      <c r="CJ57" s="38">
        <f>CJ56*1.05</f>
        <v>1155</v>
      </c>
      <c r="CK57" s="38">
        <f>CJ56*0.05</f>
        <v>55</v>
      </c>
      <c r="CM57" s="37" t="s">
        <v>8</v>
      </c>
      <c r="CN57" s="38">
        <f>CN56*1.05</f>
        <v>231.00000000000003</v>
      </c>
      <c r="CO57" s="38">
        <f>CN56*0.05</f>
        <v>11.000000000000002</v>
      </c>
      <c r="CQ57" s="37" t="s">
        <v>8</v>
      </c>
      <c r="CR57" s="38">
        <f>CR56*1.05</f>
        <v>462.00000000000006</v>
      </c>
      <c r="CS57" s="38">
        <f>CR56*0.05</f>
        <v>22.000000000000004</v>
      </c>
      <c r="CU57" s="37" t="s">
        <v>8</v>
      </c>
      <c r="CV57" s="38">
        <f>CV56*1.05</f>
        <v>0</v>
      </c>
      <c r="CW57" s="38">
        <f>CV56*0.05</f>
        <v>0</v>
      </c>
      <c r="CY57" s="37" t="s">
        <v>8</v>
      </c>
      <c r="CZ57" s="38">
        <f>CZ56*1.05</f>
        <v>5313</v>
      </c>
      <c r="DA57" s="38">
        <f>CZ56*0.05</f>
        <v>253</v>
      </c>
    </row>
    <row r="58" spans="2:105" x14ac:dyDescent="0.35">
      <c r="B58" s="37" t="s">
        <v>9</v>
      </c>
      <c r="C58" s="38">
        <f>C57*1.05</f>
        <v>242.55000000000004</v>
      </c>
      <c r="D58" s="38">
        <f>C57*0.05</f>
        <v>11.550000000000002</v>
      </c>
      <c r="E58" s="44"/>
      <c r="F58" s="37" t="s">
        <v>9</v>
      </c>
      <c r="G58" s="38">
        <f>G57*1.05</f>
        <v>242.55000000000004</v>
      </c>
      <c r="H58" s="38">
        <f>G57*0.05</f>
        <v>11.550000000000002</v>
      </c>
      <c r="J58" s="37" t="s">
        <v>9</v>
      </c>
      <c r="K58" s="38">
        <f>K57*1.05</f>
        <v>242.55000000000004</v>
      </c>
      <c r="L58" s="38">
        <f>K57*0.05</f>
        <v>11.550000000000002</v>
      </c>
      <c r="N58" s="37" t="s">
        <v>9</v>
      </c>
      <c r="O58" s="38">
        <f>O57*1.05</f>
        <v>485.10000000000008</v>
      </c>
      <c r="P58" s="38">
        <f>O57*0.05</f>
        <v>23.100000000000005</v>
      </c>
      <c r="R58" s="37" t="s">
        <v>9</v>
      </c>
      <c r="S58" s="38">
        <f>S57*1.05</f>
        <v>2425.5</v>
      </c>
      <c r="T58" s="38">
        <f>S57*0.05</f>
        <v>115.5</v>
      </c>
      <c r="W58" s="37" t="s">
        <v>9</v>
      </c>
      <c r="X58" s="38">
        <f>X57*1.05</f>
        <v>242.55000000000004</v>
      </c>
      <c r="Y58" s="38">
        <f>X57*0.05</f>
        <v>11.550000000000002</v>
      </c>
      <c r="AA58" s="37" t="s">
        <v>9</v>
      </c>
      <c r="AB58" s="38">
        <f>AB57*1.05</f>
        <v>242.55000000000004</v>
      </c>
      <c r="AC58" s="38">
        <f>AB57*0.05</f>
        <v>11.550000000000002</v>
      </c>
      <c r="AE58" s="37" t="s">
        <v>9</v>
      </c>
      <c r="AF58" s="38">
        <f>AF57*1.05</f>
        <v>4365.9000000000015</v>
      </c>
      <c r="AG58" s="38">
        <f>AF57*0.05</f>
        <v>207.90000000000006</v>
      </c>
      <c r="AI58" s="37" t="s">
        <v>9</v>
      </c>
      <c r="AJ58" s="38">
        <f>AJ57*1.05</f>
        <v>242.55000000000004</v>
      </c>
      <c r="AK58" s="38">
        <f>AJ57*0.05</f>
        <v>11.550000000000002</v>
      </c>
      <c r="AL58" s="44"/>
      <c r="AM58" s="37" t="s">
        <v>9</v>
      </c>
      <c r="AN58" s="38">
        <f>AN57*1.05</f>
        <v>242.55000000000004</v>
      </c>
      <c r="AO58" s="38">
        <f>AN57*0.05</f>
        <v>11.550000000000002</v>
      </c>
      <c r="AQ58" s="37" t="s">
        <v>9</v>
      </c>
      <c r="AR58" s="38">
        <f>AR57*1.05</f>
        <v>242.55000000000004</v>
      </c>
      <c r="AS58" s="38">
        <f>AR57*0.05</f>
        <v>11.550000000000002</v>
      </c>
      <c r="AU58" s="37" t="s">
        <v>9</v>
      </c>
      <c r="AV58" s="38">
        <f>AV57*1.05</f>
        <v>242.55000000000004</v>
      </c>
      <c r="AW58" s="38">
        <f>AV57*0.05</f>
        <v>11.550000000000002</v>
      </c>
      <c r="AY58" s="37" t="s">
        <v>9</v>
      </c>
      <c r="AZ58" s="38">
        <f>AZ57*1.05</f>
        <v>242.55000000000004</v>
      </c>
      <c r="BA58" s="38">
        <f>AZ57*0.05</f>
        <v>11.550000000000002</v>
      </c>
      <c r="BC58" s="37" t="s">
        <v>9</v>
      </c>
      <c r="BD58" s="38">
        <f>BD57*1.05</f>
        <v>6063.75</v>
      </c>
      <c r="BE58" s="38">
        <f>BD57*0.05</f>
        <v>288.75</v>
      </c>
      <c r="BG58" s="37" t="s">
        <v>9</v>
      </c>
      <c r="BH58" s="38">
        <f>BH57*1.05</f>
        <v>242.55000000000004</v>
      </c>
      <c r="BI58" s="38">
        <f>BH57*0.05</f>
        <v>11.550000000000002</v>
      </c>
      <c r="BK58" s="37" t="s">
        <v>9</v>
      </c>
      <c r="BL58" s="38">
        <f>BL57*1.05</f>
        <v>1212.75</v>
      </c>
      <c r="BM58" s="38">
        <f>BL57*0.05</f>
        <v>57.75</v>
      </c>
      <c r="BO58" s="37" t="s">
        <v>9</v>
      </c>
      <c r="BP58" s="38">
        <f>BP57*1.05</f>
        <v>242.55000000000004</v>
      </c>
      <c r="BQ58" s="38">
        <f>BP57*0.05</f>
        <v>11.550000000000002</v>
      </c>
      <c r="BS58" s="37" t="s">
        <v>9</v>
      </c>
      <c r="BT58" s="38">
        <f>BT57*1.05</f>
        <v>242.55000000000004</v>
      </c>
      <c r="BU58" s="38">
        <f>BT57*0.05</f>
        <v>11.550000000000002</v>
      </c>
      <c r="BV58" s="44"/>
      <c r="BW58" s="37" t="s">
        <v>9</v>
      </c>
      <c r="BX58" s="38">
        <f>BX57*1.05</f>
        <v>485.10000000000008</v>
      </c>
      <c r="BY58" s="38">
        <f>BX57*0.05</f>
        <v>23.100000000000005</v>
      </c>
      <c r="CA58" s="37" t="s">
        <v>9</v>
      </c>
      <c r="CB58" s="38">
        <f>CB57*1.05</f>
        <v>242.55000000000004</v>
      </c>
      <c r="CC58" s="38">
        <f>CB57*0.05</f>
        <v>11.550000000000002</v>
      </c>
      <c r="CD58" s="44"/>
      <c r="CE58" s="37" t="s">
        <v>9</v>
      </c>
      <c r="CF58" s="38">
        <f>CF57*1.05</f>
        <v>242.55000000000004</v>
      </c>
      <c r="CG58" s="38">
        <f>CF57*0.05</f>
        <v>11.550000000000002</v>
      </c>
      <c r="CI58" s="37" t="s">
        <v>9</v>
      </c>
      <c r="CJ58" s="38">
        <f>CJ57*1.05</f>
        <v>1212.75</v>
      </c>
      <c r="CK58" s="38">
        <f>CJ57*0.05</f>
        <v>57.75</v>
      </c>
      <c r="CM58" s="37" t="s">
        <v>9</v>
      </c>
      <c r="CN58" s="38">
        <f>CN57*1.05</f>
        <v>242.55000000000004</v>
      </c>
      <c r="CO58" s="38">
        <f>CN57*0.05</f>
        <v>11.550000000000002</v>
      </c>
      <c r="CQ58" s="37" t="s">
        <v>9</v>
      </c>
      <c r="CR58" s="38">
        <f>CR57*1.05</f>
        <v>485.10000000000008</v>
      </c>
      <c r="CS58" s="38">
        <f>CR57*0.05</f>
        <v>23.100000000000005</v>
      </c>
      <c r="CU58" s="37" t="s">
        <v>9</v>
      </c>
      <c r="CV58" s="38">
        <f>CV57*1.05</f>
        <v>0</v>
      </c>
      <c r="CW58" s="38">
        <f>CV57*0.05</f>
        <v>0</v>
      </c>
      <c r="CY58" s="37" t="s">
        <v>9</v>
      </c>
      <c r="CZ58" s="38">
        <f>CZ57*1.05</f>
        <v>5578.6500000000005</v>
      </c>
      <c r="DA58" s="38">
        <f>CZ57*0.05</f>
        <v>265.65000000000003</v>
      </c>
    </row>
    <row r="59" spans="2:105" x14ac:dyDescent="0.35">
      <c r="B59" s="37" t="s">
        <v>164</v>
      </c>
      <c r="C59" s="38">
        <f>C58*1.05</f>
        <v>254.67750000000007</v>
      </c>
      <c r="D59" s="38">
        <f>C58*0.05</f>
        <v>12.127500000000003</v>
      </c>
      <c r="E59" s="44"/>
      <c r="F59" s="37" t="s">
        <v>164</v>
      </c>
      <c r="G59" s="38">
        <f>G58*1.05</f>
        <v>254.67750000000007</v>
      </c>
      <c r="H59" s="38">
        <f>G58*0.05</f>
        <v>12.127500000000003</v>
      </c>
      <c r="J59" s="37" t="s">
        <v>164</v>
      </c>
      <c r="K59" s="38">
        <f>K58*1.05</f>
        <v>254.67750000000007</v>
      </c>
      <c r="L59" s="38">
        <f>K58*0.05</f>
        <v>12.127500000000003</v>
      </c>
      <c r="N59" s="37" t="s">
        <v>164</v>
      </c>
      <c r="O59" s="38">
        <f>O58*1.05</f>
        <v>509.35500000000013</v>
      </c>
      <c r="P59" s="38">
        <f>O58*0.05</f>
        <v>24.255000000000006</v>
      </c>
      <c r="R59" s="37" t="s">
        <v>164</v>
      </c>
      <c r="S59" s="38">
        <f>S58*1.05</f>
        <v>2546.7750000000001</v>
      </c>
      <c r="T59" s="38">
        <f>S58*0.05</f>
        <v>121.27500000000001</v>
      </c>
      <c r="W59" s="37" t="s">
        <v>164</v>
      </c>
      <c r="X59" s="38">
        <f>X58*1.05</f>
        <v>254.67750000000007</v>
      </c>
      <c r="Y59" s="38">
        <f>X58*0.05</f>
        <v>12.127500000000003</v>
      </c>
      <c r="AA59" s="37" t="s">
        <v>164</v>
      </c>
      <c r="AB59" s="38">
        <f>AB58*1.05</f>
        <v>254.67750000000007</v>
      </c>
      <c r="AC59" s="38">
        <f>AB58*0.05</f>
        <v>12.127500000000003</v>
      </c>
      <c r="AE59" s="37" t="s">
        <v>164</v>
      </c>
      <c r="AF59" s="38">
        <f>AF58*1.05</f>
        <v>4584.1950000000015</v>
      </c>
      <c r="AG59" s="38">
        <f>AF58*0.05</f>
        <v>218.29500000000007</v>
      </c>
      <c r="AI59" s="37" t="s">
        <v>164</v>
      </c>
      <c r="AJ59" s="38">
        <f>AJ58*1.05</f>
        <v>254.67750000000007</v>
      </c>
      <c r="AK59" s="38">
        <f>AJ58*0.05</f>
        <v>12.127500000000003</v>
      </c>
      <c r="AL59" s="44"/>
      <c r="AM59" s="37" t="s">
        <v>164</v>
      </c>
      <c r="AN59" s="38">
        <f>AN58*1.05</f>
        <v>254.67750000000007</v>
      </c>
      <c r="AO59" s="38">
        <f>AN58*0.05</f>
        <v>12.127500000000003</v>
      </c>
      <c r="AQ59" s="37" t="s">
        <v>164</v>
      </c>
      <c r="AR59" s="38">
        <f>AR58*1.05</f>
        <v>254.67750000000007</v>
      </c>
      <c r="AS59" s="38">
        <f>AR58*0.05</f>
        <v>12.127500000000003</v>
      </c>
      <c r="AU59" s="37" t="s">
        <v>164</v>
      </c>
      <c r="AV59" s="38">
        <f>AV58*1.05</f>
        <v>254.67750000000007</v>
      </c>
      <c r="AW59" s="38">
        <f>AV58*0.05</f>
        <v>12.127500000000003</v>
      </c>
      <c r="AY59" s="37" t="s">
        <v>164</v>
      </c>
      <c r="AZ59" s="38">
        <f>AZ58*1.05</f>
        <v>254.67750000000007</v>
      </c>
      <c r="BA59" s="38">
        <f>AZ58*0.05</f>
        <v>12.127500000000003</v>
      </c>
      <c r="BC59" s="37" t="s">
        <v>164</v>
      </c>
      <c r="BD59" s="38">
        <f>BD58*1.05</f>
        <v>6366.9375</v>
      </c>
      <c r="BE59" s="38">
        <f>BD58*0.05</f>
        <v>303.1875</v>
      </c>
      <c r="BG59" s="37" t="s">
        <v>164</v>
      </c>
      <c r="BH59" s="38">
        <f>BH58*1.05</f>
        <v>254.67750000000007</v>
      </c>
      <c r="BI59" s="38">
        <f>BH58*0.05</f>
        <v>12.127500000000003</v>
      </c>
      <c r="BK59" s="37" t="s">
        <v>164</v>
      </c>
      <c r="BL59" s="38">
        <f>BL58*1.05</f>
        <v>1273.3875</v>
      </c>
      <c r="BM59" s="38">
        <f>BL58*0.05</f>
        <v>60.637500000000003</v>
      </c>
      <c r="BO59" s="37" t="s">
        <v>164</v>
      </c>
      <c r="BP59" s="38">
        <f>BP58*1.05</f>
        <v>254.67750000000007</v>
      </c>
      <c r="BQ59" s="38">
        <f>BP58*0.05</f>
        <v>12.127500000000003</v>
      </c>
      <c r="BS59" s="37" t="s">
        <v>164</v>
      </c>
      <c r="BT59" s="38">
        <f>BT58*1.05</f>
        <v>254.67750000000007</v>
      </c>
      <c r="BU59" s="38">
        <f>BT58*0.05</f>
        <v>12.127500000000003</v>
      </c>
      <c r="BV59" s="44"/>
      <c r="BW59" s="37" t="s">
        <v>164</v>
      </c>
      <c r="BX59" s="38">
        <f>BX58*1.05</f>
        <v>509.35500000000013</v>
      </c>
      <c r="BY59" s="38">
        <f>BX58*0.05</f>
        <v>24.255000000000006</v>
      </c>
      <c r="CA59" s="37" t="s">
        <v>164</v>
      </c>
      <c r="CB59" s="38">
        <f>CB58*1.05</f>
        <v>254.67750000000007</v>
      </c>
      <c r="CC59" s="38">
        <f>CB58*0.05</f>
        <v>12.127500000000003</v>
      </c>
      <c r="CD59" s="44"/>
      <c r="CE59" s="37" t="s">
        <v>164</v>
      </c>
      <c r="CF59" s="38">
        <f>CF58*1.05</f>
        <v>254.67750000000007</v>
      </c>
      <c r="CG59" s="38">
        <f>CF58*0.05</f>
        <v>12.127500000000003</v>
      </c>
      <c r="CI59" s="37" t="s">
        <v>164</v>
      </c>
      <c r="CJ59" s="38">
        <f>CJ58*1.05</f>
        <v>1273.3875</v>
      </c>
      <c r="CK59" s="38">
        <f>CJ58*0.05</f>
        <v>60.637500000000003</v>
      </c>
      <c r="CM59" s="37" t="s">
        <v>164</v>
      </c>
      <c r="CN59" s="38">
        <f>CN58*1.05</f>
        <v>254.67750000000007</v>
      </c>
      <c r="CO59" s="38">
        <f>CN58*0.05</f>
        <v>12.127500000000003</v>
      </c>
      <c r="CQ59" s="37" t="s">
        <v>164</v>
      </c>
      <c r="CR59" s="38">
        <f>CR58*1.05</f>
        <v>509.35500000000013</v>
      </c>
      <c r="CS59" s="38">
        <f>CR58*0.05</f>
        <v>24.255000000000006</v>
      </c>
      <c r="CU59" s="37" t="s">
        <v>164</v>
      </c>
      <c r="CV59" s="38">
        <f>CV58*1.05</f>
        <v>0</v>
      </c>
      <c r="CW59" s="38">
        <f>CV58*0.05</f>
        <v>0</v>
      </c>
      <c r="CY59" s="37" t="s">
        <v>164</v>
      </c>
      <c r="CZ59" s="38">
        <f>CZ58*1.05</f>
        <v>5857.5825000000004</v>
      </c>
      <c r="DA59" s="38">
        <f>CZ58*0.05</f>
        <v>278.93250000000006</v>
      </c>
    </row>
    <row r="60" spans="2:105" x14ac:dyDescent="0.35">
      <c r="B60" s="37" t="s">
        <v>165</v>
      </c>
      <c r="C60" s="38">
        <f>C59*1.05</f>
        <v>267.41137500000008</v>
      </c>
      <c r="D60" s="38">
        <f>C59*0.05</f>
        <v>12.733875000000005</v>
      </c>
      <c r="E60" s="44"/>
      <c r="F60" s="37" t="s">
        <v>165</v>
      </c>
      <c r="G60" s="38">
        <f>G59*1.05</f>
        <v>267.41137500000008</v>
      </c>
      <c r="H60" s="38">
        <f>G59*0.05</f>
        <v>12.733875000000005</v>
      </c>
      <c r="J60" s="37" t="s">
        <v>165</v>
      </c>
      <c r="K60" s="38">
        <f>K59*1.05</f>
        <v>267.41137500000008</v>
      </c>
      <c r="L60" s="38">
        <f>K59*0.05</f>
        <v>12.733875000000005</v>
      </c>
      <c r="N60" s="37" t="s">
        <v>165</v>
      </c>
      <c r="O60" s="38">
        <f>O59*1.05</f>
        <v>534.82275000000016</v>
      </c>
      <c r="P60" s="38">
        <f>O59*0.05</f>
        <v>25.467750000000009</v>
      </c>
      <c r="R60" s="37" t="s">
        <v>165</v>
      </c>
      <c r="S60" s="38">
        <f>S59*1.05</f>
        <v>2674.11375</v>
      </c>
      <c r="T60" s="38">
        <f>S59*0.05</f>
        <v>127.33875</v>
      </c>
      <c r="W60" s="37" t="s">
        <v>165</v>
      </c>
      <c r="X60" s="38">
        <f>X59*1.05</f>
        <v>267.41137500000008</v>
      </c>
      <c r="Y60" s="38">
        <f>X59*0.05</f>
        <v>12.733875000000005</v>
      </c>
      <c r="AA60" s="37" t="s">
        <v>165</v>
      </c>
      <c r="AB60" s="38">
        <f>AB59*1.05</f>
        <v>267.41137500000008</v>
      </c>
      <c r="AC60" s="38">
        <f>AB59*0.05</f>
        <v>12.733875000000005</v>
      </c>
      <c r="AE60" s="37" t="s">
        <v>165</v>
      </c>
      <c r="AF60" s="38">
        <f>AF59*1.05</f>
        <v>4813.4047500000015</v>
      </c>
      <c r="AG60" s="38">
        <f>AF59*0.05</f>
        <v>229.2097500000001</v>
      </c>
      <c r="AI60" s="37" t="s">
        <v>165</v>
      </c>
      <c r="AJ60" s="38">
        <f>AJ59*1.05</f>
        <v>267.41137500000008</v>
      </c>
      <c r="AK60" s="38">
        <f>AJ59*0.05</f>
        <v>12.733875000000005</v>
      </c>
      <c r="AL60" s="44"/>
      <c r="AM60" s="37" t="s">
        <v>165</v>
      </c>
      <c r="AN60" s="38">
        <f>AN59*1.05</f>
        <v>267.41137500000008</v>
      </c>
      <c r="AO60" s="38">
        <f>AN59*0.05</f>
        <v>12.733875000000005</v>
      </c>
      <c r="AQ60" s="37" t="s">
        <v>165</v>
      </c>
      <c r="AR60" s="38">
        <f>AR59*1.05</f>
        <v>267.41137500000008</v>
      </c>
      <c r="AS60" s="38">
        <f>AR59*0.05</f>
        <v>12.733875000000005</v>
      </c>
      <c r="AU60" s="37" t="s">
        <v>165</v>
      </c>
      <c r="AV60" s="38">
        <f>AV59*1.05</f>
        <v>267.41137500000008</v>
      </c>
      <c r="AW60" s="38">
        <f>AV59*0.05</f>
        <v>12.733875000000005</v>
      </c>
      <c r="AY60" s="37" t="s">
        <v>165</v>
      </c>
      <c r="AZ60" s="38">
        <f>AZ59*1.05</f>
        <v>267.41137500000008</v>
      </c>
      <c r="BA60" s="38">
        <f>AZ59*0.05</f>
        <v>12.733875000000005</v>
      </c>
      <c r="BC60" s="37" t="s">
        <v>165</v>
      </c>
      <c r="BD60" s="38">
        <f>BD59*1.05</f>
        <v>6685.2843750000002</v>
      </c>
      <c r="BE60" s="38">
        <f>BD59*0.05</f>
        <v>318.34687500000001</v>
      </c>
      <c r="BG60" s="37" t="s">
        <v>165</v>
      </c>
      <c r="BH60" s="38">
        <f>BH59*1.05</f>
        <v>267.41137500000008</v>
      </c>
      <c r="BI60" s="38">
        <f>BH59*0.05</f>
        <v>12.733875000000005</v>
      </c>
      <c r="BK60" s="37" t="s">
        <v>165</v>
      </c>
      <c r="BL60" s="38">
        <f>BL59*1.05</f>
        <v>1337.056875</v>
      </c>
      <c r="BM60" s="38">
        <f>BL59*0.05</f>
        <v>63.669375000000002</v>
      </c>
      <c r="BO60" s="37" t="s">
        <v>165</v>
      </c>
      <c r="BP60" s="38">
        <f>BP59*1.05</f>
        <v>267.41137500000008</v>
      </c>
      <c r="BQ60" s="38">
        <f>BP59*0.05</f>
        <v>12.733875000000005</v>
      </c>
      <c r="BS60" s="37" t="s">
        <v>165</v>
      </c>
      <c r="BT60" s="38">
        <f>BT59*1.05</f>
        <v>267.41137500000008</v>
      </c>
      <c r="BU60" s="38">
        <f>BT59*0.05</f>
        <v>12.733875000000005</v>
      </c>
      <c r="BV60" s="44"/>
      <c r="BW60" s="37" t="s">
        <v>165</v>
      </c>
      <c r="BX60" s="38">
        <f>BX59*1.05</f>
        <v>534.82275000000016</v>
      </c>
      <c r="BY60" s="38">
        <f>BX59*0.05</f>
        <v>25.467750000000009</v>
      </c>
      <c r="CA60" s="37" t="s">
        <v>165</v>
      </c>
      <c r="CB60" s="38">
        <f>CB59*1.05</f>
        <v>267.41137500000008</v>
      </c>
      <c r="CC60" s="38">
        <f>CB59*0.05</f>
        <v>12.733875000000005</v>
      </c>
      <c r="CD60" s="44"/>
      <c r="CE60" s="37" t="s">
        <v>165</v>
      </c>
      <c r="CF60" s="38">
        <f>CF59*1.05</f>
        <v>267.41137500000008</v>
      </c>
      <c r="CG60" s="38">
        <f>CF59*0.05</f>
        <v>12.733875000000005</v>
      </c>
      <c r="CI60" s="37" t="s">
        <v>165</v>
      </c>
      <c r="CJ60" s="38">
        <f>CJ59*1.05</f>
        <v>1337.056875</v>
      </c>
      <c r="CK60" s="38">
        <f>CJ59*0.05</f>
        <v>63.669375000000002</v>
      </c>
      <c r="CM60" s="37" t="s">
        <v>165</v>
      </c>
      <c r="CN60" s="38">
        <f>CN59*1.05</f>
        <v>267.41137500000008</v>
      </c>
      <c r="CO60" s="38">
        <f>CN59*0.05</f>
        <v>12.733875000000005</v>
      </c>
      <c r="CQ60" s="37" t="s">
        <v>165</v>
      </c>
      <c r="CR60" s="38">
        <f>CR59*1.05</f>
        <v>534.82275000000016</v>
      </c>
      <c r="CS60" s="38">
        <f>CR59*0.05</f>
        <v>25.467750000000009</v>
      </c>
      <c r="CU60" s="37" t="s">
        <v>165</v>
      </c>
      <c r="CV60" s="38">
        <f>CV59*1.05</f>
        <v>0</v>
      </c>
      <c r="CW60" s="38">
        <f>CV59*0.05</f>
        <v>0</v>
      </c>
      <c r="CY60" s="37" t="s">
        <v>165</v>
      </c>
      <c r="CZ60" s="38">
        <f>CZ59*1.05</f>
        <v>6150.4616250000008</v>
      </c>
      <c r="DA60" s="38">
        <f>CZ59*0.05</f>
        <v>292.87912500000004</v>
      </c>
    </row>
    <row r="61" spans="2:105" x14ac:dyDescent="0.35">
      <c r="B61" s="37"/>
      <c r="C61" s="38"/>
      <c r="D61" s="38"/>
      <c r="E61" s="44"/>
      <c r="F61" s="37"/>
      <c r="G61" s="38"/>
      <c r="H61" s="38"/>
      <c r="J61" s="37"/>
      <c r="K61" s="38"/>
      <c r="L61" s="38"/>
      <c r="N61" s="37"/>
      <c r="O61" s="38"/>
      <c r="P61" s="38"/>
      <c r="R61" s="37"/>
      <c r="S61" s="38"/>
      <c r="T61" s="38"/>
      <c r="W61" s="37"/>
      <c r="X61" s="38"/>
      <c r="Y61" s="38"/>
      <c r="AA61" s="37"/>
      <c r="AB61" s="38"/>
      <c r="AC61" s="38"/>
      <c r="AE61" s="37"/>
      <c r="AF61" s="38"/>
      <c r="AG61" s="38"/>
      <c r="AI61" s="37"/>
      <c r="AJ61" s="38"/>
      <c r="AK61" s="38"/>
      <c r="AL61" s="44"/>
      <c r="AM61" s="37"/>
      <c r="AN61" s="38"/>
      <c r="AO61" s="38"/>
      <c r="AQ61" s="37"/>
      <c r="AR61" s="38"/>
      <c r="AS61" s="38"/>
      <c r="AU61" s="37"/>
      <c r="AV61" s="38"/>
      <c r="AW61" s="38"/>
      <c r="AY61" s="37"/>
      <c r="AZ61" s="38"/>
      <c r="BA61" s="38"/>
      <c r="BC61" s="37"/>
      <c r="BD61" s="38"/>
      <c r="BE61" s="38"/>
      <c r="BG61" s="37"/>
      <c r="BH61" s="38"/>
      <c r="BI61" s="38"/>
      <c r="BK61" s="37"/>
      <c r="BL61" s="38"/>
      <c r="BM61" s="38"/>
      <c r="BO61" s="37"/>
      <c r="BP61" s="38"/>
      <c r="BQ61" s="38"/>
      <c r="BS61" s="37"/>
      <c r="BT61" s="38"/>
      <c r="BU61" s="38"/>
      <c r="BV61" s="44"/>
      <c r="BW61" s="37"/>
      <c r="BX61" s="38"/>
      <c r="BY61" s="38"/>
      <c r="CA61" s="37"/>
      <c r="CB61" s="38"/>
      <c r="CC61" s="38"/>
      <c r="CD61" s="44"/>
      <c r="CE61" s="37"/>
      <c r="CF61" s="38"/>
      <c r="CG61" s="38"/>
      <c r="CI61" s="37"/>
      <c r="CJ61" s="38"/>
      <c r="CK61" s="38"/>
      <c r="CM61" s="37"/>
      <c r="CN61" s="38"/>
      <c r="CO61" s="38"/>
      <c r="CQ61" s="37"/>
      <c r="CR61" s="38"/>
      <c r="CS61" s="38"/>
      <c r="CU61" s="37"/>
      <c r="CV61" s="38"/>
      <c r="CW61" s="38"/>
      <c r="CY61" s="37"/>
      <c r="CZ61" s="38"/>
      <c r="DA61" s="38"/>
    </row>
    <row r="62" spans="2:105" x14ac:dyDescent="0.35">
      <c r="B62" s="37" t="s">
        <v>7</v>
      </c>
      <c r="C62" s="38">
        <f>VLOOKUP(B1,INFSHARES,15,0)</f>
        <v>200</v>
      </c>
      <c r="D62" s="38"/>
      <c r="E62" s="44"/>
      <c r="F62" s="37" t="s">
        <v>7</v>
      </c>
      <c r="G62" s="38">
        <f>VLOOKUP(F1,INFSHARES,15,0)</f>
        <v>200</v>
      </c>
      <c r="H62" s="38"/>
      <c r="J62" s="37" t="s">
        <v>7</v>
      </c>
      <c r="K62" s="38">
        <f>VLOOKUP(J1,INFSHARES,15,0)</f>
        <v>200</v>
      </c>
      <c r="L62" s="38"/>
      <c r="N62" s="37" t="s">
        <v>7</v>
      </c>
      <c r="O62" s="38">
        <f>VLOOKUP(N1,INFSHARES,15,0)</f>
        <v>1000</v>
      </c>
      <c r="P62" s="38"/>
      <c r="R62" s="37" t="s">
        <v>7</v>
      </c>
      <c r="S62" s="38">
        <f>VLOOKUP(R1,INFSHARES,15,0)</f>
        <v>200</v>
      </c>
      <c r="T62" s="38"/>
      <c r="W62" s="37" t="s">
        <v>7</v>
      </c>
      <c r="X62" s="38">
        <f>VLOOKUP(W1,INFSHARES,15,0)</f>
        <v>200</v>
      </c>
      <c r="Y62" s="38"/>
      <c r="AA62" s="37" t="s">
        <v>7</v>
      </c>
      <c r="AB62" s="38">
        <f>VLOOKUP(AA1,INFSHARES,15,0)</f>
        <v>200</v>
      </c>
      <c r="AC62" s="38"/>
      <c r="AE62" s="37" t="s">
        <v>7</v>
      </c>
      <c r="AF62" s="38">
        <f>VLOOKUP(AE1,INFSHARES,15,0)</f>
        <v>200</v>
      </c>
      <c r="AG62" s="38"/>
      <c r="AI62" s="37" t="s">
        <v>7</v>
      </c>
      <c r="AJ62" s="38">
        <f>VLOOKUP(AI1,INFSHARES,15,0)</f>
        <v>1000</v>
      </c>
      <c r="AK62" s="38"/>
      <c r="AL62" s="44"/>
      <c r="AM62" s="37" t="s">
        <v>7</v>
      </c>
      <c r="AN62" s="38">
        <f>VLOOKUP(AM1,INFSHARES,15,0)</f>
        <v>200</v>
      </c>
      <c r="AO62" s="38"/>
      <c r="AQ62" s="37" t="s">
        <v>7</v>
      </c>
      <c r="AR62" s="38">
        <f>VLOOKUP(AQ1,INFSHARES,15,0)</f>
        <v>200</v>
      </c>
      <c r="AS62" s="38"/>
      <c r="AU62" s="37" t="s">
        <v>7</v>
      </c>
      <c r="AV62" s="38">
        <f>VLOOKUP(AU1,INFSHARES,15,0)</f>
        <v>15000</v>
      </c>
      <c r="AW62" s="38"/>
      <c r="AY62" s="37" t="s">
        <v>7</v>
      </c>
      <c r="AZ62" s="38">
        <f>VLOOKUP(AY1,INFSHARES,15,0)</f>
        <v>1000</v>
      </c>
      <c r="BA62" s="38"/>
      <c r="BC62" s="37" t="s">
        <v>7</v>
      </c>
      <c r="BD62" s="38">
        <f>VLOOKUP(BC1,INFSHARES,15,0)</f>
        <v>5000</v>
      </c>
      <c r="BE62" s="38"/>
      <c r="BG62" s="37" t="s">
        <v>7</v>
      </c>
      <c r="BH62" s="38">
        <f>VLOOKUP(BG1,INFSHARES,15,0)</f>
        <v>600</v>
      </c>
      <c r="BI62" s="38"/>
      <c r="BK62" s="37" t="s">
        <v>7</v>
      </c>
      <c r="BL62" s="38">
        <f>VLOOKUP(BK1,INFSHARES,15,0)</f>
        <v>1000</v>
      </c>
      <c r="BM62" s="38"/>
      <c r="BO62" s="37" t="s">
        <v>7</v>
      </c>
      <c r="BP62" s="38">
        <f>VLOOKUP(BO1,INFSHARES,15,0)</f>
        <v>1000</v>
      </c>
      <c r="BQ62" s="38"/>
      <c r="BS62" s="37" t="s">
        <v>7</v>
      </c>
      <c r="BT62" s="38">
        <f>VLOOKUP(BS1,INFSHARES,15,0)</f>
        <v>1000</v>
      </c>
      <c r="BU62" s="38"/>
      <c r="BV62" s="44"/>
      <c r="BW62" s="37" t="s">
        <v>7</v>
      </c>
      <c r="BX62" s="38">
        <f>VLOOKUP(BW1,INFSHARES,15,0)</f>
        <v>1000</v>
      </c>
      <c r="BY62" s="38"/>
      <c r="CA62" s="37" t="s">
        <v>7</v>
      </c>
      <c r="CB62" s="38">
        <f>VLOOKUP(CA1,INFSHARES,15,0)</f>
        <v>1000</v>
      </c>
      <c r="CC62" s="38"/>
      <c r="CD62" s="44"/>
      <c r="CE62" s="37" t="s">
        <v>7</v>
      </c>
      <c r="CF62" s="38">
        <f>VLOOKUP(CE1,INFSHARES,15,0)</f>
        <v>1000</v>
      </c>
      <c r="CG62" s="38"/>
      <c r="CI62" s="37" t="s">
        <v>7</v>
      </c>
      <c r="CJ62" s="38">
        <f>VLOOKUP(CI1,INFSHARES,15,0)</f>
        <v>1000</v>
      </c>
      <c r="CK62" s="38"/>
      <c r="CM62" s="37" t="s">
        <v>7</v>
      </c>
      <c r="CN62" s="38">
        <f>VLOOKUP(CM1,INFSHARES,15,0)</f>
        <v>200</v>
      </c>
      <c r="CO62" s="38"/>
      <c r="CQ62" s="37" t="s">
        <v>7</v>
      </c>
      <c r="CR62" s="38">
        <f>VLOOKUP(CQ1,INFSHARES,15,0)</f>
        <v>600</v>
      </c>
      <c r="CS62" s="38"/>
      <c r="CU62" s="37" t="s">
        <v>7</v>
      </c>
      <c r="CV62" s="38">
        <f>VLOOKUP(CU1,INFSHARES,15,0)</f>
        <v>0</v>
      </c>
      <c r="CW62" s="38"/>
      <c r="CY62" s="37" t="s">
        <v>7</v>
      </c>
      <c r="CZ62" s="38">
        <f>VLOOKUP(CY1,INFRACASHshares2025,15,0)</f>
        <v>0</v>
      </c>
      <c r="DA62" s="38"/>
    </row>
    <row r="63" spans="2:105" x14ac:dyDescent="0.35">
      <c r="B63" s="37" t="s">
        <v>8</v>
      </c>
      <c r="C63" s="38">
        <f>C62*1.1</f>
        <v>220.00000000000003</v>
      </c>
      <c r="D63" s="38">
        <f>C62*0.1</f>
        <v>20</v>
      </c>
      <c r="E63" s="44"/>
      <c r="F63" s="37" t="s">
        <v>8</v>
      </c>
      <c r="G63" s="38">
        <f>G62*1.1</f>
        <v>220.00000000000003</v>
      </c>
      <c r="H63" s="38">
        <f>G62*0.1</f>
        <v>20</v>
      </c>
      <c r="J63" s="37" t="s">
        <v>8</v>
      </c>
      <c r="K63" s="38">
        <f>K62*1.1</f>
        <v>220.00000000000003</v>
      </c>
      <c r="L63" s="38">
        <f>K62*0.1</f>
        <v>20</v>
      </c>
      <c r="N63" s="37" t="s">
        <v>8</v>
      </c>
      <c r="O63" s="38">
        <f>O62*1.1</f>
        <v>1100</v>
      </c>
      <c r="P63" s="38">
        <f>O62*0.1</f>
        <v>100</v>
      </c>
      <c r="R63" s="37" t="s">
        <v>8</v>
      </c>
      <c r="S63" s="38">
        <f>S62*1.1</f>
        <v>220.00000000000003</v>
      </c>
      <c r="T63" s="38">
        <f>S62*0.1</f>
        <v>20</v>
      </c>
      <c r="W63" s="37" t="s">
        <v>8</v>
      </c>
      <c r="X63" s="38">
        <f>X62*1.1</f>
        <v>220.00000000000003</v>
      </c>
      <c r="Y63" s="38">
        <f>X62*0.1</f>
        <v>20</v>
      </c>
      <c r="AA63" s="37" t="s">
        <v>8</v>
      </c>
      <c r="AB63" s="38">
        <f>AB62*1.1</f>
        <v>220.00000000000003</v>
      </c>
      <c r="AC63" s="38">
        <f>AB62*0.1</f>
        <v>20</v>
      </c>
      <c r="AE63" s="37" t="s">
        <v>8</v>
      </c>
      <c r="AF63" s="38">
        <f>AF62*1.1</f>
        <v>220.00000000000003</v>
      </c>
      <c r="AG63" s="38">
        <f>AF62*0.1</f>
        <v>20</v>
      </c>
      <c r="AI63" s="37" t="s">
        <v>8</v>
      </c>
      <c r="AJ63" s="38">
        <f>AJ62*1.1</f>
        <v>1100</v>
      </c>
      <c r="AK63" s="38">
        <f>AJ62*0.1</f>
        <v>100</v>
      </c>
      <c r="AL63" s="44"/>
      <c r="AM63" s="37" t="s">
        <v>8</v>
      </c>
      <c r="AN63" s="38">
        <f>AN62*1.1</f>
        <v>220.00000000000003</v>
      </c>
      <c r="AO63" s="38">
        <f>AN62*0.1</f>
        <v>20</v>
      </c>
      <c r="AQ63" s="37" t="s">
        <v>8</v>
      </c>
      <c r="AR63" s="38">
        <f>AR62*1.1</f>
        <v>220.00000000000003</v>
      </c>
      <c r="AS63" s="38">
        <f>AR62*0.1</f>
        <v>20</v>
      </c>
      <c r="AU63" s="37" t="s">
        <v>8</v>
      </c>
      <c r="AV63" s="38">
        <f>AV62*1.1</f>
        <v>16500</v>
      </c>
      <c r="AW63" s="38">
        <f>AV62*0.1</f>
        <v>1500</v>
      </c>
      <c r="AY63" s="37" t="s">
        <v>8</v>
      </c>
      <c r="AZ63" s="38">
        <f>AZ62*1.1</f>
        <v>1100</v>
      </c>
      <c r="BA63" s="38">
        <f>AZ62*0.1</f>
        <v>100</v>
      </c>
      <c r="BC63" s="37" t="s">
        <v>8</v>
      </c>
      <c r="BD63" s="38">
        <f>BD62*1.1</f>
        <v>5500</v>
      </c>
      <c r="BE63" s="38">
        <f>BD62*0.1</f>
        <v>500</v>
      </c>
      <c r="BG63" s="37" t="s">
        <v>8</v>
      </c>
      <c r="BH63" s="38">
        <f>BH62*1.1</f>
        <v>660</v>
      </c>
      <c r="BI63" s="38">
        <f>BH62*0.1</f>
        <v>60</v>
      </c>
      <c r="BK63" s="37" t="s">
        <v>8</v>
      </c>
      <c r="BL63" s="38">
        <f>BL62*1.1</f>
        <v>1100</v>
      </c>
      <c r="BM63" s="38">
        <f>BL62*0.1</f>
        <v>100</v>
      </c>
      <c r="BO63" s="37" t="s">
        <v>8</v>
      </c>
      <c r="BP63" s="38">
        <f>BP62*1.1</f>
        <v>1100</v>
      </c>
      <c r="BQ63" s="38">
        <f>BP62*0.1</f>
        <v>100</v>
      </c>
      <c r="BS63" s="37" t="s">
        <v>8</v>
      </c>
      <c r="BT63" s="38">
        <f>BT62*1.1</f>
        <v>1100</v>
      </c>
      <c r="BU63" s="38">
        <f>BT62*0.1</f>
        <v>100</v>
      </c>
      <c r="BV63" s="44"/>
      <c r="BW63" s="37" t="s">
        <v>8</v>
      </c>
      <c r="BX63" s="38">
        <f>BX62*1.1</f>
        <v>1100</v>
      </c>
      <c r="BY63" s="38">
        <f>BX62*0.1</f>
        <v>100</v>
      </c>
      <c r="CA63" s="37" t="s">
        <v>8</v>
      </c>
      <c r="CB63" s="38">
        <f>CB62*1.1</f>
        <v>1100</v>
      </c>
      <c r="CC63" s="38">
        <f>CB62*0.1</f>
        <v>100</v>
      </c>
      <c r="CD63" s="44"/>
      <c r="CE63" s="37" t="s">
        <v>8</v>
      </c>
      <c r="CF63" s="38">
        <f>CF62*1.1</f>
        <v>1100</v>
      </c>
      <c r="CG63" s="38">
        <f>CF62*0.1</f>
        <v>100</v>
      </c>
      <c r="CI63" s="37" t="s">
        <v>8</v>
      </c>
      <c r="CJ63" s="38">
        <f>CJ62*1.1</f>
        <v>1100</v>
      </c>
      <c r="CK63" s="38">
        <f>CJ62*0.1</f>
        <v>100</v>
      </c>
      <c r="CM63" s="37" t="s">
        <v>8</v>
      </c>
      <c r="CN63" s="38">
        <f>CN62*1.1</f>
        <v>220.00000000000003</v>
      </c>
      <c r="CO63" s="38">
        <f>CN62*0.1</f>
        <v>20</v>
      </c>
      <c r="CQ63" s="37" t="s">
        <v>8</v>
      </c>
      <c r="CR63" s="38">
        <f>CR62*1.1</f>
        <v>660</v>
      </c>
      <c r="CS63" s="38">
        <f>CR62*0.1</f>
        <v>60</v>
      </c>
      <c r="CU63" s="37" t="s">
        <v>8</v>
      </c>
      <c r="CV63" s="38">
        <f>CV62*1.1</f>
        <v>0</v>
      </c>
      <c r="CW63" s="38">
        <f>CV62*0.1</f>
        <v>0</v>
      </c>
      <c r="CY63" s="37" t="s">
        <v>8</v>
      </c>
      <c r="CZ63" s="38">
        <f>CZ62*1.1</f>
        <v>0</v>
      </c>
      <c r="DA63" s="38">
        <f>CZ62*0.1</f>
        <v>0</v>
      </c>
    </row>
    <row r="64" spans="2:105" x14ac:dyDescent="0.35">
      <c r="B64" s="37" t="s">
        <v>9</v>
      </c>
      <c r="C64" s="38">
        <f>C63*1.05</f>
        <v>231.00000000000003</v>
      </c>
      <c r="D64" s="38">
        <f>C63*0.05</f>
        <v>11.000000000000002</v>
      </c>
      <c r="E64" s="44"/>
      <c r="F64" s="37" t="s">
        <v>9</v>
      </c>
      <c r="G64" s="38">
        <f>G63*1.05</f>
        <v>231.00000000000003</v>
      </c>
      <c r="H64" s="38">
        <f>G63*0.05</f>
        <v>11.000000000000002</v>
      </c>
      <c r="J64" s="37" t="s">
        <v>9</v>
      </c>
      <c r="K64" s="38">
        <f>K63*1.05</f>
        <v>231.00000000000003</v>
      </c>
      <c r="L64" s="38">
        <f>K63*0.05</f>
        <v>11.000000000000002</v>
      </c>
      <c r="N64" s="37" t="s">
        <v>9</v>
      </c>
      <c r="O64" s="38">
        <f>O63*1.05</f>
        <v>1155</v>
      </c>
      <c r="P64" s="38">
        <f>O63*0.05</f>
        <v>55</v>
      </c>
      <c r="R64" s="37" t="s">
        <v>9</v>
      </c>
      <c r="S64" s="38">
        <f>S63*1.05</f>
        <v>231.00000000000003</v>
      </c>
      <c r="T64" s="38">
        <f>S63*0.05</f>
        <v>11.000000000000002</v>
      </c>
      <c r="W64" s="37" t="s">
        <v>9</v>
      </c>
      <c r="X64" s="38">
        <f>X63*1.05</f>
        <v>231.00000000000003</v>
      </c>
      <c r="Y64" s="38">
        <f>X63*0.05</f>
        <v>11.000000000000002</v>
      </c>
      <c r="AA64" s="37" t="s">
        <v>9</v>
      </c>
      <c r="AB64" s="38">
        <f>AB63*1.05</f>
        <v>231.00000000000003</v>
      </c>
      <c r="AC64" s="38">
        <f>AB63*0.05</f>
        <v>11.000000000000002</v>
      </c>
      <c r="AE64" s="37" t="s">
        <v>9</v>
      </c>
      <c r="AF64" s="38">
        <f>AF63*1.05</f>
        <v>231.00000000000003</v>
      </c>
      <c r="AG64" s="38">
        <f>AF63*0.05</f>
        <v>11.000000000000002</v>
      </c>
      <c r="AI64" s="37" t="s">
        <v>9</v>
      </c>
      <c r="AJ64" s="38">
        <f>AJ63*1.05</f>
        <v>1155</v>
      </c>
      <c r="AK64" s="38">
        <f>AJ63*0.05</f>
        <v>55</v>
      </c>
      <c r="AL64" s="44"/>
      <c r="AM64" s="37" t="s">
        <v>9</v>
      </c>
      <c r="AN64" s="38">
        <f>AN63*1.05</f>
        <v>231.00000000000003</v>
      </c>
      <c r="AO64" s="38">
        <f>AN63*0.05</f>
        <v>11.000000000000002</v>
      </c>
      <c r="AQ64" s="37" t="s">
        <v>9</v>
      </c>
      <c r="AR64" s="38">
        <f>AR63*1.05</f>
        <v>231.00000000000003</v>
      </c>
      <c r="AS64" s="38">
        <f>AR63*0.05</f>
        <v>11.000000000000002</v>
      </c>
      <c r="AU64" s="37" t="s">
        <v>9</v>
      </c>
      <c r="AV64" s="38">
        <f>AV63*1.05</f>
        <v>17325</v>
      </c>
      <c r="AW64" s="38">
        <f>AV63*0.05</f>
        <v>825</v>
      </c>
      <c r="AY64" s="37" t="s">
        <v>9</v>
      </c>
      <c r="AZ64" s="38">
        <f>AZ63*1.05</f>
        <v>1155</v>
      </c>
      <c r="BA64" s="38">
        <f>AZ63*0.05</f>
        <v>55</v>
      </c>
      <c r="BC64" s="37" t="s">
        <v>9</v>
      </c>
      <c r="BD64" s="38">
        <f>BD63*1.05</f>
        <v>5775</v>
      </c>
      <c r="BE64" s="38">
        <f>BD63*0.05</f>
        <v>275</v>
      </c>
      <c r="BG64" s="37" t="s">
        <v>9</v>
      </c>
      <c r="BH64" s="38">
        <f>BH63*1.05</f>
        <v>693</v>
      </c>
      <c r="BI64" s="38">
        <f>BH63*0.05</f>
        <v>33</v>
      </c>
      <c r="BK64" s="37" t="s">
        <v>9</v>
      </c>
      <c r="BL64" s="38">
        <f>BL63*1.05</f>
        <v>1155</v>
      </c>
      <c r="BM64" s="38">
        <f>BL63*0.05</f>
        <v>55</v>
      </c>
      <c r="BO64" s="37" t="s">
        <v>9</v>
      </c>
      <c r="BP64" s="38">
        <f>BP63*1.05</f>
        <v>1155</v>
      </c>
      <c r="BQ64" s="38">
        <f>BP63*0.05</f>
        <v>55</v>
      </c>
      <c r="BS64" s="37" t="s">
        <v>9</v>
      </c>
      <c r="BT64" s="38">
        <f>BT63*1.05</f>
        <v>1155</v>
      </c>
      <c r="BU64" s="38">
        <f>BT63*0.05</f>
        <v>55</v>
      </c>
      <c r="BV64" s="44"/>
      <c r="BW64" s="37" t="s">
        <v>9</v>
      </c>
      <c r="BX64" s="38">
        <f>BX63*1.05</f>
        <v>1155</v>
      </c>
      <c r="BY64" s="38">
        <f>BX63*0.05</f>
        <v>55</v>
      </c>
      <c r="CA64" s="37" t="s">
        <v>9</v>
      </c>
      <c r="CB64" s="38">
        <f>CB63*1.05</f>
        <v>1155</v>
      </c>
      <c r="CC64" s="38">
        <f>CB63*0.05</f>
        <v>55</v>
      </c>
      <c r="CD64" s="44"/>
      <c r="CE64" s="37" t="s">
        <v>9</v>
      </c>
      <c r="CF64" s="38">
        <f>CF63*1.05</f>
        <v>1155</v>
      </c>
      <c r="CG64" s="38">
        <f>CF63*0.05</f>
        <v>55</v>
      </c>
      <c r="CI64" s="37" t="s">
        <v>9</v>
      </c>
      <c r="CJ64" s="38">
        <f>CJ63*1.05</f>
        <v>1155</v>
      </c>
      <c r="CK64" s="38">
        <f>CJ63*0.05</f>
        <v>55</v>
      </c>
      <c r="CM64" s="37" t="s">
        <v>9</v>
      </c>
      <c r="CN64" s="38">
        <f>CN63*1.05</f>
        <v>231.00000000000003</v>
      </c>
      <c r="CO64" s="38">
        <f>CN63*0.05</f>
        <v>11.000000000000002</v>
      </c>
      <c r="CQ64" s="37" t="s">
        <v>9</v>
      </c>
      <c r="CR64" s="38">
        <f>CR63*1.05</f>
        <v>693</v>
      </c>
      <c r="CS64" s="38">
        <f>CR63*0.05</f>
        <v>33</v>
      </c>
      <c r="CU64" s="37" t="s">
        <v>9</v>
      </c>
      <c r="CV64" s="38">
        <f>CV63*1.05</f>
        <v>0</v>
      </c>
      <c r="CW64" s="38">
        <f>CV63*0.05</f>
        <v>0</v>
      </c>
      <c r="CY64" s="37" t="s">
        <v>9</v>
      </c>
      <c r="CZ64" s="38">
        <f>CZ63*1.05</f>
        <v>0</v>
      </c>
      <c r="DA64" s="38">
        <f>CZ63*0.05</f>
        <v>0</v>
      </c>
    </row>
    <row r="65" spans="2:105" x14ac:dyDescent="0.35">
      <c r="B65" s="37" t="s">
        <v>164</v>
      </c>
      <c r="C65" s="38">
        <f>C64*1.05</f>
        <v>242.55000000000004</v>
      </c>
      <c r="D65" s="38">
        <f>C64*0.05</f>
        <v>11.550000000000002</v>
      </c>
      <c r="E65" s="44"/>
      <c r="F65" s="37" t="s">
        <v>164</v>
      </c>
      <c r="G65" s="38">
        <f>G64*1.05</f>
        <v>242.55000000000004</v>
      </c>
      <c r="H65" s="38">
        <f>G64*0.05</f>
        <v>11.550000000000002</v>
      </c>
      <c r="J65" s="37" t="s">
        <v>164</v>
      </c>
      <c r="K65" s="38">
        <f>K64*1.05</f>
        <v>242.55000000000004</v>
      </c>
      <c r="L65" s="38">
        <f>K64*0.05</f>
        <v>11.550000000000002</v>
      </c>
      <c r="N65" s="37" t="s">
        <v>164</v>
      </c>
      <c r="O65" s="38">
        <f>O64*1.05</f>
        <v>1212.75</v>
      </c>
      <c r="P65" s="38">
        <f>O64*0.05</f>
        <v>57.75</v>
      </c>
      <c r="R65" s="37" t="s">
        <v>164</v>
      </c>
      <c r="S65" s="38">
        <f>S64*1.05</f>
        <v>242.55000000000004</v>
      </c>
      <c r="T65" s="38">
        <f>S64*0.05</f>
        <v>11.550000000000002</v>
      </c>
      <c r="W65" s="37" t="s">
        <v>164</v>
      </c>
      <c r="X65" s="38">
        <f>X64*1.05</f>
        <v>242.55000000000004</v>
      </c>
      <c r="Y65" s="38">
        <f>X64*0.05</f>
        <v>11.550000000000002</v>
      </c>
      <c r="AA65" s="37" t="s">
        <v>164</v>
      </c>
      <c r="AB65" s="38">
        <f>AB64*1.05</f>
        <v>242.55000000000004</v>
      </c>
      <c r="AC65" s="38">
        <f>AB64*0.05</f>
        <v>11.550000000000002</v>
      </c>
      <c r="AE65" s="37" t="s">
        <v>164</v>
      </c>
      <c r="AF65" s="38">
        <f>AF64*1.05</f>
        <v>242.55000000000004</v>
      </c>
      <c r="AG65" s="38">
        <f>AF64*0.05</f>
        <v>11.550000000000002</v>
      </c>
      <c r="AI65" s="37" t="s">
        <v>164</v>
      </c>
      <c r="AJ65" s="38">
        <f>AJ64*1.05</f>
        <v>1212.75</v>
      </c>
      <c r="AK65" s="38">
        <f>AJ64*0.05</f>
        <v>57.75</v>
      </c>
      <c r="AL65" s="44"/>
      <c r="AM65" s="37" t="s">
        <v>164</v>
      </c>
      <c r="AN65" s="38">
        <f>AN64*1.05</f>
        <v>242.55000000000004</v>
      </c>
      <c r="AO65" s="38">
        <f>AN64*0.05</f>
        <v>11.550000000000002</v>
      </c>
      <c r="AQ65" s="37" t="s">
        <v>164</v>
      </c>
      <c r="AR65" s="38">
        <f>AR64*1.05</f>
        <v>242.55000000000004</v>
      </c>
      <c r="AS65" s="38">
        <f>AR64*0.05</f>
        <v>11.550000000000002</v>
      </c>
      <c r="AU65" s="37" t="s">
        <v>164</v>
      </c>
      <c r="AV65" s="38">
        <f>AV64*1.05</f>
        <v>18191.25</v>
      </c>
      <c r="AW65" s="38">
        <f>AV64*0.05</f>
        <v>866.25</v>
      </c>
      <c r="AY65" s="37" t="s">
        <v>164</v>
      </c>
      <c r="AZ65" s="38">
        <f>AZ64*1.05</f>
        <v>1212.75</v>
      </c>
      <c r="BA65" s="38">
        <f>AZ64*0.05</f>
        <v>57.75</v>
      </c>
      <c r="BC65" s="37" t="s">
        <v>164</v>
      </c>
      <c r="BD65" s="38">
        <f>BD64*1.05</f>
        <v>6063.75</v>
      </c>
      <c r="BE65" s="38">
        <f>BD64*0.05</f>
        <v>288.75</v>
      </c>
      <c r="BG65" s="37" t="s">
        <v>164</v>
      </c>
      <c r="BH65" s="38">
        <f>BH64*1.05</f>
        <v>727.65</v>
      </c>
      <c r="BI65" s="38">
        <f>BH64*0.05</f>
        <v>34.65</v>
      </c>
      <c r="BK65" s="37" t="s">
        <v>164</v>
      </c>
      <c r="BL65" s="38">
        <f>BL64*1.05</f>
        <v>1212.75</v>
      </c>
      <c r="BM65" s="38">
        <f>BL64*0.05</f>
        <v>57.75</v>
      </c>
      <c r="BO65" s="37" t="s">
        <v>164</v>
      </c>
      <c r="BP65" s="38">
        <f>BP64*1.05</f>
        <v>1212.75</v>
      </c>
      <c r="BQ65" s="38">
        <f>BP64*0.05</f>
        <v>57.75</v>
      </c>
      <c r="BS65" s="37" t="s">
        <v>164</v>
      </c>
      <c r="BT65" s="38">
        <f>BT64*1.05</f>
        <v>1212.75</v>
      </c>
      <c r="BU65" s="38">
        <f>BT64*0.05</f>
        <v>57.75</v>
      </c>
      <c r="BV65" s="44"/>
      <c r="BW65" s="37" t="s">
        <v>164</v>
      </c>
      <c r="BX65" s="38">
        <f>BX64*1.05</f>
        <v>1212.75</v>
      </c>
      <c r="BY65" s="38">
        <f>BX64*0.05</f>
        <v>57.75</v>
      </c>
      <c r="CA65" s="37" t="s">
        <v>164</v>
      </c>
      <c r="CB65" s="38">
        <f>CB64*1.05</f>
        <v>1212.75</v>
      </c>
      <c r="CC65" s="38">
        <f>CB64*0.05</f>
        <v>57.75</v>
      </c>
      <c r="CD65" s="44"/>
      <c r="CE65" s="37" t="s">
        <v>164</v>
      </c>
      <c r="CF65" s="38">
        <f>CF64*1.05</f>
        <v>1212.75</v>
      </c>
      <c r="CG65" s="38">
        <f>CF64*0.05</f>
        <v>57.75</v>
      </c>
      <c r="CI65" s="37" t="s">
        <v>164</v>
      </c>
      <c r="CJ65" s="38">
        <f>CJ64*1.05</f>
        <v>1212.75</v>
      </c>
      <c r="CK65" s="38">
        <f>CJ64*0.05</f>
        <v>57.75</v>
      </c>
      <c r="CM65" s="37" t="s">
        <v>164</v>
      </c>
      <c r="CN65" s="38">
        <f>CN64*1.05</f>
        <v>242.55000000000004</v>
      </c>
      <c r="CO65" s="38">
        <f>CN64*0.05</f>
        <v>11.550000000000002</v>
      </c>
      <c r="CQ65" s="37" t="s">
        <v>164</v>
      </c>
      <c r="CR65" s="38">
        <f>CR64*1.05</f>
        <v>727.65</v>
      </c>
      <c r="CS65" s="38">
        <f>CR64*0.05</f>
        <v>34.65</v>
      </c>
      <c r="CU65" s="37" t="s">
        <v>164</v>
      </c>
      <c r="CV65" s="38">
        <f>CV64*1.05</f>
        <v>0</v>
      </c>
      <c r="CW65" s="38">
        <f>CV64*0.05</f>
        <v>0</v>
      </c>
      <c r="CY65" s="37" t="s">
        <v>164</v>
      </c>
      <c r="CZ65" s="38">
        <f>CZ64*1.05</f>
        <v>0</v>
      </c>
      <c r="DA65" s="38">
        <f>CZ64*0.05</f>
        <v>0</v>
      </c>
    </row>
    <row r="66" spans="2:105" x14ac:dyDescent="0.35">
      <c r="B66" s="37" t="s">
        <v>165</v>
      </c>
      <c r="C66" s="38">
        <f>C65*1.05</f>
        <v>254.67750000000007</v>
      </c>
      <c r="D66" s="38">
        <f>C65*0.05</f>
        <v>12.127500000000003</v>
      </c>
      <c r="E66" s="44"/>
      <c r="F66" s="37" t="s">
        <v>165</v>
      </c>
      <c r="G66" s="38">
        <f>G65*1.05</f>
        <v>254.67750000000007</v>
      </c>
      <c r="H66" s="38">
        <f>G65*0.05</f>
        <v>12.127500000000003</v>
      </c>
      <c r="J66" s="37" t="s">
        <v>165</v>
      </c>
      <c r="K66" s="38">
        <f>K65*1.05</f>
        <v>254.67750000000007</v>
      </c>
      <c r="L66" s="38">
        <f>K65*0.05</f>
        <v>12.127500000000003</v>
      </c>
      <c r="N66" s="37" t="s">
        <v>165</v>
      </c>
      <c r="O66" s="38">
        <f>O65*1.05</f>
        <v>1273.3875</v>
      </c>
      <c r="P66" s="38">
        <f>O65*0.05</f>
        <v>60.637500000000003</v>
      </c>
      <c r="R66" s="37" t="s">
        <v>165</v>
      </c>
      <c r="S66" s="38">
        <f>S65*1.05</f>
        <v>254.67750000000007</v>
      </c>
      <c r="T66" s="38">
        <f>S65*0.05</f>
        <v>12.127500000000003</v>
      </c>
      <c r="W66" s="37" t="s">
        <v>165</v>
      </c>
      <c r="X66" s="38">
        <f>X65*1.05</f>
        <v>254.67750000000007</v>
      </c>
      <c r="Y66" s="38">
        <f>X65*0.05</f>
        <v>12.127500000000003</v>
      </c>
      <c r="AA66" s="37" t="s">
        <v>165</v>
      </c>
      <c r="AB66" s="38">
        <f>AB65*1.05</f>
        <v>254.67750000000007</v>
      </c>
      <c r="AC66" s="38">
        <f>AB65*0.05</f>
        <v>12.127500000000003</v>
      </c>
      <c r="AE66" s="37" t="s">
        <v>165</v>
      </c>
      <c r="AF66" s="38">
        <f>AF65*1.05</f>
        <v>254.67750000000007</v>
      </c>
      <c r="AG66" s="38">
        <f>AF65*0.05</f>
        <v>12.127500000000003</v>
      </c>
      <c r="AI66" s="37" t="s">
        <v>165</v>
      </c>
      <c r="AJ66" s="38">
        <f>AJ65*1.05</f>
        <v>1273.3875</v>
      </c>
      <c r="AK66" s="38">
        <f>AJ65*0.05</f>
        <v>60.637500000000003</v>
      </c>
      <c r="AL66" s="44"/>
      <c r="AM66" s="37" t="s">
        <v>165</v>
      </c>
      <c r="AN66" s="38">
        <f>AN65*1.05</f>
        <v>254.67750000000007</v>
      </c>
      <c r="AO66" s="38">
        <f>AN65*0.05</f>
        <v>12.127500000000003</v>
      </c>
      <c r="AQ66" s="37" t="s">
        <v>165</v>
      </c>
      <c r="AR66" s="38">
        <f>AR65*1.05</f>
        <v>254.67750000000007</v>
      </c>
      <c r="AS66" s="38">
        <f>AR65*0.05</f>
        <v>12.127500000000003</v>
      </c>
      <c r="AU66" s="37" t="s">
        <v>165</v>
      </c>
      <c r="AV66" s="38">
        <f>AV65*1.05</f>
        <v>19100.8125</v>
      </c>
      <c r="AW66" s="38">
        <f>AV65*0.05</f>
        <v>909.5625</v>
      </c>
      <c r="AY66" s="37" t="s">
        <v>165</v>
      </c>
      <c r="AZ66" s="38">
        <f>AZ65*1.05</f>
        <v>1273.3875</v>
      </c>
      <c r="BA66" s="38">
        <f>AZ65*0.05</f>
        <v>60.637500000000003</v>
      </c>
      <c r="BC66" s="37" t="s">
        <v>165</v>
      </c>
      <c r="BD66" s="38">
        <f>BD65*1.05</f>
        <v>6366.9375</v>
      </c>
      <c r="BE66" s="38">
        <f>BD65*0.05</f>
        <v>303.1875</v>
      </c>
      <c r="BG66" s="37" t="s">
        <v>165</v>
      </c>
      <c r="BH66" s="38">
        <f>BH65*1.05</f>
        <v>764.03250000000003</v>
      </c>
      <c r="BI66" s="38">
        <f>BH65*0.05</f>
        <v>36.3825</v>
      </c>
      <c r="BK66" s="37" t="s">
        <v>165</v>
      </c>
      <c r="BL66" s="38">
        <f>BL65*1.05</f>
        <v>1273.3875</v>
      </c>
      <c r="BM66" s="38">
        <f>BL65*0.05</f>
        <v>60.637500000000003</v>
      </c>
      <c r="BO66" s="37" t="s">
        <v>165</v>
      </c>
      <c r="BP66" s="38">
        <f>BP65*1.05</f>
        <v>1273.3875</v>
      </c>
      <c r="BQ66" s="38">
        <f>BP65*0.05</f>
        <v>60.637500000000003</v>
      </c>
      <c r="BS66" s="37" t="s">
        <v>165</v>
      </c>
      <c r="BT66" s="38">
        <f>BT65*1.05</f>
        <v>1273.3875</v>
      </c>
      <c r="BU66" s="38">
        <f>BT65*0.05</f>
        <v>60.637500000000003</v>
      </c>
      <c r="BV66" s="44"/>
      <c r="BW66" s="37" t="s">
        <v>165</v>
      </c>
      <c r="BX66" s="38">
        <f>BX65*1.05</f>
        <v>1273.3875</v>
      </c>
      <c r="BY66" s="38">
        <f>BX65*0.05</f>
        <v>60.637500000000003</v>
      </c>
      <c r="CA66" s="37" t="s">
        <v>165</v>
      </c>
      <c r="CB66" s="38">
        <f>CB65*1.05</f>
        <v>1273.3875</v>
      </c>
      <c r="CC66" s="38">
        <f>CB65*0.05</f>
        <v>60.637500000000003</v>
      </c>
      <c r="CD66" s="44"/>
      <c r="CE66" s="37" t="s">
        <v>165</v>
      </c>
      <c r="CF66" s="38">
        <f>CF65*1.05</f>
        <v>1273.3875</v>
      </c>
      <c r="CG66" s="38">
        <f>CF65*0.05</f>
        <v>60.637500000000003</v>
      </c>
      <c r="CI66" s="37" t="s">
        <v>165</v>
      </c>
      <c r="CJ66" s="38">
        <f>CJ65*1.05</f>
        <v>1273.3875</v>
      </c>
      <c r="CK66" s="38">
        <f>CJ65*0.05</f>
        <v>60.637500000000003</v>
      </c>
      <c r="CM66" s="37" t="s">
        <v>165</v>
      </c>
      <c r="CN66" s="38">
        <f>CN65*1.05</f>
        <v>254.67750000000007</v>
      </c>
      <c r="CO66" s="38">
        <f>CN65*0.05</f>
        <v>12.127500000000003</v>
      </c>
      <c r="CQ66" s="37" t="s">
        <v>165</v>
      </c>
      <c r="CR66" s="38">
        <f>CR65*1.05</f>
        <v>764.03250000000003</v>
      </c>
      <c r="CS66" s="38">
        <f>CR65*0.05</f>
        <v>36.3825</v>
      </c>
      <c r="CU66" s="37" t="s">
        <v>165</v>
      </c>
      <c r="CV66" s="38">
        <f>CV65*1.05</f>
        <v>0</v>
      </c>
      <c r="CW66" s="38">
        <f>CV65*0.05</f>
        <v>0</v>
      </c>
      <c r="CY66" s="37" t="s">
        <v>165</v>
      </c>
      <c r="CZ66" s="38">
        <f>CZ65*1.05</f>
        <v>0</v>
      </c>
      <c r="DA66" s="38">
        <f>CZ65*0.05</f>
        <v>0</v>
      </c>
    </row>
    <row r="67" spans="2:105" x14ac:dyDescent="0.35">
      <c r="B67" s="37"/>
      <c r="C67" s="38"/>
      <c r="D67" s="38"/>
      <c r="E67" s="44"/>
      <c r="F67" s="37"/>
      <c r="G67" s="38"/>
      <c r="H67" s="38"/>
      <c r="J67" s="37"/>
      <c r="K67" s="38"/>
      <c r="L67" s="38"/>
      <c r="N67" s="37"/>
      <c r="O67" s="38"/>
      <c r="P67" s="38"/>
      <c r="R67" s="37"/>
      <c r="S67" s="38"/>
      <c r="T67" s="38"/>
      <c r="W67" s="37"/>
      <c r="X67" s="38"/>
      <c r="Y67" s="38"/>
      <c r="AA67" s="37"/>
      <c r="AB67" s="38"/>
      <c r="AC67" s="38"/>
      <c r="AE67" s="37"/>
      <c r="AF67" s="38"/>
      <c r="AG67" s="38"/>
      <c r="AI67" s="37"/>
      <c r="AJ67" s="38"/>
      <c r="AK67" s="38"/>
      <c r="AL67" s="44"/>
      <c r="AM67" s="37"/>
      <c r="AN67" s="38"/>
      <c r="AO67" s="38"/>
      <c r="AQ67" s="37"/>
      <c r="AR67" s="38"/>
      <c r="AS67" s="38"/>
      <c r="AU67" s="37"/>
      <c r="AV67" s="38"/>
      <c r="AW67" s="38"/>
      <c r="AY67" s="37"/>
      <c r="AZ67" s="38"/>
      <c r="BA67" s="38"/>
      <c r="BC67" s="37"/>
      <c r="BD67" s="38"/>
      <c r="BE67" s="38"/>
      <c r="BG67" s="37"/>
      <c r="BH67" s="38"/>
      <c r="BI67" s="38"/>
      <c r="BK67" s="37"/>
      <c r="BL67" s="38"/>
      <c r="BM67" s="38"/>
      <c r="BO67" s="37"/>
      <c r="BP67" s="38"/>
      <c r="BQ67" s="38"/>
      <c r="BS67" s="37"/>
      <c r="BT67" s="38"/>
      <c r="BU67" s="38"/>
      <c r="BV67" s="44"/>
      <c r="BW67" s="37"/>
      <c r="BX67" s="38"/>
      <c r="BY67" s="38"/>
      <c r="CA67" s="37"/>
      <c r="CB67" s="38"/>
      <c r="CC67" s="38"/>
      <c r="CD67" s="44"/>
      <c r="CE67" s="37"/>
      <c r="CF67" s="38"/>
      <c r="CG67" s="38"/>
      <c r="CI67" s="37"/>
      <c r="CJ67" s="38"/>
      <c r="CK67" s="38"/>
      <c r="CM67" s="37"/>
      <c r="CN67" s="38"/>
      <c r="CO67" s="38"/>
      <c r="CQ67" s="37"/>
      <c r="CR67" s="38"/>
      <c r="CS67" s="38"/>
      <c r="CU67" s="37"/>
      <c r="CV67" s="38"/>
      <c r="CW67" s="38"/>
      <c r="CY67" s="37"/>
      <c r="CZ67" s="38"/>
      <c r="DA67" s="38"/>
    </row>
    <row r="68" spans="2:105" x14ac:dyDescent="0.35">
      <c r="B68" s="37" t="s">
        <v>8</v>
      </c>
      <c r="C68" s="38">
        <f>VLOOKUP(B1,INFSHARES,17,0)</f>
        <v>200</v>
      </c>
      <c r="D68" s="38"/>
      <c r="E68" s="44"/>
      <c r="F68" s="37" t="s">
        <v>8</v>
      </c>
      <c r="G68" s="38">
        <f>VLOOKUP(F1,INFSHARES,17,0)</f>
        <v>200</v>
      </c>
      <c r="H68" s="38"/>
      <c r="J68" s="37" t="s">
        <v>8</v>
      </c>
      <c r="K68" s="38">
        <f>VLOOKUP(J1,INFSHARES,17,0)</f>
        <v>200</v>
      </c>
      <c r="L68" s="38"/>
      <c r="N68" s="37" t="s">
        <v>8</v>
      </c>
      <c r="O68" s="38">
        <f>VLOOKUP(N1,INFSHARES,17,0)</f>
        <v>3000</v>
      </c>
      <c r="P68" s="38"/>
      <c r="R68" s="37" t="s">
        <v>8</v>
      </c>
      <c r="S68" s="38">
        <f>VLOOKUP(R1,INFSHARES,17,0)</f>
        <v>200</v>
      </c>
      <c r="T68" s="38"/>
      <c r="W68" s="37" t="s">
        <v>8</v>
      </c>
      <c r="X68" s="38">
        <f>VLOOKUP(W1,INFSHARES,17,0)</f>
        <v>400</v>
      </c>
      <c r="Y68" s="38"/>
      <c r="AA68" s="37" t="s">
        <v>8</v>
      </c>
      <c r="AB68" s="38">
        <f>VLOOKUP(AA1,INFSHARES,17,0)</f>
        <v>10000</v>
      </c>
      <c r="AC68" s="38"/>
      <c r="AE68" s="37" t="s">
        <v>8</v>
      </c>
      <c r="AF68" s="38">
        <f>VLOOKUP(AE1,INFSHARES,17,0)</f>
        <v>200</v>
      </c>
      <c r="AG68" s="38"/>
      <c r="AI68" s="37" t="s">
        <v>8</v>
      </c>
      <c r="AJ68" s="38">
        <f>VLOOKUP(AI1,INFSHARES,17,0)</f>
        <v>1000</v>
      </c>
      <c r="AK68" s="38"/>
      <c r="AL68" s="44"/>
      <c r="AM68" s="37" t="s">
        <v>8</v>
      </c>
      <c r="AN68" s="38">
        <f>VLOOKUP(AM1,INFSHARES,17,0)</f>
        <v>200</v>
      </c>
      <c r="AO68" s="38"/>
      <c r="AQ68" s="37" t="s">
        <v>8</v>
      </c>
      <c r="AR68" s="38">
        <f>VLOOKUP(AQ1,INFSHARES,17,0)</f>
        <v>400</v>
      </c>
      <c r="AS68" s="38"/>
      <c r="AU68" s="37" t="s">
        <v>8</v>
      </c>
      <c r="AV68" s="38">
        <f>VLOOKUP(AU1,INFSHARES,17,0)</f>
        <v>400</v>
      </c>
      <c r="AW68" s="38"/>
      <c r="AY68" s="37" t="s">
        <v>8</v>
      </c>
      <c r="AZ68" s="38">
        <f>VLOOKUP(AY1,INFSHARES,17,0)</f>
        <v>200</v>
      </c>
      <c r="BA68" s="38"/>
      <c r="BC68" s="37" t="s">
        <v>8</v>
      </c>
      <c r="BD68" s="38">
        <f>VLOOKUP(BC1,INFSHARES,17,0)</f>
        <v>5000</v>
      </c>
      <c r="BE68" s="38"/>
      <c r="BG68" s="37" t="s">
        <v>8</v>
      </c>
      <c r="BH68" s="38">
        <f>VLOOKUP(BG1,INFSHARES,17,0)</f>
        <v>400</v>
      </c>
      <c r="BI68" s="38"/>
      <c r="BK68" s="37" t="s">
        <v>8</v>
      </c>
      <c r="BL68" s="38">
        <f>VLOOKUP(BK1,INFSHARES,17,0)</f>
        <v>2600</v>
      </c>
      <c r="BM68" s="38"/>
      <c r="BO68" s="37" t="s">
        <v>8</v>
      </c>
      <c r="BP68" s="38">
        <f>VLOOKUP(BO1,INFSHARES,17,0)</f>
        <v>2000</v>
      </c>
      <c r="BQ68" s="38"/>
      <c r="BS68" s="37" t="s">
        <v>8</v>
      </c>
      <c r="BT68" s="38">
        <f>VLOOKUP(BS1,INFSHARES,17,0)</f>
        <v>400</v>
      </c>
      <c r="BU68" s="38"/>
      <c r="BV68" s="44"/>
      <c r="BW68" s="37" t="s">
        <v>8</v>
      </c>
      <c r="BX68" s="38">
        <f>VLOOKUP(BW1,INFSHARES,17,0)</f>
        <v>200</v>
      </c>
      <c r="BY68" s="38"/>
      <c r="CA68" s="37" t="s">
        <v>8</v>
      </c>
      <c r="CB68" s="38">
        <f>VLOOKUP(CA1,INFSHARES,17,0)</f>
        <v>200</v>
      </c>
      <c r="CC68" s="38"/>
      <c r="CD68" s="44"/>
      <c r="CE68" s="37" t="s">
        <v>8</v>
      </c>
      <c r="CF68" s="38">
        <f>VLOOKUP(CE1,INFSHARES,17,0)</f>
        <v>200</v>
      </c>
      <c r="CG68" s="38"/>
      <c r="CI68" s="37" t="s">
        <v>8</v>
      </c>
      <c r="CJ68" s="38">
        <f>VLOOKUP(CI1,INFSHARES,17,0)</f>
        <v>2000</v>
      </c>
      <c r="CK68" s="38"/>
      <c r="CM68" s="37" t="s">
        <v>8</v>
      </c>
      <c r="CN68" s="38">
        <f>VLOOKUP(CM1,INFSHARES,17,0)</f>
        <v>0</v>
      </c>
      <c r="CO68" s="38"/>
      <c r="CQ68" s="37" t="s">
        <v>8</v>
      </c>
      <c r="CR68" s="38">
        <f>VLOOKUP(CQ1,INFSHARES,17,0)</f>
        <v>600</v>
      </c>
      <c r="CS68" s="38"/>
      <c r="CU68" s="37" t="s">
        <v>8</v>
      </c>
      <c r="CV68" s="38">
        <f>VLOOKUP(CU1,INFSHARES,17,0)</f>
        <v>0</v>
      </c>
      <c r="CW68" s="38"/>
      <c r="CY68" s="37" t="s">
        <v>8</v>
      </c>
      <c r="CZ68" s="38">
        <f>VLOOKUP(CY1,INFRACASHshares2025,17,0)</f>
        <v>0</v>
      </c>
      <c r="DA68" s="38"/>
    </row>
    <row r="69" spans="2:105" x14ac:dyDescent="0.35">
      <c r="B69" s="37" t="s">
        <v>9</v>
      </c>
      <c r="C69" s="38">
        <f>C68*1.1</f>
        <v>220.00000000000003</v>
      </c>
      <c r="D69" s="38">
        <f>C68*0.1</f>
        <v>20</v>
      </c>
      <c r="E69" s="44"/>
      <c r="F69" s="37" t="s">
        <v>9</v>
      </c>
      <c r="G69" s="38">
        <f>G68*1.1</f>
        <v>220.00000000000003</v>
      </c>
      <c r="H69" s="38">
        <f>G68*0.1</f>
        <v>20</v>
      </c>
      <c r="J69" s="37" t="s">
        <v>9</v>
      </c>
      <c r="K69" s="38">
        <f>K68*1.1</f>
        <v>220.00000000000003</v>
      </c>
      <c r="L69" s="38">
        <f>K68*0.1</f>
        <v>20</v>
      </c>
      <c r="N69" s="37" t="s">
        <v>9</v>
      </c>
      <c r="O69" s="38">
        <f>O68*1.1</f>
        <v>3300.0000000000005</v>
      </c>
      <c r="P69" s="38">
        <f>O68*0.1</f>
        <v>300</v>
      </c>
      <c r="R69" s="37" t="s">
        <v>9</v>
      </c>
      <c r="S69" s="38">
        <f>S68*1.1</f>
        <v>220.00000000000003</v>
      </c>
      <c r="T69" s="38">
        <f>S68*0.1</f>
        <v>20</v>
      </c>
      <c r="W69" s="37" t="s">
        <v>9</v>
      </c>
      <c r="X69" s="38">
        <f>X68*1.1</f>
        <v>440.00000000000006</v>
      </c>
      <c r="Y69" s="38">
        <f>X68*0.1</f>
        <v>40</v>
      </c>
      <c r="AA69" s="37" t="s">
        <v>9</v>
      </c>
      <c r="AB69" s="38">
        <f>AB68*1.1</f>
        <v>11000</v>
      </c>
      <c r="AC69" s="38">
        <f>AB68*0.1</f>
        <v>1000</v>
      </c>
      <c r="AE69" s="37" t="s">
        <v>9</v>
      </c>
      <c r="AF69" s="38">
        <f>AF68*1.1</f>
        <v>220.00000000000003</v>
      </c>
      <c r="AG69" s="38">
        <f>AF68*0.1</f>
        <v>20</v>
      </c>
      <c r="AI69" s="37" t="s">
        <v>9</v>
      </c>
      <c r="AJ69" s="38">
        <f>AJ68*1.1</f>
        <v>1100</v>
      </c>
      <c r="AK69" s="38">
        <f>AJ68*0.1</f>
        <v>100</v>
      </c>
      <c r="AL69" s="44"/>
      <c r="AM69" s="37" t="s">
        <v>9</v>
      </c>
      <c r="AN69" s="38">
        <f>AN68*1.1</f>
        <v>220.00000000000003</v>
      </c>
      <c r="AO69" s="38">
        <f>AN68*0.1</f>
        <v>20</v>
      </c>
      <c r="AQ69" s="37" t="s">
        <v>9</v>
      </c>
      <c r="AR69" s="38">
        <f>AR68*1.1</f>
        <v>440.00000000000006</v>
      </c>
      <c r="AS69" s="38">
        <f>AR68*0.1</f>
        <v>40</v>
      </c>
      <c r="AU69" s="37" t="s">
        <v>9</v>
      </c>
      <c r="AV69" s="38">
        <f>AV68*1.1</f>
        <v>440.00000000000006</v>
      </c>
      <c r="AW69" s="38">
        <f>AV68*0.1</f>
        <v>40</v>
      </c>
      <c r="AY69" s="37" t="s">
        <v>9</v>
      </c>
      <c r="AZ69" s="38">
        <f>AZ68*1.1</f>
        <v>220.00000000000003</v>
      </c>
      <c r="BA69" s="38">
        <f>AZ68*0.1</f>
        <v>20</v>
      </c>
      <c r="BC69" s="37" t="s">
        <v>9</v>
      </c>
      <c r="BD69" s="38">
        <f>BD68*1.1</f>
        <v>5500</v>
      </c>
      <c r="BE69" s="38">
        <f>BD68*0.1</f>
        <v>500</v>
      </c>
      <c r="BG69" s="37" t="s">
        <v>9</v>
      </c>
      <c r="BH69" s="38">
        <f>BH68*1.1</f>
        <v>440.00000000000006</v>
      </c>
      <c r="BI69" s="38">
        <f>BH68*0.1</f>
        <v>40</v>
      </c>
      <c r="BK69" s="37" t="s">
        <v>9</v>
      </c>
      <c r="BL69" s="38">
        <f>BL68*1.1</f>
        <v>2860.0000000000005</v>
      </c>
      <c r="BM69" s="38">
        <f>BL68*0.1</f>
        <v>260</v>
      </c>
      <c r="BO69" s="37" t="s">
        <v>9</v>
      </c>
      <c r="BP69" s="38">
        <f>BP68*1.1</f>
        <v>2200</v>
      </c>
      <c r="BQ69" s="38">
        <f>BP68*0.1</f>
        <v>200</v>
      </c>
      <c r="BS69" s="37" t="s">
        <v>9</v>
      </c>
      <c r="BT69" s="38">
        <f>BT68*1.1</f>
        <v>440.00000000000006</v>
      </c>
      <c r="BU69" s="38">
        <f>BT68*0.1</f>
        <v>40</v>
      </c>
      <c r="BV69" s="44"/>
      <c r="BW69" s="37" t="s">
        <v>9</v>
      </c>
      <c r="BX69" s="38">
        <f>BX68*1.1</f>
        <v>220.00000000000003</v>
      </c>
      <c r="BY69" s="38">
        <f>BX68*0.1</f>
        <v>20</v>
      </c>
      <c r="CA69" s="37" t="s">
        <v>9</v>
      </c>
      <c r="CB69" s="38">
        <f>CB68*1.1</f>
        <v>220.00000000000003</v>
      </c>
      <c r="CC69" s="38">
        <f>CB68*0.1</f>
        <v>20</v>
      </c>
      <c r="CD69" s="44"/>
      <c r="CE69" s="37" t="s">
        <v>9</v>
      </c>
      <c r="CF69" s="38">
        <f>CF68*1.1</f>
        <v>220.00000000000003</v>
      </c>
      <c r="CG69" s="38">
        <f>CF68*0.1</f>
        <v>20</v>
      </c>
      <c r="CI69" s="37" t="s">
        <v>9</v>
      </c>
      <c r="CJ69" s="38">
        <f>CJ68*1.1</f>
        <v>2200</v>
      </c>
      <c r="CK69" s="38">
        <f>CJ68*0.1</f>
        <v>200</v>
      </c>
      <c r="CM69" s="37" t="s">
        <v>9</v>
      </c>
      <c r="CN69" s="38">
        <f>CN68*1.1</f>
        <v>0</v>
      </c>
      <c r="CO69" s="38">
        <f>CN68*0.1</f>
        <v>0</v>
      </c>
      <c r="CQ69" s="37" t="s">
        <v>9</v>
      </c>
      <c r="CR69" s="38">
        <f>CR68*1.1</f>
        <v>660</v>
      </c>
      <c r="CS69" s="38">
        <f>CR68*0.1</f>
        <v>60</v>
      </c>
      <c r="CU69" s="37" t="s">
        <v>9</v>
      </c>
      <c r="CV69" s="38">
        <f>CV68*1.1</f>
        <v>0</v>
      </c>
      <c r="CW69" s="38">
        <f>CV68*0.1</f>
        <v>0</v>
      </c>
      <c r="CY69" s="37" t="s">
        <v>9</v>
      </c>
      <c r="CZ69" s="38">
        <f>CZ68*1.1</f>
        <v>0</v>
      </c>
      <c r="DA69" s="38">
        <f>CZ68*0.1</f>
        <v>0</v>
      </c>
    </row>
    <row r="70" spans="2:105" x14ac:dyDescent="0.35">
      <c r="B70" s="37" t="s">
        <v>164</v>
      </c>
      <c r="C70" s="38">
        <f>C69*1.05</f>
        <v>231.00000000000003</v>
      </c>
      <c r="D70" s="38">
        <f>C69*0.05</f>
        <v>11.000000000000002</v>
      </c>
      <c r="E70" s="44"/>
      <c r="F70" s="37" t="s">
        <v>164</v>
      </c>
      <c r="G70" s="38">
        <f>G69*1.05</f>
        <v>231.00000000000003</v>
      </c>
      <c r="H70" s="38">
        <f>G69*0.05</f>
        <v>11.000000000000002</v>
      </c>
      <c r="J70" s="37" t="s">
        <v>164</v>
      </c>
      <c r="K70" s="38">
        <f>K69*1.05</f>
        <v>231.00000000000003</v>
      </c>
      <c r="L70" s="38">
        <f>K69*0.05</f>
        <v>11.000000000000002</v>
      </c>
      <c r="N70" s="37" t="s">
        <v>164</v>
      </c>
      <c r="O70" s="38">
        <f>O69*1.05</f>
        <v>3465.0000000000005</v>
      </c>
      <c r="P70" s="38">
        <f>O69*0.05</f>
        <v>165.00000000000003</v>
      </c>
      <c r="R70" s="37" t="s">
        <v>164</v>
      </c>
      <c r="S70" s="38">
        <f>S69*1.05</f>
        <v>231.00000000000003</v>
      </c>
      <c r="T70" s="38">
        <f>S69*0.05</f>
        <v>11.000000000000002</v>
      </c>
      <c r="W70" s="37" t="s">
        <v>164</v>
      </c>
      <c r="X70" s="38">
        <f>X69*1.05</f>
        <v>462.00000000000006</v>
      </c>
      <c r="Y70" s="38">
        <f>X69*0.05</f>
        <v>22.000000000000004</v>
      </c>
      <c r="AA70" s="37" t="s">
        <v>164</v>
      </c>
      <c r="AB70" s="38">
        <f>AB69*1.05</f>
        <v>11550</v>
      </c>
      <c r="AC70" s="38">
        <f>AB69*0.05</f>
        <v>550</v>
      </c>
      <c r="AE70" s="37" t="s">
        <v>164</v>
      </c>
      <c r="AF70" s="38">
        <f>AF69*1.05</f>
        <v>231.00000000000003</v>
      </c>
      <c r="AG70" s="38">
        <f>AF69*0.05</f>
        <v>11.000000000000002</v>
      </c>
      <c r="AI70" s="37" t="s">
        <v>164</v>
      </c>
      <c r="AJ70" s="38">
        <f>AJ69*1.05</f>
        <v>1155</v>
      </c>
      <c r="AK70" s="38">
        <f>AJ69*0.05</f>
        <v>55</v>
      </c>
      <c r="AL70" s="44"/>
      <c r="AM70" s="37" t="s">
        <v>164</v>
      </c>
      <c r="AN70" s="38">
        <f>AN69*1.05</f>
        <v>231.00000000000003</v>
      </c>
      <c r="AO70" s="38">
        <f>AN69*0.05</f>
        <v>11.000000000000002</v>
      </c>
      <c r="AQ70" s="37" t="s">
        <v>164</v>
      </c>
      <c r="AR70" s="38">
        <f>AR69*1.05</f>
        <v>462.00000000000006</v>
      </c>
      <c r="AS70" s="38">
        <f>AR69*0.05</f>
        <v>22.000000000000004</v>
      </c>
      <c r="AU70" s="37" t="s">
        <v>164</v>
      </c>
      <c r="AV70" s="38">
        <f>AV69*1.05</f>
        <v>462.00000000000006</v>
      </c>
      <c r="AW70" s="38">
        <f>AV69*0.05</f>
        <v>22.000000000000004</v>
      </c>
      <c r="AY70" s="37" t="s">
        <v>164</v>
      </c>
      <c r="AZ70" s="38">
        <f>AZ69*1.05</f>
        <v>231.00000000000003</v>
      </c>
      <c r="BA70" s="38">
        <f>AZ69*0.05</f>
        <v>11.000000000000002</v>
      </c>
      <c r="BC70" s="37" t="s">
        <v>164</v>
      </c>
      <c r="BD70" s="38">
        <f>BD69*1.05</f>
        <v>5775</v>
      </c>
      <c r="BE70" s="38">
        <f>BD69*0.05</f>
        <v>275</v>
      </c>
      <c r="BG70" s="37" t="s">
        <v>164</v>
      </c>
      <c r="BH70" s="38">
        <f>BH69*1.05</f>
        <v>462.00000000000006</v>
      </c>
      <c r="BI70" s="38">
        <f>BH69*0.05</f>
        <v>22.000000000000004</v>
      </c>
      <c r="BK70" s="37" t="s">
        <v>164</v>
      </c>
      <c r="BL70" s="38">
        <f>BL69*1.05</f>
        <v>3003.0000000000005</v>
      </c>
      <c r="BM70" s="38">
        <f>BL69*0.05</f>
        <v>143.00000000000003</v>
      </c>
      <c r="BO70" s="37" t="s">
        <v>164</v>
      </c>
      <c r="BP70" s="38">
        <f>BP69*1.05</f>
        <v>2310</v>
      </c>
      <c r="BQ70" s="38">
        <f>BP69*0.05</f>
        <v>110</v>
      </c>
      <c r="BS70" s="37" t="s">
        <v>164</v>
      </c>
      <c r="BT70" s="38">
        <f>BT69*1.05</f>
        <v>462.00000000000006</v>
      </c>
      <c r="BU70" s="38">
        <f>BT69*0.05</f>
        <v>22.000000000000004</v>
      </c>
      <c r="BV70" s="44"/>
      <c r="BW70" s="37" t="s">
        <v>164</v>
      </c>
      <c r="BX70" s="38">
        <f>BX69*1.05</f>
        <v>231.00000000000003</v>
      </c>
      <c r="BY70" s="38">
        <f>BX69*0.05</f>
        <v>11.000000000000002</v>
      </c>
      <c r="CA70" s="37" t="s">
        <v>164</v>
      </c>
      <c r="CB70" s="38">
        <f>CB69*1.05</f>
        <v>231.00000000000003</v>
      </c>
      <c r="CC70" s="38">
        <f>CB69*0.05</f>
        <v>11.000000000000002</v>
      </c>
      <c r="CD70" s="44"/>
      <c r="CE70" s="37" t="s">
        <v>164</v>
      </c>
      <c r="CF70" s="38">
        <f>CF69*1.05</f>
        <v>231.00000000000003</v>
      </c>
      <c r="CG70" s="38">
        <f>CF69*0.05</f>
        <v>11.000000000000002</v>
      </c>
      <c r="CI70" s="37" t="s">
        <v>164</v>
      </c>
      <c r="CJ70" s="38">
        <f>CJ69*1.05</f>
        <v>2310</v>
      </c>
      <c r="CK70" s="38">
        <f>CJ69*0.05</f>
        <v>110</v>
      </c>
      <c r="CM70" s="37" t="s">
        <v>164</v>
      </c>
      <c r="CN70" s="38">
        <f>CN69*1.05</f>
        <v>0</v>
      </c>
      <c r="CO70" s="38">
        <f>CN69*0.05</f>
        <v>0</v>
      </c>
      <c r="CQ70" s="37" t="s">
        <v>164</v>
      </c>
      <c r="CR70" s="38">
        <f>CR69*1.05</f>
        <v>693</v>
      </c>
      <c r="CS70" s="38">
        <f>CR69*0.05</f>
        <v>33</v>
      </c>
      <c r="CU70" s="37" t="s">
        <v>164</v>
      </c>
      <c r="CV70" s="38">
        <f>CV69*1.05</f>
        <v>0</v>
      </c>
      <c r="CW70" s="38">
        <f>CV69*0.05</f>
        <v>0</v>
      </c>
      <c r="CY70" s="37" t="s">
        <v>164</v>
      </c>
      <c r="CZ70" s="38">
        <f>CZ69*1.05</f>
        <v>0</v>
      </c>
      <c r="DA70" s="38">
        <f>CZ69*0.05</f>
        <v>0</v>
      </c>
    </row>
    <row r="71" spans="2:105" x14ac:dyDescent="0.35">
      <c r="B71" s="37" t="s">
        <v>165</v>
      </c>
      <c r="C71" s="38">
        <f>C70*1.05</f>
        <v>242.55000000000004</v>
      </c>
      <c r="D71" s="38">
        <f>C70*0.05</f>
        <v>11.550000000000002</v>
      </c>
      <c r="E71" s="44"/>
      <c r="F71" s="37" t="s">
        <v>165</v>
      </c>
      <c r="G71" s="38">
        <f>G70*1.05</f>
        <v>242.55000000000004</v>
      </c>
      <c r="H71" s="38">
        <f>G70*0.05</f>
        <v>11.550000000000002</v>
      </c>
      <c r="J71" s="37" t="s">
        <v>165</v>
      </c>
      <c r="K71" s="38">
        <f>K70*1.05</f>
        <v>242.55000000000004</v>
      </c>
      <c r="L71" s="38">
        <f>K70*0.05</f>
        <v>11.550000000000002</v>
      </c>
      <c r="N71" s="37" t="s">
        <v>165</v>
      </c>
      <c r="O71" s="38">
        <f>O70*1.05</f>
        <v>3638.2500000000005</v>
      </c>
      <c r="P71" s="38">
        <f>O70*0.05</f>
        <v>173.25000000000003</v>
      </c>
      <c r="R71" s="37" t="s">
        <v>165</v>
      </c>
      <c r="S71" s="38">
        <f>S70*1.05</f>
        <v>242.55000000000004</v>
      </c>
      <c r="T71" s="38">
        <f>S70*0.05</f>
        <v>11.550000000000002</v>
      </c>
      <c r="W71" s="37" t="s">
        <v>165</v>
      </c>
      <c r="X71" s="38">
        <f>X70*1.05</f>
        <v>485.10000000000008</v>
      </c>
      <c r="Y71" s="38">
        <f>X70*0.05</f>
        <v>23.100000000000005</v>
      </c>
      <c r="AA71" s="37" t="s">
        <v>165</v>
      </c>
      <c r="AB71" s="38">
        <f>AB70*1.05</f>
        <v>12127.5</v>
      </c>
      <c r="AC71" s="38">
        <f>AB70*0.05</f>
        <v>577.5</v>
      </c>
      <c r="AE71" s="37" t="s">
        <v>165</v>
      </c>
      <c r="AF71" s="38">
        <f>AF70*1.05</f>
        <v>242.55000000000004</v>
      </c>
      <c r="AG71" s="38">
        <f>AF70*0.05</f>
        <v>11.550000000000002</v>
      </c>
      <c r="AI71" s="37" t="s">
        <v>165</v>
      </c>
      <c r="AJ71" s="38">
        <f>AJ70*1.05</f>
        <v>1212.75</v>
      </c>
      <c r="AK71" s="38">
        <f>AJ70*0.05</f>
        <v>57.75</v>
      </c>
      <c r="AL71" s="44"/>
      <c r="AM71" s="37" t="s">
        <v>165</v>
      </c>
      <c r="AN71" s="38">
        <f>AN70*1.05</f>
        <v>242.55000000000004</v>
      </c>
      <c r="AO71" s="38">
        <f>AN70*0.05</f>
        <v>11.550000000000002</v>
      </c>
      <c r="AQ71" s="37" t="s">
        <v>165</v>
      </c>
      <c r="AR71" s="38">
        <f>AR70*1.05</f>
        <v>485.10000000000008</v>
      </c>
      <c r="AS71" s="38">
        <f>AR70*0.05</f>
        <v>23.100000000000005</v>
      </c>
      <c r="AU71" s="37" t="s">
        <v>165</v>
      </c>
      <c r="AV71" s="38">
        <f>AV70*1.05</f>
        <v>485.10000000000008</v>
      </c>
      <c r="AW71" s="38">
        <f>AV70*0.05</f>
        <v>23.100000000000005</v>
      </c>
      <c r="AY71" s="37" t="s">
        <v>165</v>
      </c>
      <c r="AZ71" s="38">
        <f>AZ70*1.05</f>
        <v>242.55000000000004</v>
      </c>
      <c r="BA71" s="38">
        <f>AZ70*0.05</f>
        <v>11.550000000000002</v>
      </c>
      <c r="BC71" s="37" t="s">
        <v>165</v>
      </c>
      <c r="BD71" s="38">
        <f>BD70*1.05</f>
        <v>6063.75</v>
      </c>
      <c r="BE71" s="38">
        <f>BD70*0.05</f>
        <v>288.75</v>
      </c>
      <c r="BG71" s="37" t="s">
        <v>165</v>
      </c>
      <c r="BH71" s="38">
        <f>BH70*1.05</f>
        <v>485.10000000000008</v>
      </c>
      <c r="BI71" s="38">
        <f>BH70*0.05</f>
        <v>23.100000000000005</v>
      </c>
      <c r="BK71" s="37" t="s">
        <v>165</v>
      </c>
      <c r="BL71" s="38">
        <f>BL70*1.05</f>
        <v>3153.1500000000005</v>
      </c>
      <c r="BM71" s="38">
        <f>BL70*0.05</f>
        <v>150.15000000000003</v>
      </c>
      <c r="BO71" s="37" t="s">
        <v>165</v>
      </c>
      <c r="BP71" s="38">
        <f>BP70*1.05</f>
        <v>2425.5</v>
      </c>
      <c r="BQ71" s="38">
        <f>BP70*0.05</f>
        <v>115.5</v>
      </c>
      <c r="BS71" s="37" t="s">
        <v>165</v>
      </c>
      <c r="BT71" s="38">
        <f>BT70*1.05</f>
        <v>485.10000000000008</v>
      </c>
      <c r="BU71" s="38">
        <f>BT70*0.05</f>
        <v>23.100000000000005</v>
      </c>
      <c r="BV71" s="44"/>
      <c r="BW71" s="37" t="s">
        <v>165</v>
      </c>
      <c r="BX71" s="38">
        <f>BX70*1.05</f>
        <v>242.55000000000004</v>
      </c>
      <c r="BY71" s="38">
        <f>BX70*0.05</f>
        <v>11.550000000000002</v>
      </c>
      <c r="CA71" s="37" t="s">
        <v>165</v>
      </c>
      <c r="CB71" s="38">
        <f>CB70*1.05</f>
        <v>242.55000000000004</v>
      </c>
      <c r="CC71" s="38">
        <f>CB70*0.05</f>
        <v>11.550000000000002</v>
      </c>
      <c r="CD71" s="44"/>
      <c r="CE71" s="37" t="s">
        <v>165</v>
      </c>
      <c r="CF71" s="38">
        <f>CF70*1.05</f>
        <v>242.55000000000004</v>
      </c>
      <c r="CG71" s="38">
        <f>CF70*0.05</f>
        <v>11.550000000000002</v>
      </c>
      <c r="CI71" s="37" t="s">
        <v>165</v>
      </c>
      <c r="CJ71" s="38">
        <f>CJ70*1.05</f>
        <v>2425.5</v>
      </c>
      <c r="CK71" s="38">
        <f>CJ70*0.05</f>
        <v>115.5</v>
      </c>
      <c r="CM71" s="37" t="s">
        <v>165</v>
      </c>
      <c r="CN71" s="38">
        <f>CN70*1.05</f>
        <v>0</v>
      </c>
      <c r="CO71" s="38">
        <f>CN70*0.05</f>
        <v>0</v>
      </c>
      <c r="CQ71" s="37" t="s">
        <v>165</v>
      </c>
      <c r="CR71" s="38">
        <f>CR70*1.05</f>
        <v>727.65</v>
      </c>
      <c r="CS71" s="38">
        <f>CR70*0.05</f>
        <v>34.65</v>
      </c>
      <c r="CU71" s="37" t="s">
        <v>165</v>
      </c>
      <c r="CV71" s="38">
        <f>CV70*1.05</f>
        <v>0</v>
      </c>
      <c r="CW71" s="38">
        <f>CV70*0.05</f>
        <v>0</v>
      </c>
      <c r="CY71" s="37" t="s">
        <v>165</v>
      </c>
      <c r="CZ71" s="38">
        <f>CZ70*1.05</f>
        <v>0</v>
      </c>
      <c r="DA71" s="38">
        <f>CZ70*0.05</f>
        <v>0</v>
      </c>
    </row>
    <row r="72" spans="2:105" x14ac:dyDescent="0.35">
      <c r="B72" s="37"/>
      <c r="C72" s="38"/>
      <c r="D72" s="38"/>
      <c r="E72" s="44"/>
      <c r="F72" s="37"/>
      <c r="G72" s="38"/>
      <c r="H72" s="38"/>
      <c r="J72" s="37"/>
      <c r="K72" s="38"/>
      <c r="L72" s="38"/>
      <c r="N72" s="37"/>
      <c r="O72" s="38"/>
      <c r="P72" s="38"/>
      <c r="R72" s="37"/>
      <c r="S72" s="38"/>
      <c r="T72" s="38"/>
      <c r="W72" s="37"/>
      <c r="X72" s="38"/>
      <c r="Y72" s="38"/>
      <c r="AA72" s="37"/>
      <c r="AB72" s="38"/>
      <c r="AC72" s="38"/>
      <c r="AE72" s="37"/>
      <c r="AF72" s="38"/>
      <c r="AG72" s="38"/>
      <c r="AI72" s="37"/>
      <c r="AJ72" s="38"/>
      <c r="AK72" s="38"/>
      <c r="AL72" s="44"/>
      <c r="AM72" s="37"/>
      <c r="AN72" s="38"/>
      <c r="AO72" s="38"/>
      <c r="AQ72" s="37"/>
      <c r="AR72" s="38"/>
      <c r="AS72" s="38"/>
      <c r="AU72" s="37"/>
      <c r="AV72" s="38"/>
      <c r="AW72" s="38"/>
      <c r="AY72" s="37"/>
      <c r="AZ72" s="38"/>
      <c r="BA72" s="38"/>
      <c r="BC72" s="37"/>
      <c r="BD72" s="38"/>
      <c r="BE72" s="38"/>
      <c r="BG72" s="37"/>
      <c r="BH72" s="38"/>
      <c r="BI72" s="38"/>
      <c r="BK72" s="37"/>
      <c r="BL72" s="38"/>
      <c r="BM72" s="38"/>
      <c r="BO72" s="37"/>
      <c r="BP72" s="38"/>
      <c r="BQ72" s="38"/>
      <c r="BS72" s="37"/>
      <c r="BT72" s="38"/>
      <c r="BU72" s="38"/>
      <c r="BV72" s="44"/>
      <c r="BW72" s="37"/>
      <c r="BX72" s="38"/>
      <c r="BY72" s="38"/>
      <c r="CA72" s="37"/>
      <c r="CB72" s="38"/>
      <c r="CC72" s="38"/>
      <c r="CD72" s="44"/>
      <c r="CE72" s="37"/>
      <c r="CF72" s="38"/>
      <c r="CG72" s="38"/>
      <c r="CI72" s="37"/>
      <c r="CJ72" s="38"/>
      <c r="CK72" s="38"/>
      <c r="CM72" s="37"/>
      <c r="CN72" s="38"/>
      <c r="CO72" s="38"/>
      <c r="CQ72" s="37"/>
      <c r="CR72" s="38"/>
      <c r="CS72" s="38"/>
      <c r="CU72" s="37"/>
      <c r="CV72" s="38"/>
      <c r="CW72" s="38"/>
      <c r="CY72" s="37"/>
      <c r="CZ72" s="38"/>
      <c r="DA72" s="38"/>
    </row>
    <row r="73" spans="2:105" x14ac:dyDescent="0.35">
      <c r="B73" s="37" t="s">
        <v>9</v>
      </c>
      <c r="C73" s="38">
        <f>VLOOKUP(B1,INFSHARES,19,0)</f>
        <v>200</v>
      </c>
      <c r="D73" s="38"/>
      <c r="E73" s="44"/>
      <c r="F73" s="37" t="s">
        <v>9</v>
      </c>
      <c r="G73" s="38">
        <f>VLOOKUP(F1,INFSHARES,19,0)</f>
        <v>200</v>
      </c>
      <c r="H73" s="38"/>
      <c r="J73" s="37" t="s">
        <v>9</v>
      </c>
      <c r="K73" s="38">
        <f>VLOOKUP(J1,INFSHARES,19,0)</f>
        <v>200</v>
      </c>
      <c r="L73" s="38"/>
      <c r="N73" s="37" t="s">
        <v>9</v>
      </c>
      <c r="O73" s="38">
        <f>VLOOKUP(N1,INFSHARES,19,0)</f>
        <v>200</v>
      </c>
      <c r="P73" s="38"/>
      <c r="R73" s="37" t="s">
        <v>9</v>
      </c>
      <c r="S73" s="38">
        <f>VLOOKUP(R1,INFSHARES,19,0)</f>
        <v>200</v>
      </c>
      <c r="T73" s="38"/>
      <c r="W73" s="37" t="s">
        <v>9</v>
      </c>
      <c r="X73" s="38">
        <f>VLOOKUP(W1,INFSHARES,19,0)</f>
        <v>200</v>
      </c>
      <c r="Y73" s="38"/>
      <c r="AA73" s="37" t="s">
        <v>9</v>
      </c>
      <c r="AB73" s="38">
        <f>VLOOKUP(AA1,INFSHARES,19,0)</f>
        <v>1000</v>
      </c>
      <c r="AC73" s="38"/>
      <c r="AE73" s="37" t="s">
        <v>9</v>
      </c>
      <c r="AF73" s="38">
        <f>VLOOKUP(AE1,INFSHARES,19,0)</f>
        <v>200</v>
      </c>
      <c r="AG73" s="38"/>
      <c r="AI73" s="37" t="s">
        <v>9</v>
      </c>
      <c r="AJ73" s="38">
        <f>VLOOKUP(AI1,INFSHARES,19,0)</f>
        <v>200</v>
      </c>
      <c r="AK73" s="38"/>
      <c r="AL73" s="44"/>
      <c r="AM73" s="37" t="s">
        <v>9</v>
      </c>
      <c r="AN73" s="38">
        <f>VLOOKUP(AM1,INFSHARES,19,0)</f>
        <v>200</v>
      </c>
      <c r="AO73" s="38"/>
      <c r="AQ73" s="37" t="s">
        <v>9</v>
      </c>
      <c r="AR73" s="38">
        <f>VLOOKUP(AQ1,INFSHARES,19,0)</f>
        <v>1000</v>
      </c>
      <c r="AS73" s="38"/>
      <c r="AU73" s="37" t="s">
        <v>9</v>
      </c>
      <c r="AV73" s="38">
        <f>VLOOKUP(AU1,INFSHARES,19,0)</f>
        <v>200</v>
      </c>
      <c r="AW73" s="38"/>
      <c r="AY73" s="37" t="s">
        <v>9</v>
      </c>
      <c r="AZ73" s="38">
        <f>VLOOKUP(AY1,INFSHARES,19,0)</f>
        <v>200</v>
      </c>
      <c r="BA73" s="38"/>
      <c r="BC73" s="37" t="s">
        <v>9</v>
      </c>
      <c r="BD73" s="38">
        <f>VLOOKUP(BC1,INFSHARES,19,0)</f>
        <v>3600</v>
      </c>
      <c r="BE73" s="38"/>
      <c r="BG73" s="37" t="s">
        <v>167</v>
      </c>
      <c r="BH73" s="38">
        <f>VLOOKUP(BG1,INFSHARES,19,0)</f>
        <v>200</v>
      </c>
      <c r="BI73" s="38"/>
      <c r="BK73" s="37" t="s">
        <v>9</v>
      </c>
      <c r="BL73" s="38">
        <f>VLOOKUP(BK1,INFSHARES,19,0)</f>
        <v>2600</v>
      </c>
      <c r="BM73" s="38"/>
      <c r="BO73" s="37" t="s">
        <v>9</v>
      </c>
      <c r="BP73" s="38">
        <f>VLOOKUP(BO1,INFSHARES,19,0)</f>
        <v>2000</v>
      </c>
      <c r="BQ73" s="38"/>
      <c r="BS73" s="37" t="s">
        <v>9</v>
      </c>
      <c r="BT73" s="38">
        <f>VLOOKUP(BS1,INFSHARES,19,0)</f>
        <v>200</v>
      </c>
      <c r="BU73" s="38"/>
      <c r="BV73" s="44"/>
      <c r="BW73" s="37" t="s">
        <v>9</v>
      </c>
      <c r="BX73" s="38">
        <f>VLOOKUP(BW1,INFSHARES,19,0)</f>
        <v>400</v>
      </c>
      <c r="BY73" s="38"/>
      <c r="CA73" s="37" t="s">
        <v>9</v>
      </c>
      <c r="CB73" s="38">
        <f>VLOOKUP(CA1,INFSHARES,19,0)</f>
        <v>200</v>
      </c>
      <c r="CC73" s="38"/>
      <c r="CD73" s="44"/>
      <c r="CE73" s="37" t="s">
        <v>167</v>
      </c>
      <c r="CF73" s="38">
        <f>VLOOKUP(CE1,INFSHARES,19,0)</f>
        <v>200</v>
      </c>
      <c r="CG73" s="38"/>
      <c r="CI73" s="37" t="s">
        <v>167</v>
      </c>
      <c r="CJ73" s="38">
        <f>VLOOKUP(CI1,INFSHARES,19,0)</f>
        <v>2000</v>
      </c>
      <c r="CK73" s="38"/>
      <c r="CM73" s="37" t="s">
        <v>167</v>
      </c>
      <c r="CN73" s="38">
        <f>VLOOKUP(CM1,INFSHARES,19,0)</f>
        <v>200</v>
      </c>
      <c r="CO73" s="38"/>
      <c r="CQ73" s="37" t="s">
        <v>167</v>
      </c>
      <c r="CR73" s="38">
        <f>VLOOKUP(CQ1,INFSHARES,19,0)</f>
        <v>200</v>
      </c>
      <c r="CS73" s="38"/>
      <c r="CU73" s="37" t="s">
        <v>167</v>
      </c>
      <c r="CV73" s="38">
        <f>VLOOKUP(CU1,INFSHARES,19,0)</f>
        <v>0</v>
      </c>
      <c r="CW73" s="38"/>
      <c r="CY73" s="37" t="s">
        <v>167</v>
      </c>
      <c r="CZ73" s="38">
        <f>VLOOKUP(CY1,INFRACASHshares2025,19,0)</f>
        <v>0</v>
      </c>
      <c r="DA73" s="38"/>
    </row>
    <row r="74" spans="2:105" x14ac:dyDescent="0.35">
      <c r="B74" s="37" t="s">
        <v>164</v>
      </c>
      <c r="C74" s="38">
        <f>C73*1.1</f>
        <v>220.00000000000003</v>
      </c>
      <c r="D74" s="38">
        <f>C73*0.1</f>
        <v>20</v>
      </c>
      <c r="E74" s="44"/>
      <c r="F74" s="37" t="s">
        <v>164</v>
      </c>
      <c r="G74" s="38">
        <f>G73*1.1</f>
        <v>220.00000000000003</v>
      </c>
      <c r="H74" s="38">
        <f>G73*0.1</f>
        <v>20</v>
      </c>
      <c r="J74" s="37" t="s">
        <v>164</v>
      </c>
      <c r="K74" s="38">
        <f>K73*1.1</f>
        <v>220.00000000000003</v>
      </c>
      <c r="L74" s="38">
        <f>K73*0.1</f>
        <v>20</v>
      </c>
      <c r="N74" s="37" t="s">
        <v>164</v>
      </c>
      <c r="O74" s="38">
        <f>O73*1.1</f>
        <v>220.00000000000003</v>
      </c>
      <c r="P74" s="38">
        <f>O73*0.1</f>
        <v>20</v>
      </c>
      <c r="R74" s="37" t="s">
        <v>164</v>
      </c>
      <c r="S74" s="38">
        <f>S73*1.1</f>
        <v>220.00000000000003</v>
      </c>
      <c r="T74" s="38">
        <f>S73*0.1</f>
        <v>20</v>
      </c>
      <c r="W74" s="37" t="s">
        <v>164</v>
      </c>
      <c r="X74" s="38">
        <f>X73*1.1</f>
        <v>220.00000000000003</v>
      </c>
      <c r="Y74" s="38">
        <f>X73*0.1</f>
        <v>20</v>
      </c>
      <c r="AA74" s="37" t="s">
        <v>164</v>
      </c>
      <c r="AB74" s="38">
        <f>AB73*1.1</f>
        <v>1100</v>
      </c>
      <c r="AC74" s="38">
        <f>AB73*0.1</f>
        <v>100</v>
      </c>
      <c r="AE74" s="37" t="s">
        <v>164</v>
      </c>
      <c r="AF74" s="38">
        <f>AF73*1.1</f>
        <v>220.00000000000003</v>
      </c>
      <c r="AG74" s="38">
        <f>AF73*0.1</f>
        <v>20</v>
      </c>
      <c r="AI74" s="37" t="s">
        <v>164</v>
      </c>
      <c r="AJ74" s="38">
        <f>AJ73*1.1</f>
        <v>220.00000000000003</v>
      </c>
      <c r="AK74" s="38">
        <f>AJ73*0.1</f>
        <v>20</v>
      </c>
      <c r="AL74" s="44"/>
      <c r="AM74" s="37" t="s">
        <v>164</v>
      </c>
      <c r="AN74" s="38">
        <f>AN73*1.1</f>
        <v>220.00000000000003</v>
      </c>
      <c r="AO74" s="38">
        <f>AN73*0.1</f>
        <v>20</v>
      </c>
      <c r="AQ74" s="37" t="s">
        <v>164</v>
      </c>
      <c r="AR74" s="38">
        <f>AR73*1.1</f>
        <v>1100</v>
      </c>
      <c r="AS74" s="38">
        <f>AR73*0.1</f>
        <v>100</v>
      </c>
      <c r="AU74" s="37" t="s">
        <v>164</v>
      </c>
      <c r="AV74" s="38">
        <f>AV73*1.1</f>
        <v>220.00000000000003</v>
      </c>
      <c r="AW74" s="38">
        <f>AV73*0.1</f>
        <v>20</v>
      </c>
      <c r="AY74" s="37" t="s">
        <v>164</v>
      </c>
      <c r="AZ74" s="38">
        <f>AZ73*1.1</f>
        <v>220.00000000000003</v>
      </c>
      <c r="BA74" s="38">
        <f>AZ73*0.1</f>
        <v>20</v>
      </c>
      <c r="BC74" s="37" t="s">
        <v>164</v>
      </c>
      <c r="BD74" s="38">
        <f>BD73*1.1</f>
        <v>3960.0000000000005</v>
      </c>
      <c r="BE74" s="38">
        <f>BD73*0.1</f>
        <v>360</v>
      </c>
      <c r="BG74" s="37" t="s">
        <v>164</v>
      </c>
      <c r="BH74" s="38">
        <f>BH73*1.1</f>
        <v>220.00000000000003</v>
      </c>
      <c r="BI74" s="38">
        <f>BH73*0.1</f>
        <v>20</v>
      </c>
      <c r="BK74" s="37" t="s">
        <v>164</v>
      </c>
      <c r="BL74" s="38">
        <f>BL73*1.1</f>
        <v>2860.0000000000005</v>
      </c>
      <c r="BM74" s="38">
        <f>BL73*0.1</f>
        <v>260</v>
      </c>
      <c r="BO74" s="37" t="s">
        <v>164</v>
      </c>
      <c r="BP74" s="38">
        <f>BP73*1.1</f>
        <v>2200</v>
      </c>
      <c r="BQ74" s="38">
        <f>BP73*0.1</f>
        <v>200</v>
      </c>
      <c r="BS74" s="37" t="s">
        <v>164</v>
      </c>
      <c r="BT74" s="38">
        <f>BT73*1.1</f>
        <v>220.00000000000003</v>
      </c>
      <c r="BU74" s="38">
        <f>BT73*0.1</f>
        <v>20</v>
      </c>
      <c r="BV74" s="44"/>
      <c r="BW74" s="37" t="s">
        <v>164</v>
      </c>
      <c r="BX74" s="38">
        <f>BX73*1.1</f>
        <v>440.00000000000006</v>
      </c>
      <c r="BY74" s="38">
        <f>BX73*0.1</f>
        <v>40</v>
      </c>
      <c r="CA74" s="37" t="s">
        <v>164</v>
      </c>
      <c r="CB74" s="38">
        <f>CB73*1.1</f>
        <v>220.00000000000003</v>
      </c>
      <c r="CC74" s="38">
        <f>CB73*0.1</f>
        <v>20</v>
      </c>
      <c r="CD74" s="44"/>
      <c r="CE74" s="37" t="s">
        <v>164</v>
      </c>
      <c r="CF74" s="38">
        <f>CF73*1.1</f>
        <v>220.00000000000003</v>
      </c>
      <c r="CG74" s="38">
        <f>CF73*0.1</f>
        <v>20</v>
      </c>
      <c r="CI74" s="37" t="s">
        <v>164</v>
      </c>
      <c r="CJ74" s="38">
        <f>CJ73*1.1</f>
        <v>2200</v>
      </c>
      <c r="CK74" s="38">
        <f>CJ73*0.1</f>
        <v>200</v>
      </c>
      <c r="CM74" s="37" t="s">
        <v>164</v>
      </c>
      <c r="CN74" s="38">
        <f>CN73*1.1</f>
        <v>220.00000000000003</v>
      </c>
      <c r="CO74" s="38">
        <f>CN73*0.1</f>
        <v>20</v>
      </c>
      <c r="CQ74" s="37" t="s">
        <v>164</v>
      </c>
      <c r="CR74" s="38">
        <f>CR73*1.1</f>
        <v>220.00000000000003</v>
      </c>
      <c r="CS74" s="38">
        <f>CR73*0.1</f>
        <v>20</v>
      </c>
      <c r="CU74" s="37" t="s">
        <v>164</v>
      </c>
      <c r="CV74" s="38">
        <f>CV73*1.1</f>
        <v>0</v>
      </c>
      <c r="CW74" s="38">
        <f>CV73*0.1</f>
        <v>0</v>
      </c>
      <c r="CY74" s="37" t="s">
        <v>164</v>
      </c>
      <c r="CZ74" s="38">
        <f>CZ73*1.1</f>
        <v>0</v>
      </c>
      <c r="DA74" s="38">
        <f>CZ73*0.1</f>
        <v>0</v>
      </c>
    </row>
    <row r="75" spans="2:105" x14ac:dyDescent="0.35">
      <c r="B75" s="37" t="s">
        <v>165</v>
      </c>
      <c r="C75" s="38">
        <f>C74*1.05</f>
        <v>231.00000000000003</v>
      </c>
      <c r="D75" s="38">
        <f>C74*0.05</f>
        <v>11.000000000000002</v>
      </c>
      <c r="E75" s="44"/>
      <c r="F75" s="37" t="s">
        <v>165</v>
      </c>
      <c r="G75" s="38">
        <f>G74*1.05</f>
        <v>231.00000000000003</v>
      </c>
      <c r="H75" s="38">
        <f>G74*0.05</f>
        <v>11.000000000000002</v>
      </c>
      <c r="J75" s="37" t="s">
        <v>165</v>
      </c>
      <c r="K75" s="38">
        <f>K74*1.05</f>
        <v>231.00000000000003</v>
      </c>
      <c r="L75" s="38">
        <f>K74*0.05</f>
        <v>11.000000000000002</v>
      </c>
      <c r="N75" s="37" t="s">
        <v>165</v>
      </c>
      <c r="O75" s="38">
        <f>O74*1.05</f>
        <v>231.00000000000003</v>
      </c>
      <c r="P75" s="38">
        <f>O74*0.05</f>
        <v>11.000000000000002</v>
      </c>
      <c r="R75" s="37" t="s">
        <v>165</v>
      </c>
      <c r="S75" s="38">
        <f>S74*1.05</f>
        <v>231.00000000000003</v>
      </c>
      <c r="T75" s="38">
        <f>S74*0.05</f>
        <v>11.000000000000002</v>
      </c>
      <c r="W75" s="37" t="s">
        <v>165</v>
      </c>
      <c r="X75" s="38">
        <f>X74*1.05</f>
        <v>231.00000000000003</v>
      </c>
      <c r="Y75" s="38">
        <f>X74*0.05</f>
        <v>11.000000000000002</v>
      </c>
      <c r="AA75" s="37" t="s">
        <v>165</v>
      </c>
      <c r="AB75" s="38">
        <f>AB74*1.05</f>
        <v>1155</v>
      </c>
      <c r="AC75" s="38">
        <f>AB74*0.05</f>
        <v>55</v>
      </c>
      <c r="AE75" s="37" t="s">
        <v>165</v>
      </c>
      <c r="AF75" s="38">
        <f>AF74*1.05</f>
        <v>231.00000000000003</v>
      </c>
      <c r="AG75" s="38">
        <f>AF74*0.05</f>
        <v>11.000000000000002</v>
      </c>
      <c r="AI75" s="37" t="s">
        <v>165</v>
      </c>
      <c r="AJ75" s="38">
        <f>AJ74*1.05</f>
        <v>231.00000000000003</v>
      </c>
      <c r="AK75" s="38">
        <f>AJ74*0.05</f>
        <v>11.000000000000002</v>
      </c>
      <c r="AL75" s="44"/>
      <c r="AM75" s="37" t="s">
        <v>165</v>
      </c>
      <c r="AN75" s="38">
        <f>AN74*1.05</f>
        <v>231.00000000000003</v>
      </c>
      <c r="AO75" s="38">
        <f>AN74*0.05</f>
        <v>11.000000000000002</v>
      </c>
      <c r="AQ75" s="37" t="s">
        <v>165</v>
      </c>
      <c r="AR75" s="38">
        <f>AR74*1.05</f>
        <v>1155</v>
      </c>
      <c r="AS75" s="38">
        <f>AR74*0.05</f>
        <v>55</v>
      </c>
      <c r="AU75" s="37" t="s">
        <v>165</v>
      </c>
      <c r="AV75" s="38">
        <f>AV74*1.05</f>
        <v>231.00000000000003</v>
      </c>
      <c r="AW75" s="38">
        <f>AV74*0.05</f>
        <v>11.000000000000002</v>
      </c>
      <c r="AY75" s="37" t="s">
        <v>165</v>
      </c>
      <c r="AZ75" s="38">
        <f>AZ74*1.05</f>
        <v>231.00000000000003</v>
      </c>
      <c r="BA75" s="38">
        <f>AZ74*0.05</f>
        <v>11.000000000000002</v>
      </c>
      <c r="BC75" s="37" t="s">
        <v>165</v>
      </c>
      <c r="BD75" s="38">
        <f>BD74*1.05</f>
        <v>4158.0000000000009</v>
      </c>
      <c r="BE75" s="38">
        <f>BD74*0.05</f>
        <v>198.00000000000003</v>
      </c>
      <c r="BG75" s="37" t="s">
        <v>165</v>
      </c>
      <c r="BH75" s="38">
        <f>BH74*1.05</f>
        <v>231.00000000000003</v>
      </c>
      <c r="BI75" s="38">
        <f>BH74*0.05</f>
        <v>11.000000000000002</v>
      </c>
      <c r="BK75" s="37" t="s">
        <v>165</v>
      </c>
      <c r="BL75" s="38">
        <f>BL74*1.05</f>
        <v>3003.0000000000005</v>
      </c>
      <c r="BM75" s="38">
        <f>BL74*0.05</f>
        <v>143.00000000000003</v>
      </c>
      <c r="BO75" s="37" t="s">
        <v>165</v>
      </c>
      <c r="BP75" s="38">
        <f>BP74*1.05</f>
        <v>2310</v>
      </c>
      <c r="BQ75" s="38">
        <f>BP74*0.05</f>
        <v>110</v>
      </c>
      <c r="BS75" s="37" t="s">
        <v>165</v>
      </c>
      <c r="BT75" s="38">
        <f>BT74*1.05</f>
        <v>231.00000000000003</v>
      </c>
      <c r="BU75" s="38">
        <f>BT74*0.05</f>
        <v>11.000000000000002</v>
      </c>
      <c r="BV75" s="44"/>
      <c r="BW75" s="37" t="s">
        <v>165</v>
      </c>
      <c r="BX75" s="38">
        <f>BX74*1.05</f>
        <v>462.00000000000006</v>
      </c>
      <c r="BY75" s="38">
        <f>BX74*0.05</f>
        <v>22.000000000000004</v>
      </c>
      <c r="CA75" s="37" t="s">
        <v>165</v>
      </c>
      <c r="CB75" s="38">
        <f>CB74*1.05</f>
        <v>231.00000000000003</v>
      </c>
      <c r="CC75" s="38">
        <f>CB74*0.05</f>
        <v>11.000000000000002</v>
      </c>
      <c r="CD75" s="44"/>
      <c r="CE75" s="37" t="s">
        <v>165</v>
      </c>
      <c r="CF75" s="38">
        <f>CF74*1.05</f>
        <v>231.00000000000003</v>
      </c>
      <c r="CG75" s="38">
        <f>CF74*0.05</f>
        <v>11.000000000000002</v>
      </c>
      <c r="CI75" s="37" t="s">
        <v>165</v>
      </c>
      <c r="CJ75" s="38">
        <f>CJ74*1.05</f>
        <v>2310</v>
      </c>
      <c r="CK75" s="38">
        <f>CJ74*0.05</f>
        <v>110</v>
      </c>
      <c r="CM75" s="37" t="s">
        <v>165</v>
      </c>
      <c r="CN75" s="38">
        <f>CN74*1.05</f>
        <v>231.00000000000003</v>
      </c>
      <c r="CO75" s="38">
        <f>CN74*0.05</f>
        <v>11.000000000000002</v>
      </c>
      <c r="CQ75" s="37" t="s">
        <v>165</v>
      </c>
      <c r="CR75" s="38">
        <f>CR74*1.05</f>
        <v>231.00000000000003</v>
      </c>
      <c r="CS75" s="38">
        <f>CR74*0.05</f>
        <v>11.000000000000002</v>
      </c>
      <c r="CU75" s="37" t="s">
        <v>165</v>
      </c>
      <c r="CV75" s="38">
        <f>CV74*1.05</f>
        <v>0</v>
      </c>
      <c r="CW75" s="38">
        <f>CV74*0.05</f>
        <v>0</v>
      </c>
      <c r="CY75" s="37" t="s">
        <v>165</v>
      </c>
      <c r="CZ75" s="38">
        <f>CZ74*1.05</f>
        <v>0</v>
      </c>
      <c r="DA75" s="38">
        <f>CZ74*0.05</f>
        <v>0</v>
      </c>
    </row>
    <row r="76" spans="2:105" x14ac:dyDescent="0.35">
      <c r="B76" s="37"/>
      <c r="C76" s="38"/>
      <c r="D76" s="38"/>
      <c r="E76" s="44"/>
      <c r="F76" s="37"/>
      <c r="G76" s="38"/>
      <c r="H76" s="38"/>
      <c r="J76" s="37"/>
      <c r="K76" s="38"/>
      <c r="L76" s="38"/>
      <c r="N76" s="37"/>
      <c r="O76" s="38"/>
      <c r="P76" s="38"/>
      <c r="R76" s="37"/>
      <c r="S76" s="38"/>
      <c r="T76" s="38"/>
      <c r="W76" s="37"/>
      <c r="X76" s="38"/>
      <c r="Y76" s="38"/>
      <c r="AA76" s="37"/>
      <c r="AB76" s="38"/>
      <c r="AC76" s="38"/>
      <c r="AE76" s="37"/>
      <c r="AF76" s="38"/>
      <c r="AG76" s="38"/>
      <c r="AI76" s="37"/>
      <c r="AJ76" s="38"/>
      <c r="AK76" s="38"/>
      <c r="AL76" s="44"/>
      <c r="AM76" s="37"/>
      <c r="AN76" s="38"/>
      <c r="AO76" s="38"/>
      <c r="AQ76" s="37"/>
      <c r="AR76" s="38"/>
      <c r="AS76" s="38"/>
      <c r="AU76" s="37"/>
      <c r="AV76" s="38"/>
      <c r="AW76" s="38"/>
      <c r="AY76" s="37"/>
      <c r="AZ76" s="38"/>
      <c r="BA76" s="38"/>
      <c r="BC76" s="37"/>
      <c r="BD76" s="38"/>
      <c r="BE76" s="38"/>
      <c r="BG76" s="37"/>
      <c r="BH76" s="38"/>
      <c r="BI76" s="38"/>
      <c r="BK76" s="37"/>
      <c r="BL76" s="38"/>
      <c r="BM76" s="38"/>
      <c r="BO76" s="37"/>
      <c r="BP76" s="38"/>
      <c r="BQ76" s="38"/>
      <c r="BS76" s="37"/>
      <c r="BT76" s="38"/>
      <c r="BU76" s="38"/>
      <c r="BV76" s="44"/>
      <c r="BW76" s="37"/>
      <c r="BX76" s="38"/>
      <c r="BY76" s="38"/>
      <c r="CA76" s="37"/>
      <c r="CB76" s="38"/>
      <c r="CC76" s="38"/>
      <c r="CD76" s="44"/>
      <c r="CE76" s="37"/>
      <c r="CF76" s="38"/>
      <c r="CG76" s="38"/>
      <c r="CI76" s="37"/>
      <c r="CJ76" s="38"/>
      <c r="CK76" s="38"/>
      <c r="CM76" s="37"/>
      <c r="CN76" s="38"/>
      <c r="CO76" s="38"/>
      <c r="CQ76" s="37"/>
      <c r="CR76" s="38"/>
      <c r="CS76" s="38"/>
      <c r="CU76" s="37"/>
      <c r="CV76" s="38"/>
      <c r="CW76" s="38"/>
      <c r="CY76" s="37"/>
      <c r="CZ76" s="38"/>
      <c r="DA76" s="38"/>
    </row>
    <row r="77" spans="2:105" x14ac:dyDescent="0.35">
      <c r="B77" s="37" t="s">
        <v>164</v>
      </c>
      <c r="C77" s="38">
        <f>VLOOKUP(B1,INFSHARES,21,0)</f>
        <v>1000</v>
      </c>
      <c r="D77" s="38"/>
      <c r="E77" s="44"/>
      <c r="F77" s="37" t="s">
        <v>164</v>
      </c>
      <c r="G77" s="38">
        <f>VLOOKUP(F1,INFSHARES,21,0)</f>
        <v>200</v>
      </c>
      <c r="H77" s="38"/>
      <c r="J77" s="37" t="s">
        <v>164</v>
      </c>
      <c r="K77" s="38">
        <f>VLOOKUP(J1,INFSHARES,21,0)</f>
        <v>200</v>
      </c>
      <c r="L77" s="38"/>
      <c r="N77" s="37" t="s">
        <v>164</v>
      </c>
      <c r="O77" s="38">
        <f>VLOOKUP(N1,INFSHARES,21,0)</f>
        <v>200</v>
      </c>
      <c r="P77" s="38"/>
      <c r="R77" s="37" t="s">
        <v>164</v>
      </c>
      <c r="S77" s="38">
        <f>VLOOKUP(R1,INFSHARES,21,0)</f>
        <v>200</v>
      </c>
      <c r="T77" s="38"/>
      <c r="W77" s="37" t="s">
        <v>164</v>
      </c>
      <c r="X77" s="38">
        <f>VLOOKUP(W1,INFSHARES,21,0)</f>
        <v>200</v>
      </c>
      <c r="Y77" s="38"/>
      <c r="AA77" s="37" t="s">
        <v>164</v>
      </c>
      <c r="AB77" s="38">
        <f>VLOOKUP(AA1,INFSHARES,21,0)</f>
        <v>1000</v>
      </c>
      <c r="AC77" s="38"/>
      <c r="AE77" s="37" t="s">
        <v>164</v>
      </c>
      <c r="AF77" s="38">
        <f>VLOOKUP(AE1,INFSHARES,21,0)</f>
        <v>400</v>
      </c>
      <c r="AG77" s="38"/>
      <c r="AI77" s="37" t="s">
        <v>164</v>
      </c>
      <c r="AJ77" s="38">
        <f>VLOOKUP(AI1,INFSHARES,21,0)</f>
        <v>200</v>
      </c>
      <c r="AK77" s="38"/>
      <c r="AL77" s="44"/>
      <c r="AM77" s="37" t="s">
        <v>164</v>
      </c>
      <c r="AN77" s="38">
        <f>VLOOKUP(AM1,INFSHARES,21,0)</f>
        <v>200</v>
      </c>
      <c r="AO77" s="38"/>
      <c r="AQ77" s="37" t="s">
        <v>164</v>
      </c>
      <c r="AR77" s="38">
        <f>VLOOKUP(AQ1,INFSHARES,21,0)</f>
        <v>200</v>
      </c>
      <c r="AS77" s="38"/>
      <c r="AU77" s="37" t="s">
        <v>164</v>
      </c>
      <c r="AV77" s="38">
        <f>VLOOKUP(AU1,INFSHARES,21,0)</f>
        <v>200</v>
      </c>
      <c r="AW77" s="38"/>
      <c r="AY77" s="37" t="s">
        <v>164</v>
      </c>
      <c r="AZ77" s="38">
        <f>VLOOKUP(AY1,INFSHARES,21,0)</f>
        <v>200</v>
      </c>
      <c r="BA77" s="38"/>
      <c r="BC77" s="37" t="s">
        <v>164</v>
      </c>
      <c r="BD77" s="38">
        <f>VLOOKUP(BC1,INFSHARES,21,0)</f>
        <v>200</v>
      </c>
      <c r="BE77" s="38"/>
      <c r="BG77" s="37" t="s">
        <v>164</v>
      </c>
      <c r="BH77" s="38">
        <f>VLOOKUP(BG1,INFSHARES,21,0)</f>
        <v>200</v>
      </c>
      <c r="BI77" s="38"/>
      <c r="BK77" s="37" t="s">
        <v>164</v>
      </c>
      <c r="BL77" s="38">
        <f>VLOOKUP(BK1,INFSHARES,21,0)</f>
        <v>2600</v>
      </c>
      <c r="BM77" s="38"/>
      <c r="BO77" s="37" t="s">
        <v>164</v>
      </c>
      <c r="BP77" s="38">
        <f>VLOOKUP(BO1,INFSHARES,21,0)</f>
        <v>1000</v>
      </c>
      <c r="BQ77" s="38"/>
      <c r="BS77" s="37" t="s">
        <v>164</v>
      </c>
      <c r="BT77" s="38">
        <f>VLOOKUP(BS1,INFSHARES,21,0)</f>
        <v>200</v>
      </c>
      <c r="BU77" s="38"/>
      <c r="BV77" s="44"/>
      <c r="BW77" s="37" t="s">
        <v>164</v>
      </c>
      <c r="BX77" s="38">
        <f>VLOOKUP(BW1,INFSHARES,21,0)</f>
        <v>200</v>
      </c>
      <c r="BY77" s="38"/>
      <c r="CA77" s="37" t="s">
        <v>164</v>
      </c>
      <c r="CB77" s="38">
        <f>VLOOKUP(CA1,INFSHARES,21,0)</f>
        <v>200</v>
      </c>
      <c r="CC77" s="38"/>
      <c r="CD77" s="44"/>
      <c r="CE77" s="37" t="s">
        <v>164</v>
      </c>
      <c r="CF77" s="38">
        <f>VLOOKUP(CE1,INFSHARES,21,0)</f>
        <v>200</v>
      </c>
      <c r="CG77" s="38"/>
      <c r="CI77" s="37" t="s">
        <v>164</v>
      </c>
      <c r="CJ77" s="38">
        <f>VLOOKUP(CI1,INFSHARES,21,0)</f>
        <v>200</v>
      </c>
      <c r="CK77" s="38"/>
      <c r="CM77" s="37" t="s">
        <v>164</v>
      </c>
      <c r="CN77" s="38">
        <f>VLOOKUP(CM1,INFSHARES,21,0)</f>
        <v>400</v>
      </c>
      <c r="CO77" s="38"/>
      <c r="CQ77" s="37" t="s">
        <v>164</v>
      </c>
      <c r="CR77" s="38">
        <f>VLOOKUP(CQ1,INFSHARES,21,0)</f>
        <v>200</v>
      </c>
      <c r="CS77" s="38"/>
      <c r="CU77" s="37" t="s">
        <v>164</v>
      </c>
      <c r="CV77" s="38">
        <f>VLOOKUP(CU1,INFSHARES,21,0)</f>
        <v>0</v>
      </c>
      <c r="CW77" s="38"/>
      <c r="CY77" s="37" t="s">
        <v>164</v>
      </c>
      <c r="CZ77" s="38">
        <f>VLOOKUP(CY1,INFRACASHshares2025,21,0)</f>
        <v>0</v>
      </c>
      <c r="DA77" s="38"/>
    </row>
    <row r="78" spans="2:105" x14ac:dyDescent="0.35">
      <c r="B78" s="37" t="s">
        <v>165</v>
      </c>
      <c r="C78" s="38">
        <f>C77*1.1</f>
        <v>1100</v>
      </c>
      <c r="D78" s="38">
        <f>C77*0.1</f>
        <v>100</v>
      </c>
      <c r="E78" s="44"/>
      <c r="F78" s="37" t="s">
        <v>165</v>
      </c>
      <c r="G78" s="38">
        <f>G77*1.1</f>
        <v>220.00000000000003</v>
      </c>
      <c r="H78" s="38">
        <f>G77*0.1</f>
        <v>20</v>
      </c>
      <c r="J78" s="37" t="s">
        <v>165</v>
      </c>
      <c r="K78" s="38">
        <f>K77*1.1</f>
        <v>220.00000000000003</v>
      </c>
      <c r="L78" s="38">
        <f>K77*0.1</f>
        <v>20</v>
      </c>
      <c r="N78" s="37" t="s">
        <v>165</v>
      </c>
      <c r="O78" s="38">
        <f>O77*1.1</f>
        <v>220.00000000000003</v>
      </c>
      <c r="P78" s="38">
        <f>O77*0.1</f>
        <v>20</v>
      </c>
      <c r="R78" s="37" t="s">
        <v>165</v>
      </c>
      <c r="S78" s="38">
        <f>S77*1.1</f>
        <v>220.00000000000003</v>
      </c>
      <c r="T78" s="38">
        <f>S77*0.1</f>
        <v>20</v>
      </c>
      <c r="W78" s="37" t="s">
        <v>165</v>
      </c>
      <c r="X78" s="38">
        <f>X77*1.1</f>
        <v>220.00000000000003</v>
      </c>
      <c r="Y78" s="38">
        <f>X77*0.1</f>
        <v>20</v>
      </c>
      <c r="AA78" s="37" t="s">
        <v>165</v>
      </c>
      <c r="AB78" s="38">
        <f>AB77*1.1</f>
        <v>1100</v>
      </c>
      <c r="AC78" s="38">
        <f>AB77*0.1</f>
        <v>100</v>
      </c>
      <c r="AE78" s="37" t="s">
        <v>165</v>
      </c>
      <c r="AF78" s="38">
        <f>AF77*1.1</f>
        <v>440.00000000000006</v>
      </c>
      <c r="AG78" s="38">
        <f>AF77*0.1</f>
        <v>40</v>
      </c>
      <c r="AI78" s="37" t="s">
        <v>165</v>
      </c>
      <c r="AJ78" s="38">
        <f>AJ77*1.1</f>
        <v>220.00000000000003</v>
      </c>
      <c r="AK78" s="38">
        <f>AJ77*0.1</f>
        <v>20</v>
      </c>
      <c r="AL78" s="44"/>
      <c r="AM78" s="37" t="s">
        <v>165</v>
      </c>
      <c r="AN78" s="38">
        <f>AN77*1.1</f>
        <v>220.00000000000003</v>
      </c>
      <c r="AO78" s="38">
        <f>AN77*0.1</f>
        <v>20</v>
      </c>
      <c r="AQ78" s="37" t="s">
        <v>165</v>
      </c>
      <c r="AR78" s="38">
        <f>AR77*1.1</f>
        <v>220.00000000000003</v>
      </c>
      <c r="AS78" s="38">
        <f>AR77*0.1</f>
        <v>20</v>
      </c>
      <c r="AU78" s="37" t="s">
        <v>165</v>
      </c>
      <c r="AV78" s="38">
        <f>AV77*1.1</f>
        <v>220.00000000000003</v>
      </c>
      <c r="AW78" s="38">
        <f>AV77*0.1</f>
        <v>20</v>
      </c>
      <c r="AY78" s="37" t="s">
        <v>165</v>
      </c>
      <c r="AZ78" s="38">
        <f>AZ77*1.1</f>
        <v>220.00000000000003</v>
      </c>
      <c r="BA78" s="38">
        <f>AZ77*0.1</f>
        <v>20</v>
      </c>
      <c r="BC78" s="37" t="s">
        <v>165</v>
      </c>
      <c r="BD78" s="38">
        <f>BD77*1.1</f>
        <v>220.00000000000003</v>
      </c>
      <c r="BE78" s="38">
        <f>BD77*0.1</f>
        <v>20</v>
      </c>
      <c r="BG78" s="37" t="s">
        <v>165</v>
      </c>
      <c r="BH78" s="38">
        <f>BH77*1.1</f>
        <v>220.00000000000003</v>
      </c>
      <c r="BI78" s="38">
        <f>BH77*0.1</f>
        <v>20</v>
      </c>
      <c r="BK78" s="37" t="s">
        <v>165</v>
      </c>
      <c r="BL78" s="38">
        <f>BL77*1.1</f>
        <v>2860.0000000000005</v>
      </c>
      <c r="BM78" s="38">
        <f>BL77*0.1</f>
        <v>260</v>
      </c>
      <c r="BO78" s="37" t="s">
        <v>165</v>
      </c>
      <c r="BP78" s="38">
        <f>BP77*1.1</f>
        <v>1100</v>
      </c>
      <c r="BQ78" s="38">
        <f>BP77*0.1</f>
        <v>100</v>
      </c>
      <c r="BS78" s="37" t="s">
        <v>165</v>
      </c>
      <c r="BT78" s="38">
        <f>BT77*1.1</f>
        <v>220.00000000000003</v>
      </c>
      <c r="BU78" s="38">
        <f>BT77*0.1</f>
        <v>20</v>
      </c>
      <c r="BV78" s="44"/>
      <c r="BW78" s="37" t="s">
        <v>165</v>
      </c>
      <c r="BX78" s="38">
        <f>BX77*1.1</f>
        <v>220.00000000000003</v>
      </c>
      <c r="BY78" s="38">
        <f>BX77*0.1</f>
        <v>20</v>
      </c>
      <c r="CA78" s="37" t="s">
        <v>165</v>
      </c>
      <c r="CB78" s="38">
        <f>CB77*1.1</f>
        <v>220.00000000000003</v>
      </c>
      <c r="CC78" s="38">
        <f>CB77*0.1</f>
        <v>20</v>
      </c>
      <c r="CD78" s="44"/>
      <c r="CE78" s="37" t="s">
        <v>165</v>
      </c>
      <c r="CF78" s="38">
        <f>CF77*1.1</f>
        <v>220.00000000000003</v>
      </c>
      <c r="CG78" s="38">
        <f>CF77*0.1</f>
        <v>20</v>
      </c>
      <c r="CI78" s="37" t="s">
        <v>165</v>
      </c>
      <c r="CJ78" s="38">
        <f>CJ77*1.1</f>
        <v>220.00000000000003</v>
      </c>
      <c r="CK78" s="38">
        <f>CJ77*0.1</f>
        <v>20</v>
      </c>
      <c r="CM78" s="37" t="s">
        <v>165</v>
      </c>
      <c r="CN78" s="38">
        <f>CN77*1.1</f>
        <v>440.00000000000006</v>
      </c>
      <c r="CO78" s="38">
        <f>CN77*0.1</f>
        <v>40</v>
      </c>
      <c r="CQ78" s="37" t="s">
        <v>165</v>
      </c>
      <c r="CR78" s="38">
        <f>CR77*1.1</f>
        <v>220.00000000000003</v>
      </c>
      <c r="CS78" s="38">
        <f>CR77*0.1</f>
        <v>20</v>
      </c>
      <c r="CU78" s="37" t="s">
        <v>165</v>
      </c>
      <c r="CV78" s="38">
        <f>CV77*1.1</f>
        <v>0</v>
      </c>
      <c r="CW78" s="38">
        <f>CV77*0.1</f>
        <v>0</v>
      </c>
      <c r="CY78" s="37" t="s">
        <v>165</v>
      </c>
      <c r="CZ78" s="38">
        <f>CZ77*1.1</f>
        <v>0</v>
      </c>
      <c r="DA78" s="38">
        <f>CZ77*0.1</f>
        <v>0</v>
      </c>
    </row>
    <row r="79" spans="2:105" x14ac:dyDescent="0.35">
      <c r="B79" s="37"/>
      <c r="C79" s="38"/>
      <c r="D79" s="38"/>
      <c r="E79" s="44"/>
      <c r="F79" s="37"/>
      <c r="G79" s="38"/>
      <c r="H79" s="38"/>
      <c r="J79" s="37"/>
      <c r="K79" s="38"/>
      <c r="L79" s="38"/>
      <c r="N79" s="37"/>
      <c r="O79" s="38"/>
      <c r="P79" s="38"/>
      <c r="R79" s="37"/>
      <c r="S79" s="38"/>
      <c r="T79" s="38"/>
      <c r="W79" s="37"/>
      <c r="X79" s="38"/>
      <c r="Y79" s="38"/>
      <c r="AA79" s="37"/>
      <c r="AB79" s="38"/>
      <c r="AC79" s="38"/>
      <c r="AE79" s="37"/>
      <c r="AF79" s="38"/>
      <c r="AG79" s="38"/>
      <c r="AI79" s="37"/>
      <c r="AJ79" s="38"/>
      <c r="AK79" s="38"/>
      <c r="AL79" s="44"/>
      <c r="AM79" s="37"/>
      <c r="AN79" s="38"/>
      <c r="AO79" s="38"/>
      <c r="AQ79" s="37"/>
      <c r="AR79" s="38"/>
      <c r="AS79" s="38"/>
      <c r="AU79" s="37"/>
      <c r="AV79" s="38"/>
      <c r="AW79" s="38"/>
      <c r="AY79" s="37"/>
      <c r="AZ79" s="38"/>
      <c r="BA79" s="38"/>
      <c r="BC79" s="37"/>
      <c r="BD79" s="38"/>
      <c r="BE79" s="38"/>
      <c r="BG79" s="37"/>
      <c r="BH79" s="38"/>
      <c r="BI79" s="38"/>
      <c r="BK79" s="37"/>
      <c r="BL79" s="38"/>
      <c r="BM79" s="38"/>
      <c r="BO79" s="37"/>
      <c r="BP79" s="38"/>
      <c r="BQ79" s="38"/>
      <c r="BS79" s="37"/>
      <c r="BT79" s="38"/>
      <c r="BU79" s="38"/>
      <c r="BV79" s="44"/>
      <c r="BW79" s="37"/>
      <c r="BX79" s="38"/>
      <c r="BY79" s="38"/>
      <c r="CA79" s="37"/>
      <c r="CB79" s="38"/>
      <c r="CC79" s="38"/>
      <c r="CD79" s="44"/>
      <c r="CE79" s="37"/>
      <c r="CF79" s="38"/>
      <c r="CG79" s="38"/>
      <c r="CI79" s="37"/>
      <c r="CJ79" s="38"/>
      <c r="CK79" s="38"/>
      <c r="CM79" s="37"/>
      <c r="CN79" s="38"/>
      <c r="CO79" s="38"/>
      <c r="CQ79" s="37"/>
      <c r="CR79" s="38"/>
      <c r="CS79" s="38"/>
      <c r="CU79" s="37"/>
      <c r="CV79" s="38"/>
      <c r="CW79" s="38"/>
      <c r="CY79" s="37"/>
      <c r="CZ79" s="38"/>
      <c r="DA79" s="38"/>
    </row>
    <row r="80" spans="2:105" x14ac:dyDescent="0.35">
      <c r="B80" s="37" t="s">
        <v>14</v>
      </c>
      <c r="C80" s="38">
        <f>C14+C25+C36+C45+C53+C60+C66+C71+C75+C78</f>
        <v>41458.426226456693</v>
      </c>
      <c r="D80" s="38"/>
      <c r="E80" s="44"/>
      <c r="F80" s="37" t="s">
        <v>14</v>
      </c>
      <c r="G80" s="38">
        <f>G14+G25+G36+G45+G53+G60+G66+G71+G75+G78</f>
        <v>68603.305375000025</v>
      </c>
      <c r="H80" s="38"/>
      <c r="J80" s="37" t="s">
        <v>14</v>
      </c>
      <c r="K80" s="38">
        <f>K14+K25+K36+K45+K53+K60+K66+K71+K75+K78</f>
        <v>8404.5446078971127</v>
      </c>
      <c r="L80" s="38"/>
      <c r="N80" s="37" t="s">
        <v>14</v>
      </c>
      <c r="O80" s="38">
        <f>O14+O25+O36+O45+O53+O60+O66+O71+O75+O78</f>
        <v>8039.3017695551189</v>
      </c>
      <c r="P80" s="38"/>
      <c r="R80" s="37" t="s">
        <v>14</v>
      </c>
      <c r="S80" s="38">
        <f>S14+S25+S36+S45+S53+S60+S66+S71+S75+S78</f>
        <v>16150.910550046683</v>
      </c>
      <c r="T80" s="38"/>
      <c r="W80" s="37" t="s">
        <v>14</v>
      </c>
      <c r="X80" s="38">
        <f>X14+X25+X36+X45+X53+X60+X66+X71+X75+X78</f>
        <v>3009.6863578207431</v>
      </c>
      <c r="Y80" s="38"/>
      <c r="AA80" s="37" t="s">
        <v>14</v>
      </c>
      <c r="AB80" s="38">
        <f>AB14+AB25+AB36+AB45+AB53+AB60+AB66+AB71+AB75+AB78</f>
        <v>16456.086357820743</v>
      </c>
      <c r="AC80" s="38"/>
      <c r="AE80" s="37" t="s">
        <v>14</v>
      </c>
      <c r="AF80" s="38">
        <f>AF14+AF25+AF36+AF45+AF53+AF60+AF66+AF71+AF75+AF78</f>
        <v>10322.875587578987</v>
      </c>
      <c r="AG80" s="38"/>
      <c r="AI80" s="37" t="s">
        <v>14</v>
      </c>
      <c r="AJ80" s="38">
        <f>AJ14+AJ25+AJ36+AJ45+AJ53+AJ60+AJ66+AJ71+AJ75+AJ78</f>
        <v>7244.3429628818367</v>
      </c>
      <c r="AK80" s="38"/>
      <c r="AL80" s="44"/>
      <c r="AM80" s="37" t="s">
        <v>14</v>
      </c>
      <c r="AN80" s="38">
        <f>AN14+AN25+AN36+AN45+AN53+AN60+AN66+AN71+AN75+AN78</f>
        <v>9548.0202993832409</v>
      </c>
      <c r="AO80" s="38"/>
      <c r="AQ80" s="37" t="s">
        <v>14</v>
      </c>
      <c r="AR80" s="38">
        <f>AR14+AR25+AR36+AR45+AR53+AR60+AR66+AR71+AR75+AR78</f>
        <v>4258.7265554543374</v>
      </c>
      <c r="AS80" s="38"/>
      <c r="AU80" s="37" t="s">
        <v>14</v>
      </c>
      <c r="AV80" s="38">
        <f>AV14+AV25+AV36+AV45+AV53+AV60+AV66+AV71+AV75+AV78</f>
        <v>42633.685195320744</v>
      </c>
      <c r="AW80" s="38"/>
      <c r="AY80" s="37" t="s">
        <v>14</v>
      </c>
      <c r="AZ80" s="38">
        <f>AZ14+AZ25+AZ36+AZ45+AZ53+AZ60+AZ66+AZ71+AZ75+AZ78</f>
        <v>11976.859338187309</v>
      </c>
      <c r="BA80" s="38"/>
      <c r="BC80" s="37" t="s">
        <v>14</v>
      </c>
      <c r="BD80" s="38">
        <f>BD14+BD25+BD36+BD45+BD53+BD60+BD66+BD71+BD75+BD78</f>
        <v>69300.957539268566</v>
      </c>
      <c r="BE80" s="38"/>
      <c r="BG80" s="37" t="s">
        <v>14</v>
      </c>
      <c r="BH80" s="38">
        <f>BH14+BH25+BH36+BH45+BH53+BH60+BH66+BH71+BH75+BH78</f>
        <v>5100.8299477106657</v>
      </c>
      <c r="BI80" s="38"/>
      <c r="BK80" s="37" t="s">
        <v>14</v>
      </c>
      <c r="BL80" s="38">
        <f>BL14+BL25+BL36+BL45+BL53+BL60+BL66+BL71+BL75+BL78</f>
        <v>35608.031025279888</v>
      </c>
      <c r="BM80" s="38"/>
      <c r="BO80" s="37" t="s">
        <v>14</v>
      </c>
      <c r="BP80" s="38">
        <f>BP14+BP25+BP36+BP45+BP53+BP60+BP66+BP71+BP75+BP78</f>
        <v>35718.612540275593</v>
      </c>
      <c r="BQ80" s="38"/>
      <c r="BS80" s="37" t="s">
        <v>14</v>
      </c>
      <c r="BT80" s="38">
        <f>BT14+BT25+BT36+BT45+BT53+BT60+BT66+BT71+BT75+BT78</f>
        <v>39807.920003287312</v>
      </c>
      <c r="BU80" s="38"/>
      <c r="BV80" s="44"/>
      <c r="BW80" s="37" t="s">
        <v>14</v>
      </c>
      <c r="BX80" s="38">
        <f>BX14+BX25+BX36+BX45+BX53+BX60+BX66+BX71+BX75+BX78</f>
        <v>48194.340251277354</v>
      </c>
      <c r="BY80" s="38"/>
      <c r="CA80" s="37" t="s">
        <v>14</v>
      </c>
      <c r="CB80" s="38">
        <f>CB14+CB25+CB36+CB45+CB53+CB60+CB66+CB71+CB75+CB78</f>
        <v>39135.115546669149</v>
      </c>
      <c r="CC80" s="38"/>
      <c r="CD80" s="44"/>
      <c r="CE80" s="37" t="s">
        <v>14</v>
      </c>
      <c r="CF80" s="38">
        <f>CF14+CF25+CF36+CF45+CF53+CF60+CF66+CF71+CF75+CF78</f>
        <v>20082.570764042619</v>
      </c>
      <c r="CG80" s="38"/>
      <c r="CI80" s="37" t="s">
        <v>14</v>
      </c>
      <c r="CJ80" s="38">
        <f>CJ14+CJ25+CJ36+CJ45+CJ53+CJ60+CJ66+CJ71+CJ75+CJ78</f>
        <v>48288.144526670905</v>
      </c>
      <c r="CK80" s="38"/>
      <c r="CM80" s="37" t="s">
        <v>14</v>
      </c>
      <c r="CN80" s="38">
        <f>CN14+CN25+CN36+CN45+CN53+CN60+CN66+CN71+CN75+CN78</f>
        <v>17250.525644096684</v>
      </c>
      <c r="CO80" s="38"/>
      <c r="CQ80" s="37" t="s">
        <v>14</v>
      </c>
      <c r="CR80" s="38">
        <f>CR14+CR25+CR36+CR45+CR53+CR60+CR66+CR71+CR75+CR78</f>
        <v>14514.644727433986</v>
      </c>
      <c r="CS80" s="38"/>
      <c r="CU80" s="37" t="s">
        <v>14</v>
      </c>
      <c r="CV80" s="38">
        <f>CV14+CV25+CV36+CV45+CV53+CV60+CV66+CV71+CV75+CV78</f>
        <v>341.29220751527367</v>
      </c>
      <c r="CW80" s="38"/>
      <c r="CY80" s="37" t="s">
        <v>14</v>
      </c>
      <c r="CZ80" s="38">
        <f>CZ14+CZ25+CZ36+CZ45+CZ53+CZ60+CZ66+CZ71+CZ75+CZ78</f>
        <v>42115.685673627086</v>
      </c>
      <c r="DA80" s="38"/>
    </row>
    <row r="81" spans="2:105" ht="22" x14ac:dyDescent="0.35">
      <c r="B81" s="37" t="s">
        <v>168</v>
      </c>
      <c r="C81" s="11">
        <f>C82/200</f>
        <v>137</v>
      </c>
      <c r="D81" s="38"/>
      <c r="E81" s="44"/>
      <c r="F81" s="37" t="s">
        <v>168</v>
      </c>
      <c r="G81" s="11">
        <f>G82/200</f>
        <v>245</v>
      </c>
      <c r="H81" s="38"/>
      <c r="J81" s="37" t="s">
        <v>168</v>
      </c>
      <c r="K81" s="11">
        <f>K82/200</f>
        <v>29</v>
      </c>
      <c r="L81" s="38"/>
      <c r="N81" s="37" t="s">
        <v>168</v>
      </c>
      <c r="O81" s="11">
        <f>O82/200</f>
        <v>31</v>
      </c>
      <c r="P81" s="38"/>
      <c r="R81" s="37" t="s">
        <v>168</v>
      </c>
      <c r="S81" s="11">
        <f>S82/200</f>
        <v>52</v>
      </c>
      <c r="T81" s="38"/>
      <c r="W81" s="37" t="s">
        <v>168</v>
      </c>
      <c r="X81" s="11">
        <f>X82/200</f>
        <v>11</v>
      </c>
      <c r="Y81" s="38"/>
      <c r="AA81" s="37" t="s">
        <v>168</v>
      </c>
      <c r="AB81" s="11">
        <f>AB82/200</f>
        <v>67</v>
      </c>
      <c r="AC81" s="38"/>
      <c r="AE81" s="37" t="s">
        <v>168</v>
      </c>
      <c r="AF81" s="11">
        <f>AF82/200</f>
        <v>37</v>
      </c>
      <c r="AG81" s="38"/>
      <c r="AI81" s="37" t="s">
        <v>168</v>
      </c>
      <c r="AJ81" s="11">
        <f>AJ82/200</f>
        <v>26</v>
      </c>
      <c r="AK81" s="38"/>
      <c r="AL81" s="44"/>
      <c r="AM81" s="37" t="s">
        <v>168</v>
      </c>
      <c r="AN81" s="11">
        <f>AN82/200</f>
        <v>33</v>
      </c>
      <c r="AO81" s="38"/>
      <c r="AQ81" s="37" t="s">
        <v>168</v>
      </c>
      <c r="AR81" s="11">
        <f>AR82/200</f>
        <v>16</v>
      </c>
      <c r="AS81" s="38"/>
      <c r="AU81" s="37" t="s">
        <v>168</v>
      </c>
      <c r="AV81" s="11">
        <f>AV82/200</f>
        <v>159</v>
      </c>
      <c r="AW81" s="38"/>
      <c r="AY81" s="37" t="s">
        <v>168</v>
      </c>
      <c r="AZ81" s="11">
        <f>AZ82/200</f>
        <v>38</v>
      </c>
      <c r="BA81" s="38"/>
      <c r="BC81" s="37" t="s">
        <v>168</v>
      </c>
      <c r="BD81" s="11">
        <f>BD82/200</f>
        <v>244</v>
      </c>
      <c r="BE81" s="38"/>
      <c r="BG81" s="37" t="s">
        <v>168</v>
      </c>
      <c r="BH81" s="11">
        <f>BH82/200</f>
        <v>18</v>
      </c>
      <c r="BI81" s="38"/>
      <c r="BK81" s="37" t="s">
        <v>168</v>
      </c>
      <c r="BL81" s="11">
        <f>BL82/200</f>
        <v>126</v>
      </c>
      <c r="BM81" s="38"/>
      <c r="BO81" s="37" t="s">
        <v>168</v>
      </c>
      <c r="BP81" s="11">
        <f>BP82/200</f>
        <v>126</v>
      </c>
      <c r="BQ81" s="38"/>
      <c r="BS81" s="37" t="s">
        <v>168</v>
      </c>
      <c r="BT81" s="11">
        <f>BT82/200</f>
        <v>135</v>
      </c>
      <c r="BU81" s="38"/>
      <c r="BV81" s="44"/>
      <c r="BW81" s="37" t="s">
        <v>168</v>
      </c>
      <c r="BX81" s="11">
        <f>BX82/200</f>
        <v>169</v>
      </c>
      <c r="BY81" s="38"/>
      <c r="CA81" s="37" t="s">
        <v>168</v>
      </c>
      <c r="CB81" s="11">
        <f>CB82/200</f>
        <v>125</v>
      </c>
      <c r="CC81" s="38"/>
      <c r="CD81" s="44"/>
      <c r="CE81" s="37" t="s">
        <v>168</v>
      </c>
      <c r="CF81" s="11">
        <f>CF82/200</f>
        <v>71</v>
      </c>
      <c r="CG81" s="38"/>
      <c r="CI81" s="37" t="s">
        <v>168</v>
      </c>
      <c r="CJ81" s="11">
        <f>CJ82/200</f>
        <v>161</v>
      </c>
      <c r="CK81" s="38"/>
      <c r="CM81" s="37" t="s">
        <v>168</v>
      </c>
      <c r="CN81" s="11">
        <f>CN82/200</f>
        <v>55</v>
      </c>
      <c r="CO81" s="38"/>
      <c r="CQ81" s="37" t="s">
        <v>168</v>
      </c>
      <c r="CR81" s="11">
        <f>CR82/200</f>
        <v>47</v>
      </c>
      <c r="CS81" s="38"/>
      <c r="CU81" s="37" t="s">
        <v>168</v>
      </c>
      <c r="CV81" s="11">
        <f>CV82/200</f>
        <v>1</v>
      </c>
      <c r="CW81" s="38"/>
      <c r="CY81" s="37" t="s">
        <v>168</v>
      </c>
      <c r="CZ81" s="11">
        <f>CZ82/200</f>
        <v>139</v>
      </c>
      <c r="DA81" s="38"/>
    </row>
    <row r="82" spans="2:105" ht="22" x14ac:dyDescent="0.35">
      <c r="B82" s="37" t="s">
        <v>169</v>
      </c>
      <c r="C82" s="40">
        <f>C4+C16+C28+C38+C47+C55+C62+C68+C73+C77</f>
        <v>27400</v>
      </c>
      <c r="D82" s="11"/>
      <c r="F82" s="37" t="s">
        <v>169</v>
      </c>
      <c r="G82" s="40">
        <f>G4+G16+G28+G38+G47+G55+G62+G68+G73+G77</f>
        <v>49000</v>
      </c>
      <c r="H82" s="11"/>
      <c r="J82" s="37" t="s">
        <v>169</v>
      </c>
      <c r="K82" s="40">
        <f>K4+K16+K28+K38+K47+K55+K62+K68+K73+K77</f>
        <v>5800</v>
      </c>
      <c r="L82" s="11"/>
      <c r="N82" s="37" t="s">
        <v>169</v>
      </c>
      <c r="O82" s="40">
        <f>O4+O16+O28+O38+O47+O55+O62+O68+O73+O77</f>
        <v>6200</v>
      </c>
      <c r="P82" s="11"/>
      <c r="R82" s="37" t="s">
        <v>169</v>
      </c>
      <c r="S82" s="40">
        <f>S4+S16+S28+S38+S47+S55+S62+S68+S73+S77</f>
        <v>10400</v>
      </c>
      <c r="T82" s="11"/>
      <c r="W82" s="37" t="s">
        <v>169</v>
      </c>
      <c r="X82" s="40">
        <f>X4+X16+X28+X38+X47+X55+X62+X68+X73+X77</f>
        <v>2200</v>
      </c>
      <c r="Y82" s="11"/>
      <c r="AA82" s="37" t="s">
        <v>169</v>
      </c>
      <c r="AB82" s="40">
        <f>AB4+AB16+AB28+AB38+AB47+AB55+AB62+AB68+AB73+AB77</f>
        <v>13400</v>
      </c>
      <c r="AC82" s="11"/>
      <c r="AE82" s="37" t="s">
        <v>169</v>
      </c>
      <c r="AF82" s="40">
        <f>AF4+AF16+AF28+AF38+AF47+AF55+AF62+AF68+AF73+AF77</f>
        <v>7400</v>
      </c>
      <c r="AG82" s="11"/>
      <c r="AI82" s="37" t="s">
        <v>169</v>
      </c>
      <c r="AJ82" s="40">
        <f>AJ4+AJ16+AJ28+AJ38+AJ47+AJ55+AJ62+AJ68+AJ73+AJ77</f>
        <v>5200</v>
      </c>
      <c r="AK82" s="11"/>
      <c r="AM82" s="37" t="s">
        <v>169</v>
      </c>
      <c r="AN82" s="40">
        <f>AN4+AN16+AN28+AN38+AN47+AN55+AN62+AN68+AN73+AN77</f>
        <v>6600</v>
      </c>
      <c r="AO82" s="11"/>
      <c r="AQ82" s="37" t="s">
        <v>169</v>
      </c>
      <c r="AR82" s="40">
        <f>AR4+AR16+AR28+AR38+AR47+AR55+AR62+AR68+AR73+AR77</f>
        <v>3200</v>
      </c>
      <c r="AS82" s="11"/>
      <c r="AU82" s="37" t="s">
        <v>169</v>
      </c>
      <c r="AV82" s="40">
        <f>AV4+AV16+AV28+AV38+AV47+AV55+AV62+AV68+AV73+AV77</f>
        <v>31800</v>
      </c>
      <c r="AW82" s="11"/>
      <c r="AY82" s="37" t="s">
        <v>169</v>
      </c>
      <c r="AZ82" s="40">
        <f>AZ4+AZ16+AZ28+AZ38+AZ47+AZ55+AZ62+AZ68+AZ73+AZ77</f>
        <v>7600</v>
      </c>
      <c r="BA82" s="11"/>
      <c r="BC82" s="37" t="s">
        <v>169</v>
      </c>
      <c r="BD82" s="40">
        <f>BD4+BD16+BD28+BD38+BD47+BD55+BD62+BD68+BD73+BD77</f>
        <v>48800</v>
      </c>
      <c r="BE82" s="11"/>
      <c r="BG82" s="37" t="s">
        <v>169</v>
      </c>
      <c r="BH82" s="40">
        <f>BH4+BH16+BH28+BH38+BH47+BH55+BH62+BH68+BH73+BH77</f>
        <v>3600</v>
      </c>
      <c r="BI82" s="11"/>
      <c r="BK82" s="37" t="s">
        <v>169</v>
      </c>
      <c r="BL82" s="40">
        <f>BL4+BL16+BL28+BL38+BL47+BL55+BL62+BL68+BL73+BL77</f>
        <v>25200</v>
      </c>
      <c r="BM82" s="11"/>
      <c r="BO82" s="37" t="s">
        <v>169</v>
      </c>
      <c r="BP82" s="40">
        <f>BP4+BP16+BP28+BP38+BP47+BP55+BP62+BP68+BP73+BP77</f>
        <v>25200</v>
      </c>
      <c r="BQ82" s="11"/>
      <c r="BS82" s="37" t="s">
        <v>169</v>
      </c>
      <c r="BT82" s="40">
        <f>BT4+BT16+BT28+BT38+BT47+BT55+BT62+BT68+BT73+BT77</f>
        <v>27000</v>
      </c>
      <c r="BU82" s="11"/>
      <c r="BW82" s="37" t="s">
        <v>169</v>
      </c>
      <c r="BX82" s="40">
        <f>BX4+BX16+BX28+BX38+BX47+BX55+BX62+BX68+BX73+BX77</f>
        <v>33800</v>
      </c>
      <c r="BY82" s="11"/>
      <c r="CA82" s="37" t="s">
        <v>169</v>
      </c>
      <c r="CB82" s="40">
        <f>CB4+CB16+CB28+CB38+CB47+CB55+CB62+CB68+CB73+CB77</f>
        <v>25000</v>
      </c>
      <c r="CC82" s="11"/>
      <c r="CE82" s="37" t="s">
        <v>169</v>
      </c>
      <c r="CF82" s="40">
        <f>CF4+CF16+CF28+CF38+CF47+CF55+CF62+CF68+CF73+CF77</f>
        <v>14200</v>
      </c>
      <c r="CG82" s="11"/>
      <c r="CI82" s="37" t="s">
        <v>169</v>
      </c>
      <c r="CJ82" s="40">
        <f>CJ4+CJ16+CJ28+CJ38+CJ47+CJ55+CJ62+CJ68+CJ73+CJ77</f>
        <v>32200</v>
      </c>
      <c r="CK82" s="11"/>
      <c r="CM82" s="37" t="s">
        <v>169</v>
      </c>
      <c r="CN82" s="40">
        <f>CN4+CN16+CN28+CN38+CN47+CN55+CN62+CN68+CN73+CN77</f>
        <v>11000</v>
      </c>
      <c r="CO82" s="11"/>
      <c r="CQ82" s="37" t="s">
        <v>169</v>
      </c>
      <c r="CR82" s="40">
        <f>CR4+CR16+CR28+CR38+CR47+CR55+CR62+CR68+CR73+CR77</f>
        <v>9400</v>
      </c>
      <c r="CS82" s="11"/>
      <c r="CU82" s="37" t="s">
        <v>169</v>
      </c>
      <c r="CV82" s="40">
        <f>CV4+CV16+CV28+CV38+CV47+CV55+CV62+CV68+CV73+CV77</f>
        <v>200</v>
      </c>
      <c r="CW82" s="11"/>
      <c r="CY82" s="37" t="s">
        <v>169</v>
      </c>
      <c r="CZ82" s="40">
        <f>CZ4+CZ16+CZ28+CZ38+CZ47+CZ55+CZ62+CZ68+CZ73+CZ77</f>
        <v>27800</v>
      </c>
      <c r="DA82" s="11"/>
    </row>
    <row r="83" spans="2:105" ht="22" x14ac:dyDescent="0.35">
      <c r="B83" s="37" t="s">
        <v>170</v>
      </c>
      <c r="C83" s="41">
        <f>C80-C82</f>
        <v>14058.426226456693</v>
      </c>
      <c r="D83" s="38"/>
      <c r="E83" s="44"/>
      <c r="F83" s="37" t="s">
        <v>170</v>
      </c>
      <c r="G83" s="41">
        <f>G80-G82</f>
        <v>19603.305375000025</v>
      </c>
      <c r="H83" s="38"/>
      <c r="J83" s="37" t="s">
        <v>170</v>
      </c>
      <c r="K83" s="41">
        <f>K80-K82</f>
        <v>2604.5446078971127</v>
      </c>
      <c r="L83" s="38"/>
      <c r="N83" s="37" t="s">
        <v>170</v>
      </c>
      <c r="O83" s="41">
        <f>O80-O82</f>
        <v>1839.3017695551189</v>
      </c>
      <c r="P83" s="38"/>
      <c r="R83" s="37" t="s">
        <v>170</v>
      </c>
      <c r="S83" s="41">
        <f>S80-S82</f>
        <v>5750.9105500466831</v>
      </c>
      <c r="T83" s="38"/>
      <c r="W83" s="37" t="s">
        <v>170</v>
      </c>
      <c r="X83" s="41">
        <f>X80-X82</f>
        <v>809.68635782074307</v>
      </c>
      <c r="Y83" s="38"/>
      <c r="AA83" s="37" t="s">
        <v>170</v>
      </c>
      <c r="AB83" s="41">
        <f>AB80-AB82</f>
        <v>3056.0863578207427</v>
      </c>
      <c r="AC83" s="38"/>
      <c r="AE83" s="37" t="s">
        <v>170</v>
      </c>
      <c r="AF83" s="41">
        <f>AF80-AF82</f>
        <v>2922.8755875789866</v>
      </c>
      <c r="AG83" s="38"/>
      <c r="AI83" s="37" t="s">
        <v>170</v>
      </c>
      <c r="AJ83" s="41">
        <f>AJ80-AJ82</f>
        <v>2044.3429628818367</v>
      </c>
      <c r="AK83" s="38"/>
      <c r="AL83" s="44"/>
      <c r="AM83" s="37" t="s">
        <v>170</v>
      </c>
      <c r="AN83" s="41">
        <f>AN80-AN82</f>
        <v>2948.0202993832409</v>
      </c>
      <c r="AO83" s="38"/>
      <c r="AQ83" s="37" t="s">
        <v>170</v>
      </c>
      <c r="AR83" s="41">
        <f>AR80-AR82</f>
        <v>1058.7265554543374</v>
      </c>
      <c r="AS83" s="38"/>
      <c r="AU83" s="37" t="s">
        <v>170</v>
      </c>
      <c r="AV83" s="41">
        <f>AV80-AV82</f>
        <v>10833.685195320744</v>
      </c>
      <c r="AW83" s="38"/>
      <c r="AY83" s="37" t="s">
        <v>170</v>
      </c>
      <c r="AZ83" s="41">
        <f>AZ80-AZ82</f>
        <v>4376.8593381873088</v>
      </c>
      <c r="BA83" s="38"/>
      <c r="BC83" s="37" t="s">
        <v>170</v>
      </c>
      <c r="BD83" s="41">
        <f>BD80-BD82</f>
        <v>20500.957539268566</v>
      </c>
      <c r="BE83" s="38"/>
      <c r="BG83" s="37" t="s">
        <v>170</v>
      </c>
      <c r="BH83" s="41">
        <f>BH80-BH82</f>
        <v>1500.8299477106657</v>
      </c>
      <c r="BI83" s="38"/>
      <c r="BK83" s="37" t="s">
        <v>170</v>
      </c>
      <c r="BL83" s="41">
        <f>BL80-BL82</f>
        <v>10408.031025279888</v>
      </c>
      <c r="BM83" s="38"/>
      <c r="BO83" s="37" t="s">
        <v>170</v>
      </c>
      <c r="BP83" s="41">
        <f>BP80-BP82</f>
        <v>10518.612540275593</v>
      </c>
      <c r="BQ83" s="38"/>
      <c r="BS83" s="37" t="s">
        <v>170</v>
      </c>
      <c r="BT83" s="41">
        <f>BT80-BT82</f>
        <v>12807.920003287312</v>
      </c>
      <c r="BU83" s="38"/>
      <c r="BV83" s="44"/>
      <c r="BW83" s="37" t="s">
        <v>170</v>
      </c>
      <c r="BX83" s="41">
        <f>BX80-BX82</f>
        <v>14394.340251277354</v>
      </c>
      <c r="BY83" s="38"/>
      <c r="CA83" s="37" t="s">
        <v>170</v>
      </c>
      <c r="CB83" s="41">
        <f>CB80-CB82</f>
        <v>14135.115546669149</v>
      </c>
      <c r="CC83" s="38"/>
      <c r="CD83" s="44"/>
      <c r="CE83" s="37" t="s">
        <v>170</v>
      </c>
      <c r="CF83" s="41">
        <f>CF80-CF82</f>
        <v>5882.570764042619</v>
      </c>
      <c r="CG83" s="38"/>
      <c r="CI83" s="37" t="s">
        <v>170</v>
      </c>
      <c r="CJ83" s="41">
        <f>CJ80-CJ82</f>
        <v>16088.144526670905</v>
      </c>
      <c r="CK83" s="38"/>
      <c r="CM83" s="37" t="s">
        <v>170</v>
      </c>
      <c r="CN83" s="41">
        <f>CN80-CN82</f>
        <v>6250.5256440966841</v>
      </c>
      <c r="CO83" s="38"/>
      <c r="CQ83" s="37" t="s">
        <v>170</v>
      </c>
      <c r="CR83" s="41">
        <f>CR80-CR82</f>
        <v>5114.6447274339862</v>
      </c>
      <c r="CS83" s="38"/>
      <c r="CU83" s="37" t="s">
        <v>170</v>
      </c>
      <c r="CV83" s="41">
        <f>CV80-CV82</f>
        <v>141.29220751527367</v>
      </c>
      <c r="CW83" s="38"/>
      <c r="CY83" s="37" t="s">
        <v>170</v>
      </c>
      <c r="CZ83" s="41">
        <f>CZ80-CZ82</f>
        <v>14315.685673627086</v>
      </c>
      <c r="DA83" s="38"/>
    </row>
    <row r="84" spans="2:105" x14ac:dyDescent="0.35">
      <c r="B84" s="42"/>
      <c r="C84" s="43"/>
      <c r="D84" s="44"/>
      <c r="E84" s="44"/>
      <c r="F84" s="42"/>
      <c r="G84" s="43"/>
      <c r="H84" s="44"/>
      <c r="J84" s="42"/>
      <c r="K84" s="43"/>
      <c r="L84" s="44"/>
      <c r="N84" s="42"/>
      <c r="O84" s="43"/>
      <c r="P84" s="44"/>
      <c r="R84" s="42"/>
      <c r="S84" s="43"/>
      <c r="T84" s="44"/>
      <c r="W84" s="42"/>
      <c r="X84" s="43"/>
      <c r="Y84" s="44"/>
      <c r="AA84" s="42"/>
      <c r="AB84" s="43"/>
      <c r="AC84" s="44"/>
      <c r="AE84" s="42"/>
      <c r="AF84" s="43"/>
      <c r="AG84" s="44"/>
      <c r="AI84" s="42"/>
      <c r="AJ84" s="43"/>
      <c r="AK84" s="44"/>
      <c r="AL84" s="44"/>
      <c r="AM84" s="42"/>
      <c r="AN84" s="43"/>
      <c r="AO84" s="44"/>
      <c r="AQ84" s="42"/>
      <c r="AR84" s="43"/>
      <c r="AS84" s="44"/>
      <c r="AU84" s="42"/>
      <c r="AV84" s="43"/>
      <c r="AW84" s="44"/>
      <c r="AY84" s="42"/>
      <c r="AZ84" s="43"/>
      <c r="BA84" s="44"/>
      <c r="BC84" s="42"/>
      <c r="BD84" s="43"/>
      <c r="BE84" s="44"/>
      <c r="BG84" s="42"/>
      <c r="BH84" s="43"/>
      <c r="BI84" s="44"/>
      <c r="BK84" s="42"/>
      <c r="BL84" s="43"/>
      <c r="BM84" s="44"/>
      <c r="BO84" s="42"/>
      <c r="BP84" s="43"/>
      <c r="BQ84" s="44"/>
      <c r="BS84" s="42"/>
      <c r="BT84" s="43"/>
      <c r="BU84" s="44"/>
      <c r="BV84" s="44"/>
      <c r="BW84" s="42"/>
      <c r="BX84" s="43"/>
      <c r="BY84" s="44"/>
      <c r="CA84" s="42"/>
      <c r="CB84" s="43"/>
      <c r="CC84" s="44"/>
      <c r="CD84" s="44"/>
      <c r="CE84" s="42"/>
      <c r="CF84" s="43"/>
      <c r="CG84" s="44"/>
      <c r="CI84" s="42"/>
      <c r="CJ84" s="43"/>
      <c r="CK84" s="44"/>
      <c r="CM84" s="42"/>
      <c r="CN84" s="43"/>
      <c r="CO84" s="44"/>
      <c r="CQ84" s="42"/>
      <c r="CR84" s="43"/>
      <c r="CS84" s="44"/>
      <c r="CU84" s="42"/>
      <c r="CV84" s="43"/>
      <c r="CW84" s="44"/>
      <c r="CY84" s="42"/>
      <c r="CZ84" s="43"/>
      <c r="DA84" s="44"/>
    </row>
    <row r="85" spans="2:105" s="47" customFormat="1" x14ac:dyDescent="0.35">
      <c r="B85" s="42" t="s">
        <v>171</v>
      </c>
      <c r="C85" s="101">
        <f>C80</f>
        <v>41458.426226456693</v>
      </c>
      <c r="F85" s="42" t="s">
        <v>171</v>
      </c>
      <c r="G85" s="101">
        <f>G80</f>
        <v>68603.305375000025</v>
      </c>
      <c r="J85" s="42" t="s">
        <v>171</v>
      </c>
      <c r="K85" s="101">
        <f>K80</f>
        <v>8404.5446078971127</v>
      </c>
      <c r="N85" s="42" t="s">
        <v>171</v>
      </c>
      <c r="O85" s="101">
        <f>O80</f>
        <v>8039.3017695551189</v>
      </c>
      <c r="R85" s="42" t="s">
        <v>171</v>
      </c>
      <c r="S85" s="101">
        <f>S80</f>
        <v>16150.910550046683</v>
      </c>
      <c r="W85" s="42" t="s">
        <v>171</v>
      </c>
      <c r="X85" s="101">
        <f>X80</f>
        <v>3009.6863578207431</v>
      </c>
      <c r="AA85" s="42" t="s">
        <v>171</v>
      </c>
      <c r="AB85" s="101">
        <f>AB80</f>
        <v>16456.086357820743</v>
      </c>
      <c r="AE85" s="42" t="s">
        <v>171</v>
      </c>
      <c r="AF85" s="101">
        <f>AF80</f>
        <v>10322.875587578987</v>
      </c>
      <c r="AI85" s="42" t="s">
        <v>171</v>
      </c>
      <c r="AJ85" s="101">
        <f>AJ80</f>
        <v>7244.3429628818367</v>
      </c>
      <c r="AM85" s="42" t="s">
        <v>171</v>
      </c>
      <c r="AN85" s="101">
        <f>AN80</f>
        <v>9548.0202993832409</v>
      </c>
      <c r="AQ85" s="42" t="s">
        <v>171</v>
      </c>
      <c r="AR85" s="101">
        <f>AR80</f>
        <v>4258.7265554543374</v>
      </c>
      <c r="AU85" s="42" t="s">
        <v>171</v>
      </c>
      <c r="AV85" s="101">
        <f>AV80</f>
        <v>42633.685195320744</v>
      </c>
      <c r="AY85" s="42" t="s">
        <v>171</v>
      </c>
      <c r="AZ85" s="101">
        <f>AZ80</f>
        <v>11976.859338187309</v>
      </c>
      <c r="BC85" s="42" t="s">
        <v>171</v>
      </c>
      <c r="BD85" s="101">
        <f>BD80</f>
        <v>69300.957539268566</v>
      </c>
      <c r="BG85" s="42" t="s">
        <v>171</v>
      </c>
      <c r="BH85" s="101">
        <f>BH80</f>
        <v>5100.8299477106657</v>
      </c>
      <c r="BK85" s="42" t="s">
        <v>171</v>
      </c>
      <c r="BL85" s="101">
        <f>BL80</f>
        <v>35608.031025279888</v>
      </c>
      <c r="BO85" s="42" t="s">
        <v>171</v>
      </c>
      <c r="BP85" s="101">
        <f>BP80</f>
        <v>35718.612540275593</v>
      </c>
      <c r="BS85" s="42" t="s">
        <v>171</v>
      </c>
      <c r="BT85" s="101">
        <f>BT80</f>
        <v>39807.920003287312</v>
      </c>
      <c r="BW85" s="42" t="s">
        <v>171</v>
      </c>
      <c r="BX85" s="101">
        <f>BX80</f>
        <v>48194.340251277354</v>
      </c>
      <c r="CA85" s="42" t="s">
        <v>171</v>
      </c>
      <c r="CB85" s="101">
        <f>CB80</f>
        <v>39135.115546669149</v>
      </c>
      <c r="CE85" s="42" t="s">
        <v>171</v>
      </c>
      <c r="CF85" s="101">
        <f>CF80</f>
        <v>20082.570764042619</v>
      </c>
      <c r="CI85" s="42" t="s">
        <v>171</v>
      </c>
      <c r="CJ85" s="101">
        <f>CJ80</f>
        <v>48288.144526670905</v>
      </c>
      <c r="CM85" s="42" t="s">
        <v>171</v>
      </c>
      <c r="CN85" s="101">
        <f>CN80</f>
        <v>17250.525644096684</v>
      </c>
      <c r="CQ85" s="42" t="s">
        <v>171</v>
      </c>
      <c r="CR85" s="101">
        <f>CR80</f>
        <v>14514.644727433986</v>
      </c>
      <c r="CU85" s="42" t="s">
        <v>171</v>
      </c>
      <c r="CV85" s="101">
        <f>CV80</f>
        <v>341.29220751527367</v>
      </c>
      <c r="CY85" s="42" t="s">
        <v>171</v>
      </c>
      <c r="CZ85" s="101">
        <f>CZ80</f>
        <v>42115.685673627086</v>
      </c>
    </row>
    <row r="86" spans="2:105" s="47" customFormat="1" x14ac:dyDescent="0.35">
      <c r="B86" s="42" t="s">
        <v>172</v>
      </c>
      <c r="C86" s="10">
        <f>'New Repayment Schedule'!DC6</f>
        <v>75216.482351629631</v>
      </c>
      <c r="F86" s="42" t="s">
        <v>172</v>
      </c>
      <c r="G86" s="10">
        <f>'New Repayment Schedule'!DC7</f>
        <v>16162.944484546233</v>
      </c>
      <c r="J86" s="42" t="s">
        <v>172</v>
      </c>
      <c r="K86" s="10">
        <f>'New Repayment Schedule'!DC8</f>
        <v>1141.2562191540105</v>
      </c>
      <c r="N86" s="42" t="s">
        <v>172</v>
      </c>
      <c r="O86" s="10">
        <f>'New Repayment Schedule'!DC9</f>
        <v>5351.8096756849309</v>
      </c>
      <c r="R86" s="42" t="s">
        <v>172</v>
      </c>
      <c r="S86" s="10">
        <f>'New Repayment Schedule'!DC10</f>
        <v>10566.476761135542</v>
      </c>
      <c r="W86" s="42" t="s">
        <v>172</v>
      </c>
      <c r="X86" s="10">
        <f>'New Repayment Schedule'!DC11</f>
        <v>-4.1813013698630126</v>
      </c>
      <c r="AA86" s="42" t="s">
        <v>172</v>
      </c>
      <c r="AB86" s="10">
        <f>'New Repayment Schedule'!DC12</f>
        <v>12127.5</v>
      </c>
      <c r="AE86" s="42" t="s">
        <v>172</v>
      </c>
      <c r="AF86" s="10">
        <f>'New Repayment Schedule'!DC13</f>
        <v>13494.111324081272</v>
      </c>
      <c r="AI86" s="42" t="s">
        <v>172</v>
      </c>
      <c r="AJ86" s="10">
        <f>'New Repayment Schedule'!DC14</f>
        <v>4847.7509397896547</v>
      </c>
      <c r="AM86" s="42" t="s">
        <v>172</v>
      </c>
      <c r="AN86" s="10">
        <f>'New Repayment Schedule'!DC15</f>
        <v>10586.080610460773</v>
      </c>
      <c r="AQ86" s="42" t="s">
        <v>172</v>
      </c>
      <c r="AR86" s="10">
        <f>'New Repayment Schedule'!DC17</f>
        <v>-416.72232592893801</v>
      </c>
      <c r="AU86" s="42" t="s">
        <v>172</v>
      </c>
      <c r="AV86" s="10">
        <f>'New Repayment Schedule'!DC16</f>
        <v>83718.175243260222</v>
      </c>
      <c r="AY86" s="42" t="s">
        <v>172</v>
      </c>
      <c r="AZ86" s="10">
        <f>'New Repayment Schedule'!DC18</f>
        <v>11425.695597496884</v>
      </c>
      <c r="BC86" s="42" t="s">
        <v>172</v>
      </c>
      <c r="BD86" s="10">
        <f>'New Repayment Schedule'!DC19</f>
        <v>-121.5541849315068</v>
      </c>
      <c r="BG86" s="42" t="s">
        <v>172</v>
      </c>
      <c r="BH86" s="10">
        <f>'New Repayment Schedule'!DC20</f>
        <v>5178.3220840290023</v>
      </c>
      <c r="BK86" s="42" t="s">
        <v>172</v>
      </c>
      <c r="BL86" s="10">
        <f>'New Repayment Schedule'!DC21</f>
        <v>1003.2705635702055</v>
      </c>
      <c r="BO86" s="42" t="s">
        <v>172</v>
      </c>
      <c r="BP86" s="10">
        <f>'New Repayment Schedule'!DC22</f>
        <v>-3.0205479455375439E-4</v>
      </c>
      <c r="BS86" s="42" t="s">
        <v>172</v>
      </c>
      <c r="BT86" s="10">
        <f>'New Repayment Schedule'!DC23</f>
        <v>6491.2086094137176</v>
      </c>
      <c r="BW86" s="42" t="s">
        <v>172</v>
      </c>
      <c r="BX86" s="10">
        <f>'New Repayment Schedule'!DC24</f>
        <v>9143.7200000000012</v>
      </c>
      <c r="CA86" s="42" t="s">
        <v>172</v>
      </c>
      <c r="CB86" s="10">
        <f>'New Repayment Schedule'!DC25</f>
        <v>2044.6104369139427</v>
      </c>
      <c r="CE86" s="42" t="s">
        <v>172</v>
      </c>
      <c r="CF86" s="10">
        <f>'New Repayment Schedule'!DC26</f>
        <v>19210.884011449532</v>
      </c>
      <c r="CI86" s="42" t="s">
        <v>172</v>
      </c>
      <c r="CJ86" s="10">
        <f>'New Repayment Schedule'!DC27</f>
        <v>29574.557214041095</v>
      </c>
      <c r="CM86" s="42" t="s">
        <v>172</v>
      </c>
      <c r="CN86" s="10">
        <f>'New Repayment Schedule'!DC28</f>
        <v>16577.724892995608</v>
      </c>
      <c r="CQ86" s="42" t="s">
        <v>172</v>
      </c>
      <c r="CR86" s="10">
        <f>'New Repayment Schedule'!DC29</f>
        <v>0</v>
      </c>
      <c r="CU86" s="42" t="s">
        <v>172</v>
      </c>
      <c r="CV86" s="10">
        <f>'New Repayment Schedule'!DC30</f>
        <v>0</v>
      </c>
      <c r="CY86" s="42" t="s">
        <v>172</v>
      </c>
      <c r="CZ86" s="10"/>
    </row>
    <row r="87" spans="2:105" s="47" customFormat="1" x14ac:dyDescent="0.35">
      <c r="B87" s="42" t="s">
        <v>173</v>
      </c>
      <c r="C87" s="102">
        <f>C85-C86</f>
        <v>-33758.056125172938</v>
      </c>
      <c r="F87" s="42" t="s">
        <v>174</v>
      </c>
      <c r="G87" s="102">
        <f>G85-G86</f>
        <v>52440.36089045379</v>
      </c>
      <c r="J87" s="42" t="s">
        <v>174</v>
      </c>
      <c r="K87" s="102">
        <f>K85-K86</f>
        <v>7263.2883887431017</v>
      </c>
      <c r="N87" s="42" t="s">
        <v>173</v>
      </c>
      <c r="O87" s="102">
        <f>O85-O86</f>
        <v>2687.492093870188</v>
      </c>
      <c r="R87" s="42" t="s">
        <v>173</v>
      </c>
      <c r="S87" s="102">
        <f>S85-S86</f>
        <v>5584.4337889111412</v>
      </c>
      <c r="W87" s="42" t="s">
        <v>173</v>
      </c>
      <c r="X87" s="102">
        <f>X85-X86</f>
        <v>3013.867659190606</v>
      </c>
      <c r="AA87" s="42" t="s">
        <v>173</v>
      </c>
      <c r="AB87" s="102">
        <f>AB85-AB86</f>
        <v>4328.5863578207427</v>
      </c>
      <c r="AE87" s="42" t="s">
        <v>173</v>
      </c>
      <c r="AF87" s="102">
        <f>AF85-AF86</f>
        <v>-3171.2357365022854</v>
      </c>
      <c r="AI87" s="42" t="s">
        <v>173</v>
      </c>
      <c r="AJ87" s="102">
        <f>AJ85-AJ86</f>
        <v>2396.592023092182</v>
      </c>
      <c r="AM87" s="42" t="s">
        <v>173</v>
      </c>
      <c r="AN87" s="102">
        <f>AN85-AN86</f>
        <v>-1038.0603110775319</v>
      </c>
      <c r="AQ87" s="42" t="s">
        <v>173</v>
      </c>
      <c r="AR87" s="102">
        <f>AR85-AR86</f>
        <v>4675.448881383275</v>
      </c>
      <c r="AU87" s="42" t="s">
        <v>173</v>
      </c>
      <c r="AV87" s="102">
        <f>AV85-AV86</f>
        <v>-41084.490047939478</v>
      </c>
      <c r="AY87" s="42" t="s">
        <v>173</v>
      </c>
      <c r="AZ87" s="102">
        <f>AZ85-AZ86</f>
        <v>551.16374069042467</v>
      </c>
      <c r="BC87" s="42" t="s">
        <v>173</v>
      </c>
      <c r="BD87" s="102">
        <f>BD85-BD86</f>
        <v>69422.511724200071</v>
      </c>
      <c r="BG87" s="42" t="s">
        <v>173</v>
      </c>
      <c r="BH87" s="102">
        <f>BH85-BH86</f>
        <v>-77.492136318336634</v>
      </c>
      <c r="BK87" s="42" t="s">
        <v>173</v>
      </c>
      <c r="BL87" s="102">
        <f>BL85-BL86</f>
        <v>34604.76046170968</v>
      </c>
      <c r="BO87" s="42" t="s">
        <v>173</v>
      </c>
      <c r="BP87" s="102">
        <f>BP85-BP86</f>
        <v>35718.612842330389</v>
      </c>
      <c r="BS87" s="42" t="s">
        <v>173</v>
      </c>
      <c r="BT87" s="102">
        <f>BT85-BT86</f>
        <v>33316.711393873593</v>
      </c>
      <c r="BW87" s="42" t="s">
        <v>173</v>
      </c>
      <c r="BX87" s="102">
        <f>BX85-BX86</f>
        <v>39050.620251277353</v>
      </c>
      <c r="CA87" s="42" t="s">
        <v>173</v>
      </c>
      <c r="CB87" s="102">
        <f>CB85-CB86</f>
        <v>37090.505109755206</v>
      </c>
      <c r="CE87" s="42" t="s">
        <v>173</v>
      </c>
      <c r="CF87" s="102">
        <f>CF85-CF86</f>
        <v>871.68675259308657</v>
      </c>
      <c r="CI87" s="42" t="s">
        <v>173</v>
      </c>
      <c r="CJ87" s="102">
        <f>CJ85-CJ86</f>
        <v>18713.58731262981</v>
      </c>
      <c r="CM87" s="42" t="s">
        <v>173</v>
      </c>
      <c r="CN87" s="102">
        <f>CN85-CN86</f>
        <v>672.80075110107646</v>
      </c>
      <c r="CQ87" s="42" t="s">
        <v>173</v>
      </c>
      <c r="CR87" s="102">
        <f>CR85-CR86</f>
        <v>14514.644727433986</v>
      </c>
      <c r="CU87" s="42" t="s">
        <v>173</v>
      </c>
      <c r="CV87" s="102">
        <f>CV85-CV86</f>
        <v>341.29220751527367</v>
      </c>
      <c r="CY87" s="42" t="s">
        <v>173</v>
      </c>
      <c r="CZ87" s="102">
        <f>CZ85-CZ86</f>
        <v>42115.685673627086</v>
      </c>
    </row>
    <row r="88" spans="2:105" x14ac:dyDescent="0.35">
      <c r="BD88" s="45"/>
    </row>
  </sheetData>
  <mergeCells count="26">
    <mergeCell ref="AQ1:AS1"/>
    <mergeCell ref="AY1:BA1"/>
    <mergeCell ref="BC1:BE1"/>
    <mergeCell ref="AU1:AW1"/>
    <mergeCell ref="B1:D1"/>
    <mergeCell ref="J1:L1"/>
    <mergeCell ref="N1:P1"/>
    <mergeCell ref="AM1:AO1"/>
    <mergeCell ref="W1:Y1"/>
    <mergeCell ref="AA1:AC1"/>
    <mergeCell ref="AE1:AG1"/>
    <mergeCell ref="AI1:AK1"/>
    <mergeCell ref="R1:T1"/>
    <mergeCell ref="F1:H1"/>
    <mergeCell ref="BG1:BI1"/>
    <mergeCell ref="BK1:BM1"/>
    <mergeCell ref="BO1:BQ1"/>
    <mergeCell ref="BS1:BU1"/>
    <mergeCell ref="CQ1:CS1"/>
    <mergeCell ref="BW1:BY1"/>
    <mergeCell ref="CU1:CW1"/>
    <mergeCell ref="CY1:DA1"/>
    <mergeCell ref="CA1:CC1"/>
    <mergeCell ref="CE1:CG1"/>
    <mergeCell ref="CI1:CK1"/>
    <mergeCell ref="CM1:CO1"/>
  </mergeCells>
  <conditionalFormatting sqref="A87:XFD87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3DD-7E84-4A07-AAFE-C8BE40681BE0}">
  <dimension ref="A2:N6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6" sqref="H36"/>
    </sheetView>
  </sheetViews>
  <sheetFormatPr defaultRowHeight="14.5" x14ac:dyDescent="0.35"/>
  <cols>
    <col min="1" max="1" width="11.1796875" style="1" customWidth="1"/>
    <col min="2" max="2" width="37.54296875" style="1" customWidth="1"/>
    <col min="3" max="3" width="13.1796875" customWidth="1"/>
    <col min="4" max="4" width="11.7265625" customWidth="1"/>
    <col min="5" max="5" width="15.7265625" bestFit="1" customWidth="1"/>
    <col min="6" max="9" width="10.54296875" bestFit="1" customWidth="1"/>
    <col min="10" max="10" width="11.54296875" bestFit="1" customWidth="1"/>
    <col min="11" max="11" width="11.81640625" customWidth="1"/>
    <col min="12" max="12" width="13.453125" customWidth="1"/>
    <col min="13" max="13" width="25.1796875" customWidth="1"/>
    <col min="14" max="14" width="10.54296875" bestFit="1" customWidth="1"/>
  </cols>
  <sheetData>
    <row r="2" spans="1:14" hidden="1" x14ac:dyDescent="0.35">
      <c r="A2" s="108" t="s">
        <v>175</v>
      </c>
      <c r="B2" s="109" t="s">
        <v>176</v>
      </c>
      <c r="C2" s="110" t="s">
        <v>177</v>
      </c>
      <c r="D2" s="110" t="s">
        <v>117</v>
      </c>
      <c r="E2" s="110" t="s">
        <v>118</v>
      </c>
      <c r="F2" s="110" t="s">
        <v>119</v>
      </c>
      <c r="G2" s="110" t="s">
        <v>120</v>
      </c>
      <c r="H2" s="110" t="s">
        <v>121</v>
      </c>
      <c r="I2" s="110" t="s">
        <v>122</v>
      </c>
      <c r="J2" s="110" t="s">
        <v>123</v>
      </c>
      <c r="K2" s="110" t="s">
        <v>80</v>
      </c>
      <c r="L2" s="110" t="s">
        <v>81</v>
      </c>
      <c r="M2" s="110" t="s">
        <v>71</v>
      </c>
      <c r="N2" s="110" t="s">
        <v>178</v>
      </c>
    </row>
    <row r="3" spans="1:14" x14ac:dyDescent="0.35">
      <c r="A3" s="100" t="s">
        <v>11</v>
      </c>
      <c r="B3" s="100" t="s">
        <v>12</v>
      </c>
      <c r="C3" s="157" t="s">
        <v>177</v>
      </c>
      <c r="D3" s="157" t="s">
        <v>117</v>
      </c>
      <c r="E3" s="157" t="s">
        <v>118</v>
      </c>
      <c r="F3" s="157" t="s">
        <v>119</v>
      </c>
      <c r="G3" s="157" t="s">
        <v>120</v>
      </c>
      <c r="H3" s="157" t="s">
        <v>121</v>
      </c>
      <c r="I3" s="157" t="s">
        <v>122</v>
      </c>
      <c r="J3" s="157" t="s">
        <v>123</v>
      </c>
      <c r="K3" s="157" t="s">
        <v>80</v>
      </c>
      <c r="L3" s="157" t="s">
        <v>81</v>
      </c>
      <c r="M3" s="111" t="s">
        <v>179</v>
      </c>
      <c r="N3" s="46"/>
    </row>
    <row r="4" spans="1:14" ht="17" x14ac:dyDescent="0.45">
      <c r="A4" s="99">
        <v>1</v>
      </c>
      <c r="B4" s="53" t="s">
        <v>18</v>
      </c>
      <c r="C4" s="91">
        <f>'New Repayment Schedule'!K6</f>
        <v>0</v>
      </c>
      <c r="D4" s="91"/>
      <c r="E4" s="91"/>
      <c r="F4" s="91"/>
      <c r="G4" s="91"/>
      <c r="H4" s="91"/>
      <c r="I4" s="91"/>
      <c r="J4" s="91"/>
      <c r="K4" s="91"/>
      <c r="L4" s="91"/>
      <c r="M4" s="112">
        <f>(SUM(C4:L4))</f>
        <v>0</v>
      </c>
      <c r="N4" s="46"/>
    </row>
    <row r="5" spans="1:14" ht="17" x14ac:dyDescent="0.45">
      <c r="A5" s="99">
        <v>2</v>
      </c>
      <c r="B5" s="53" t="s">
        <v>19</v>
      </c>
      <c r="C5" s="91">
        <f>'New Repayment Schedule'!K8</f>
        <v>6400</v>
      </c>
      <c r="D5" s="91"/>
      <c r="E5" s="91"/>
      <c r="F5" s="91"/>
      <c r="G5" s="91"/>
      <c r="H5" s="91"/>
      <c r="I5" s="91"/>
      <c r="J5" s="91"/>
      <c r="K5" s="91"/>
      <c r="L5" s="91"/>
      <c r="M5" s="112">
        <f t="shared" ref="M5:M33" si="0">(SUM(C5:L5))</f>
        <v>6400</v>
      </c>
      <c r="N5" s="46"/>
    </row>
    <row r="6" spans="1:14" ht="17" x14ac:dyDescent="0.45">
      <c r="A6" s="99">
        <v>3</v>
      </c>
      <c r="B6" s="53" t="s">
        <v>20</v>
      </c>
      <c r="C6" s="91">
        <f>'New Repayment Schedule'!K9</f>
        <v>0</v>
      </c>
      <c r="D6" s="91"/>
      <c r="E6" s="91"/>
      <c r="F6" s="91"/>
      <c r="G6" s="91"/>
      <c r="H6" s="91"/>
      <c r="I6" s="91"/>
      <c r="J6" s="91"/>
      <c r="K6" s="91"/>
      <c r="L6" s="91"/>
      <c r="M6" s="112">
        <f t="shared" si="0"/>
        <v>0</v>
      </c>
      <c r="N6" s="46"/>
    </row>
    <row r="7" spans="1:14" ht="17" x14ac:dyDescent="0.35">
      <c r="A7" s="99">
        <v>4</v>
      </c>
      <c r="B7" s="52" t="s">
        <v>77</v>
      </c>
      <c r="C7" s="91">
        <f>'New Repayment Schedule'!K10</f>
        <v>20000</v>
      </c>
      <c r="D7" s="91"/>
      <c r="E7" s="91"/>
      <c r="F7" s="91"/>
      <c r="G7" s="91"/>
      <c r="H7" s="91"/>
      <c r="I7" s="91"/>
      <c r="J7" s="91"/>
      <c r="K7" s="91"/>
      <c r="L7" s="91"/>
      <c r="M7" s="112">
        <f t="shared" si="0"/>
        <v>20000</v>
      </c>
      <c r="N7" s="46"/>
    </row>
    <row r="8" spans="1:14" ht="17" x14ac:dyDescent="0.45">
      <c r="A8" s="99">
        <v>5</v>
      </c>
      <c r="B8" s="53" t="s">
        <v>21</v>
      </c>
      <c r="C8" s="91">
        <f>'New Repayment Schedule'!K11</f>
        <v>0</v>
      </c>
      <c r="D8" s="91"/>
      <c r="E8" s="91"/>
      <c r="F8" s="91"/>
      <c r="G8" s="91"/>
      <c r="H8" s="91"/>
      <c r="I8" s="91"/>
      <c r="J8" s="91"/>
      <c r="K8" s="91"/>
      <c r="L8" s="91"/>
      <c r="M8" s="112">
        <f t="shared" si="0"/>
        <v>0</v>
      </c>
      <c r="N8" s="46"/>
    </row>
    <row r="9" spans="1:14" ht="17" x14ac:dyDescent="0.35">
      <c r="A9" s="99">
        <v>5</v>
      </c>
      <c r="B9" s="52" t="s">
        <v>52</v>
      </c>
      <c r="C9" s="91">
        <f>'New Repayment Schedule'!K12</f>
        <v>0</v>
      </c>
      <c r="D9" s="91"/>
      <c r="E9" s="91"/>
      <c r="F9" s="91"/>
      <c r="G9" s="91"/>
      <c r="H9" s="91"/>
      <c r="I9" s="91"/>
      <c r="J9" s="91"/>
      <c r="K9" s="91"/>
      <c r="L9" s="91"/>
      <c r="M9" s="112">
        <f t="shared" si="0"/>
        <v>0</v>
      </c>
      <c r="N9" s="46"/>
    </row>
    <row r="10" spans="1:14" ht="17" x14ac:dyDescent="0.35">
      <c r="A10" s="99">
        <v>7</v>
      </c>
      <c r="B10" s="52" t="s">
        <v>22</v>
      </c>
      <c r="C10" s="91">
        <f>'New Repayment Schedule'!K13</f>
        <v>600</v>
      </c>
      <c r="D10" s="91"/>
      <c r="E10" s="91"/>
      <c r="F10" s="91"/>
      <c r="G10" s="91"/>
      <c r="H10" s="91"/>
      <c r="I10" s="91"/>
      <c r="J10" s="91"/>
      <c r="K10" s="91"/>
      <c r="L10" s="91"/>
      <c r="M10" s="112">
        <f t="shared" si="0"/>
        <v>600</v>
      </c>
      <c r="N10" s="46"/>
    </row>
    <row r="11" spans="1:14" ht="17" x14ac:dyDescent="0.45">
      <c r="A11" s="99">
        <v>8</v>
      </c>
      <c r="B11" s="53" t="s">
        <v>23</v>
      </c>
      <c r="C11" s="91">
        <f>'New Repayment Schedule'!K14</f>
        <v>0</v>
      </c>
      <c r="D11" s="91"/>
      <c r="E11" s="91"/>
      <c r="F11" s="91"/>
      <c r="G11" s="91"/>
      <c r="H11" s="91"/>
      <c r="I11" s="91"/>
      <c r="J11" s="91"/>
      <c r="K11" s="91"/>
      <c r="L11" s="91"/>
      <c r="M11" s="112">
        <f t="shared" si="0"/>
        <v>0</v>
      </c>
      <c r="N11" s="46"/>
    </row>
    <row r="12" spans="1:14" ht="17" x14ac:dyDescent="0.35">
      <c r="A12" s="99">
        <v>9</v>
      </c>
      <c r="B12" s="52" t="s">
        <v>24</v>
      </c>
      <c r="C12" s="91">
        <f>'New Repayment Schedule'!K15</f>
        <v>6100</v>
      </c>
      <c r="D12" s="91"/>
      <c r="E12" s="91"/>
      <c r="F12" s="91"/>
      <c r="G12" s="91"/>
      <c r="H12" s="91"/>
      <c r="I12" s="91"/>
      <c r="J12" s="91"/>
      <c r="K12" s="91"/>
      <c r="L12" s="91"/>
      <c r="M12" s="112">
        <f t="shared" si="0"/>
        <v>6100</v>
      </c>
      <c r="N12" s="46"/>
    </row>
    <row r="13" spans="1:14" ht="17" x14ac:dyDescent="0.35">
      <c r="A13" s="99">
        <v>10</v>
      </c>
      <c r="B13" s="52" t="s">
        <v>25</v>
      </c>
      <c r="C13" s="91">
        <f>'New Repayment Schedule'!K16</f>
        <v>0</v>
      </c>
      <c r="D13" s="91"/>
      <c r="E13" s="91"/>
      <c r="F13" s="91"/>
      <c r="G13" s="91"/>
      <c r="H13" s="91"/>
      <c r="I13" s="91"/>
      <c r="J13" s="91"/>
      <c r="K13" s="91"/>
      <c r="L13" s="91"/>
      <c r="M13" s="112">
        <f t="shared" si="0"/>
        <v>0</v>
      </c>
      <c r="N13" s="46"/>
    </row>
    <row r="14" spans="1:14" ht="17" x14ac:dyDescent="0.35">
      <c r="A14" s="99">
        <v>11</v>
      </c>
      <c r="B14" s="52" t="s">
        <v>54</v>
      </c>
      <c r="C14" s="91">
        <f>'New Repayment Schedule'!K17</f>
        <v>0</v>
      </c>
      <c r="D14" s="91"/>
      <c r="E14" s="91"/>
      <c r="F14" s="91"/>
      <c r="G14" s="91"/>
      <c r="H14" s="91"/>
      <c r="I14" s="91"/>
      <c r="J14" s="91"/>
      <c r="K14" s="91"/>
      <c r="L14" s="91"/>
      <c r="M14" s="112">
        <f t="shared" si="0"/>
        <v>0</v>
      </c>
      <c r="N14" s="46"/>
    </row>
    <row r="15" spans="1:14" ht="17" x14ac:dyDescent="0.45">
      <c r="A15" s="99">
        <v>12</v>
      </c>
      <c r="B15" s="53" t="s">
        <v>26</v>
      </c>
      <c r="C15" s="91">
        <f>'New Repayment Schedule'!K18</f>
        <v>15000</v>
      </c>
      <c r="D15" s="91"/>
      <c r="E15" s="91"/>
      <c r="F15" s="91"/>
      <c r="G15" s="91"/>
      <c r="H15" s="91"/>
      <c r="I15" s="91"/>
      <c r="J15" s="91"/>
      <c r="K15" s="91"/>
      <c r="L15" s="91"/>
      <c r="M15" s="112">
        <f t="shared" si="0"/>
        <v>15000</v>
      </c>
      <c r="N15" s="46"/>
    </row>
    <row r="16" spans="1:14" ht="17" x14ac:dyDescent="0.35">
      <c r="A16" s="99">
        <v>13</v>
      </c>
      <c r="B16" s="52" t="s">
        <v>27</v>
      </c>
      <c r="C16" s="91">
        <f>'New Repayment Schedule'!K19</f>
        <v>0</v>
      </c>
      <c r="D16" s="91"/>
      <c r="E16" s="91"/>
      <c r="F16" s="91"/>
      <c r="G16" s="91"/>
      <c r="H16" s="91"/>
      <c r="I16" s="91"/>
      <c r="J16" s="91"/>
      <c r="K16" s="91"/>
      <c r="L16" s="91"/>
      <c r="M16" s="112">
        <f t="shared" si="0"/>
        <v>0</v>
      </c>
      <c r="N16" s="46"/>
    </row>
    <row r="17" spans="1:14" ht="17" x14ac:dyDescent="0.35">
      <c r="A17" s="99">
        <v>14</v>
      </c>
      <c r="B17" s="52" t="s">
        <v>29</v>
      </c>
      <c r="C17" s="91">
        <f>'New Repayment Schedule'!K21</f>
        <v>0</v>
      </c>
      <c r="D17" s="91"/>
      <c r="E17" s="91"/>
      <c r="F17" s="91"/>
      <c r="G17" s="91"/>
      <c r="H17" s="91"/>
      <c r="I17" s="91"/>
      <c r="J17" s="91"/>
      <c r="K17" s="91"/>
      <c r="L17" s="91"/>
      <c r="M17" s="112">
        <f t="shared" si="0"/>
        <v>0</v>
      </c>
      <c r="N17" s="46"/>
    </row>
    <row r="18" spans="1:14" ht="17" x14ac:dyDescent="0.35">
      <c r="A18" s="99">
        <v>15</v>
      </c>
      <c r="B18" s="52" t="s">
        <v>30</v>
      </c>
      <c r="C18" s="91">
        <f>'New Repayment Schedule'!K22</f>
        <v>0</v>
      </c>
      <c r="D18" s="91"/>
      <c r="E18" s="91"/>
      <c r="F18" s="91"/>
      <c r="G18" s="91"/>
      <c r="H18" s="91"/>
      <c r="I18" s="91"/>
      <c r="J18" s="91"/>
      <c r="K18" s="91"/>
      <c r="L18" s="91"/>
      <c r="M18" s="112">
        <f t="shared" si="0"/>
        <v>0</v>
      </c>
      <c r="N18" s="46"/>
    </row>
    <row r="19" spans="1:14" ht="17" x14ac:dyDescent="0.35">
      <c r="A19" s="99">
        <v>16</v>
      </c>
      <c r="B19" s="52" t="s">
        <v>56</v>
      </c>
      <c r="C19" s="91">
        <f>'New Repayment Schedule'!K23</f>
        <v>0</v>
      </c>
      <c r="D19" s="91"/>
      <c r="E19" s="91"/>
      <c r="F19" s="91"/>
      <c r="G19" s="91"/>
      <c r="H19" s="91"/>
      <c r="I19" s="91"/>
      <c r="J19" s="91"/>
      <c r="K19" s="91"/>
      <c r="L19" s="91"/>
      <c r="M19" s="112">
        <f t="shared" si="0"/>
        <v>0</v>
      </c>
      <c r="N19" s="46"/>
    </row>
    <row r="20" spans="1:14" ht="17" x14ac:dyDescent="0.45">
      <c r="A20" s="99">
        <v>17</v>
      </c>
      <c r="B20" s="53" t="s">
        <v>31</v>
      </c>
      <c r="C20" s="91">
        <f>'New Repayment Schedule'!K25</f>
        <v>0</v>
      </c>
      <c r="D20" s="91"/>
      <c r="E20" s="91"/>
      <c r="F20" s="91"/>
      <c r="G20" s="91"/>
      <c r="H20" s="91"/>
      <c r="I20" s="91"/>
      <c r="J20" s="91"/>
      <c r="K20" s="91"/>
      <c r="L20" s="91"/>
      <c r="M20" s="112">
        <f t="shared" si="0"/>
        <v>0</v>
      </c>
      <c r="N20" s="46"/>
    </row>
    <row r="21" spans="1:14" ht="17" x14ac:dyDescent="0.45">
      <c r="A21" s="99">
        <v>18</v>
      </c>
      <c r="B21" s="53" t="s">
        <v>57</v>
      </c>
      <c r="C21" s="91">
        <f>'New Repayment Schedule'!K26</f>
        <v>0</v>
      </c>
      <c r="D21" s="91"/>
      <c r="E21" s="91"/>
      <c r="F21" s="91"/>
      <c r="G21" s="91"/>
      <c r="H21" s="91"/>
      <c r="I21" s="91"/>
      <c r="J21" s="91"/>
      <c r="K21" s="91"/>
      <c r="L21" s="91"/>
      <c r="M21" s="112">
        <f t="shared" si="0"/>
        <v>0</v>
      </c>
      <c r="N21" s="46"/>
    </row>
    <row r="22" spans="1:14" ht="17" x14ac:dyDescent="0.35">
      <c r="A22" s="99">
        <v>19</v>
      </c>
      <c r="B22" s="52" t="s">
        <v>32</v>
      </c>
      <c r="C22" s="91">
        <f>'New Repayment Schedule'!K27</f>
        <v>0</v>
      </c>
      <c r="D22" s="91"/>
      <c r="E22" s="91"/>
      <c r="F22" s="91"/>
      <c r="G22" s="91"/>
      <c r="H22" s="91"/>
      <c r="I22" s="91"/>
      <c r="J22" s="91"/>
      <c r="K22" s="91"/>
      <c r="L22" s="91"/>
      <c r="M22" s="112">
        <f t="shared" si="0"/>
        <v>0</v>
      </c>
      <c r="N22" s="46"/>
    </row>
    <row r="23" spans="1:14" ht="17" x14ac:dyDescent="0.45">
      <c r="A23" s="99">
        <v>20</v>
      </c>
      <c r="B23" s="53" t="s">
        <v>33</v>
      </c>
      <c r="C23" s="91">
        <f>'New Repayment Schedule'!K28</f>
        <v>0</v>
      </c>
      <c r="D23" s="91"/>
      <c r="E23" s="91"/>
      <c r="F23" s="91"/>
      <c r="G23" s="91"/>
      <c r="H23" s="91"/>
      <c r="I23" s="91"/>
      <c r="J23" s="91"/>
      <c r="K23" s="91"/>
      <c r="L23" s="91"/>
      <c r="M23" s="112">
        <f t="shared" si="0"/>
        <v>0</v>
      </c>
      <c r="N23" s="46"/>
    </row>
    <row r="24" spans="1:14" ht="17" x14ac:dyDescent="0.45">
      <c r="A24" s="99">
        <v>21</v>
      </c>
      <c r="B24" s="53" t="s">
        <v>34</v>
      </c>
      <c r="C24" s="91">
        <f>'New Repayment Schedule'!K29</f>
        <v>0</v>
      </c>
      <c r="D24" s="91"/>
      <c r="E24" s="91"/>
      <c r="F24" s="91"/>
      <c r="G24" s="91"/>
      <c r="H24" s="91"/>
      <c r="I24" s="91"/>
      <c r="J24" s="91"/>
      <c r="K24" s="91"/>
      <c r="L24" s="91"/>
      <c r="M24" s="112">
        <f t="shared" si="0"/>
        <v>0</v>
      </c>
      <c r="N24" s="46"/>
    </row>
    <row r="25" spans="1:14" ht="17" x14ac:dyDescent="0.45">
      <c r="A25" s="99">
        <v>22</v>
      </c>
      <c r="B25" s="53" t="s">
        <v>35</v>
      </c>
      <c r="C25" s="91">
        <f>'New Repayment Schedule'!K30</f>
        <v>0</v>
      </c>
      <c r="D25" s="91"/>
      <c r="E25" s="91"/>
      <c r="F25" s="91"/>
      <c r="G25" s="91"/>
      <c r="H25" s="91"/>
      <c r="I25" s="91"/>
      <c r="J25" s="91"/>
      <c r="K25" s="91"/>
      <c r="L25" s="91"/>
      <c r="M25" s="112">
        <f t="shared" si="0"/>
        <v>0</v>
      </c>
      <c r="N25" s="46"/>
    </row>
    <row r="26" spans="1:14" ht="17" x14ac:dyDescent="0.35">
      <c r="A26" s="99">
        <v>23</v>
      </c>
      <c r="B26" s="52" t="s">
        <v>36</v>
      </c>
      <c r="C26" s="91" t="e">
        <f>'New Repayment Schedule'!#REF!</f>
        <v>#REF!</v>
      </c>
      <c r="D26" s="91"/>
      <c r="E26" s="91"/>
      <c r="F26" s="91"/>
      <c r="G26" s="91"/>
      <c r="H26" s="91"/>
      <c r="I26" s="91"/>
      <c r="J26" s="91"/>
      <c r="K26" s="91"/>
      <c r="L26" s="91"/>
      <c r="M26" s="112" t="e">
        <f t="shared" si="0"/>
        <v>#REF!</v>
      </c>
      <c r="N26" s="46"/>
    </row>
    <row r="27" spans="1:14" ht="17" x14ac:dyDescent="0.35">
      <c r="A27" s="99">
        <v>24</v>
      </c>
      <c r="B27" s="52" t="s">
        <v>78</v>
      </c>
      <c r="C27" s="91" t="e">
        <f>'New Repayment Schedule'!#REF!</f>
        <v>#REF!</v>
      </c>
      <c r="D27" s="91"/>
      <c r="E27" s="91"/>
      <c r="F27" s="91"/>
      <c r="G27" s="91"/>
      <c r="H27" s="91"/>
      <c r="I27" s="91"/>
      <c r="J27" s="91"/>
      <c r="K27" s="91"/>
      <c r="L27" s="91"/>
      <c r="M27" s="112" t="e">
        <f t="shared" si="0"/>
        <v>#REF!</v>
      </c>
      <c r="N27" s="46"/>
    </row>
    <row r="28" spans="1:14" ht="17" x14ac:dyDescent="0.35">
      <c r="A28" s="99">
        <v>25</v>
      </c>
      <c r="B28" s="52" t="s">
        <v>37</v>
      </c>
      <c r="C28" s="91" t="e">
        <f>'New Repayment Schedule'!#REF!</f>
        <v>#REF!</v>
      </c>
      <c r="D28" s="91"/>
      <c r="E28" s="91"/>
      <c r="F28" s="91"/>
      <c r="G28" s="91"/>
      <c r="H28" s="91"/>
      <c r="I28" s="91"/>
      <c r="J28" s="91"/>
      <c r="K28" s="91"/>
      <c r="L28" s="91"/>
      <c r="M28" s="112" t="e">
        <f t="shared" si="0"/>
        <v>#REF!</v>
      </c>
      <c r="N28" s="46"/>
    </row>
    <row r="29" spans="1:14" ht="17" x14ac:dyDescent="0.35">
      <c r="A29" s="99">
        <v>26</v>
      </c>
      <c r="B29" s="52" t="s">
        <v>38</v>
      </c>
      <c r="C29" s="91" t="e">
        <f>'New Repayment Schedule'!#REF!</f>
        <v>#REF!</v>
      </c>
      <c r="D29" s="91"/>
      <c r="E29" s="91"/>
      <c r="F29" s="91"/>
      <c r="G29" s="91"/>
      <c r="H29" s="91"/>
      <c r="I29" s="91"/>
      <c r="J29" s="91"/>
      <c r="K29" s="91"/>
      <c r="L29" s="91"/>
      <c r="M29" s="112" t="e">
        <f t="shared" si="0"/>
        <v>#REF!</v>
      </c>
      <c r="N29" s="46"/>
    </row>
    <row r="30" spans="1:14" ht="17" x14ac:dyDescent="0.35">
      <c r="A30" s="99">
        <v>27</v>
      </c>
      <c r="B30" s="52" t="s">
        <v>39</v>
      </c>
      <c r="C30" s="91" t="e">
        <f>'New Repayment Schedule'!#REF!</f>
        <v>#REF!</v>
      </c>
      <c r="D30" s="91"/>
      <c r="E30" s="91"/>
      <c r="F30" s="91"/>
      <c r="G30" s="91"/>
      <c r="H30" s="91"/>
      <c r="I30" s="91"/>
      <c r="J30" s="91"/>
      <c r="K30" s="91"/>
      <c r="L30" s="91"/>
      <c r="M30" s="112" t="e">
        <f t="shared" si="0"/>
        <v>#REF!</v>
      </c>
      <c r="N30" s="46"/>
    </row>
    <row r="31" spans="1:14" ht="17" x14ac:dyDescent="0.35">
      <c r="A31" s="99">
        <v>28</v>
      </c>
      <c r="B31" s="52" t="s">
        <v>40</v>
      </c>
      <c r="C31" s="91" t="e">
        <f>'New Repayment Schedule'!#REF!</f>
        <v>#REF!</v>
      </c>
      <c r="D31" s="91"/>
      <c r="E31" s="91"/>
      <c r="F31" s="91"/>
      <c r="G31" s="91"/>
      <c r="H31" s="91"/>
      <c r="I31" s="91"/>
      <c r="J31" s="91"/>
      <c r="K31" s="91"/>
      <c r="L31" s="91"/>
      <c r="M31" s="112" t="e">
        <f t="shared" si="0"/>
        <v>#REF!</v>
      </c>
      <c r="N31" s="46"/>
    </row>
    <row r="32" spans="1:14" ht="17" x14ac:dyDescent="0.35">
      <c r="A32" s="99">
        <v>29</v>
      </c>
      <c r="B32" s="52" t="s">
        <v>60</v>
      </c>
      <c r="C32" s="91" t="e">
        <f>'New Repayment Schedule'!#REF!</f>
        <v>#REF!</v>
      </c>
      <c r="D32" s="91"/>
      <c r="E32" s="91"/>
      <c r="F32" s="91"/>
      <c r="G32" s="91"/>
      <c r="H32" s="91"/>
      <c r="I32" s="91"/>
      <c r="J32" s="91"/>
      <c r="K32" s="91"/>
      <c r="L32" s="91"/>
      <c r="M32" s="112" t="e">
        <f t="shared" si="0"/>
        <v>#REF!</v>
      </c>
      <c r="N32" s="46"/>
    </row>
    <row r="33" spans="1:14" ht="17" x14ac:dyDescent="0.35">
      <c r="A33" s="28"/>
      <c r="B33" s="29" t="s">
        <v>14</v>
      </c>
      <c r="C33" s="91" t="e">
        <f t="shared" ref="C33:L33" si="1">SUM(C4:C32)</f>
        <v>#REF!</v>
      </c>
      <c r="D33" s="91">
        <f t="shared" si="1"/>
        <v>0</v>
      </c>
      <c r="E33" s="91">
        <f t="shared" si="1"/>
        <v>0</v>
      </c>
      <c r="F33" s="91">
        <f t="shared" si="1"/>
        <v>0</v>
      </c>
      <c r="G33" s="91">
        <f t="shared" si="1"/>
        <v>0</v>
      </c>
      <c r="H33" s="91">
        <f t="shared" si="1"/>
        <v>0</v>
      </c>
      <c r="I33" s="91">
        <f t="shared" si="1"/>
        <v>0</v>
      </c>
      <c r="J33" s="91">
        <f t="shared" si="1"/>
        <v>0</v>
      </c>
      <c r="K33" s="91">
        <f t="shared" si="1"/>
        <v>0</v>
      </c>
      <c r="L33" s="91">
        <f t="shared" si="1"/>
        <v>0</v>
      </c>
      <c r="M33" s="112" t="e">
        <f t="shared" si="0"/>
        <v>#REF!</v>
      </c>
      <c r="N33" s="46">
        <f>SUM(N4:N32)</f>
        <v>0</v>
      </c>
    </row>
    <row r="36" spans="1:14" ht="29" x14ac:dyDescent="0.35">
      <c r="A36" s="106" t="s">
        <v>11</v>
      </c>
      <c r="B36" s="106" t="s">
        <v>12</v>
      </c>
      <c r="C36" s="106" t="s">
        <v>180</v>
      </c>
      <c r="D36" s="107" t="s">
        <v>75</v>
      </c>
      <c r="E36" s="107" t="s">
        <v>181</v>
      </c>
    </row>
    <row r="37" spans="1:14" ht="17" x14ac:dyDescent="0.45">
      <c r="A37" s="20">
        <v>1</v>
      </c>
      <c r="B37" s="53" t="s">
        <v>18</v>
      </c>
      <c r="C37" s="105">
        <f>Shares!Y4/INFTOTAL</f>
        <v>5.961705831157528E-2</v>
      </c>
      <c r="D37" s="22" t="e">
        <f t="shared" ref="D37:D66" si="2">C37*FL_Total</f>
        <v>#REF!</v>
      </c>
      <c r="E37" s="22" t="e">
        <f>0.1*D37</f>
        <v>#REF!</v>
      </c>
      <c r="J37">
        <v>5200</v>
      </c>
    </row>
    <row r="38" spans="1:14" ht="17" x14ac:dyDescent="0.45">
      <c r="A38" s="20">
        <v>2</v>
      </c>
      <c r="B38" s="53" t="s">
        <v>19</v>
      </c>
      <c r="C38" s="105">
        <f>Shares!Y6/INFTOTAL</f>
        <v>1.2619669277632724E-2</v>
      </c>
      <c r="D38" s="22" t="e">
        <f t="shared" si="2"/>
        <v>#REF!</v>
      </c>
      <c r="E38" s="22" t="e">
        <f t="shared" ref="E38:E66" si="3">0.1*D38</f>
        <v>#REF!</v>
      </c>
      <c r="J38">
        <v>3000</v>
      </c>
    </row>
    <row r="39" spans="1:14" ht="17" x14ac:dyDescent="0.45">
      <c r="A39" s="20">
        <v>3</v>
      </c>
      <c r="B39" s="53" t="s">
        <v>20</v>
      </c>
      <c r="C39" s="105">
        <f>Shares!Y7/INFTOTAL</f>
        <v>1.3489991296779809E-2</v>
      </c>
      <c r="D39" s="22" t="e">
        <f t="shared" si="2"/>
        <v>#REF!</v>
      </c>
      <c r="E39" s="22" t="e">
        <f t="shared" si="3"/>
        <v>#REF!</v>
      </c>
    </row>
    <row r="40" spans="1:14" ht="17" x14ac:dyDescent="0.45">
      <c r="A40" s="20">
        <v>4</v>
      </c>
      <c r="B40" s="52" t="s">
        <v>49</v>
      </c>
      <c r="C40" s="105">
        <f>Shares!Y8/INFTOTAL</f>
        <v>2.2628372497824196E-2</v>
      </c>
      <c r="D40" s="22" t="e">
        <f t="shared" si="2"/>
        <v>#REF!</v>
      </c>
      <c r="E40" s="22" t="e">
        <f t="shared" si="3"/>
        <v>#REF!</v>
      </c>
    </row>
    <row r="41" spans="1:14" ht="17" x14ac:dyDescent="0.45">
      <c r="A41" s="20">
        <v>5</v>
      </c>
      <c r="B41" s="53" t="s">
        <v>50</v>
      </c>
      <c r="C41" s="105" t="e">
        <f>Shares!#REF!/INFTOTAL</f>
        <v>#REF!</v>
      </c>
      <c r="D41" s="22" t="e">
        <f t="shared" si="2"/>
        <v>#REF!</v>
      </c>
      <c r="E41" s="22" t="e">
        <f t="shared" si="3"/>
        <v>#REF!</v>
      </c>
    </row>
    <row r="42" spans="1:14" ht="17" x14ac:dyDescent="0.45">
      <c r="A42" s="20">
        <v>5</v>
      </c>
      <c r="B42" s="52" t="s">
        <v>51</v>
      </c>
      <c r="C42" s="105">
        <f>Shares!Y9/INFTOTAL</f>
        <v>4.7867711053089642E-3</v>
      </c>
      <c r="D42" s="22" t="e">
        <f t="shared" si="2"/>
        <v>#REF!</v>
      </c>
      <c r="E42" s="22" t="e">
        <f t="shared" si="3"/>
        <v>#REF!</v>
      </c>
    </row>
    <row r="43" spans="1:14" ht="17" x14ac:dyDescent="0.45">
      <c r="A43" s="20">
        <v>7</v>
      </c>
      <c r="B43" s="52" t="s">
        <v>52</v>
      </c>
      <c r="C43" s="105">
        <f>Shares!Y10/INFTOTAL</f>
        <v>2.9155787641427327E-2</v>
      </c>
      <c r="D43" s="22" t="e">
        <f t="shared" si="2"/>
        <v>#REF!</v>
      </c>
      <c r="E43" s="22" t="e">
        <f t="shared" si="3"/>
        <v>#REF!</v>
      </c>
    </row>
    <row r="44" spans="1:14" ht="17" x14ac:dyDescent="0.45">
      <c r="A44" s="20">
        <v>8</v>
      </c>
      <c r="B44" s="53" t="s">
        <v>53</v>
      </c>
      <c r="C44" s="105">
        <f>Shares!Y11/INFTOTAL</f>
        <v>1.6100957354221061E-2</v>
      </c>
      <c r="D44" s="22" t="e">
        <f t="shared" si="2"/>
        <v>#REF!</v>
      </c>
      <c r="E44" s="22" t="e">
        <f t="shared" si="3"/>
        <v>#REF!</v>
      </c>
    </row>
    <row r="45" spans="1:14" ht="17" x14ac:dyDescent="0.45">
      <c r="A45" s="20">
        <v>9</v>
      </c>
      <c r="B45" s="52" t="s">
        <v>23</v>
      </c>
      <c r="C45" s="105">
        <f>Shares!Y12/INFTOTAL</f>
        <v>1.1314186248912098E-2</v>
      </c>
      <c r="D45" s="22" t="e">
        <f t="shared" si="2"/>
        <v>#REF!</v>
      </c>
      <c r="E45" s="22" t="e">
        <f t="shared" si="3"/>
        <v>#REF!</v>
      </c>
    </row>
    <row r="46" spans="1:14" ht="17" x14ac:dyDescent="0.45">
      <c r="A46" s="20">
        <v>10</v>
      </c>
      <c r="B46" s="52" t="s">
        <v>182</v>
      </c>
      <c r="C46" s="105">
        <f>Shares!Y13/INFTOTAL</f>
        <v>1.4360313315926894E-2</v>
      </c>
      <c r="D46" s="22" t="e">
        <f t="shared" si="2"/>
        <v>#REF!</v>
      </c>
      <c r="E46" s="22" t="e">
        <f t="shared" si="3"/>
        <v>#REF!</v>
      </c>
    </row>
    <row r="47" spans="1:14" ht="17" x14ac:dyDescent="0.45">
      <c r="A47" s="20">
        <v>11</v>
      </c>
      <c r="B47" s="52" t="s">
        <v>25</v>
      </c>
      <c r="C47" s="105">
        <f>Shares!Y14/INFTOTAL</f>
        <v>6.919060052219321E-2</v>
      </c>
      <c r="D47" s="22" t="e">
        <f t="shared" si="2"/>
        <v>#REF!</v>
      </c>
      <c r="E47" s="22" t="e">
        <f t="shared" si="3"/>
        <v>#REF!</v>
      </c>
    </row>
    <row r="48" spans="1:14" ht="17" x14ac:dyDescent="0.45">
      <c r="A48" s="20">
        <v>12</v>
      </c>
      <c r="B48" s="53" t="s">
        <v>55</v>
      </c>
      <c r="C48" s="105">
        <f>Shares!Y15/INFTOTAL</f>
        <v>6.9625761531766752E-3</v>
      </c>
      <c r="D48" s="22" t="e">
        <f t="shared" si="2"/>
        <v>#REF!</v>
      </c>
      <c r="E48" s="22" t="e">
        <f t="shared" si="3"/>
        <v>#REF!</v>
      </c>
    </row>
    <row r="49" spans="1:5" ht="17" x14ac:dyDescent="0.45">
      <c r="A49" s="20">
        <v>13</v>
      </c>
      <c r="B49" s="52" t="s">
        <v>26</v>
      </c>
      <c r="C49" s="105">
        <f>Shares!Y17/INFTOTAL</f>
        <v>0.1061792863359443</v>
      </c>
      <c r="D49" s="22" t="e">
        <f t="shared" si="2"/>
        <v>#REF!</v>
      </c>
      <c r="E49" s="22" t="e">
        <f t="shared" si="3"/>
        <v>#REF!</v>
      </c>
    </row>
    <row r="50" spans="1:5" ht="17" x14ac:dyDescent="0.45">
      <c r="A50" s="20">
        <v>14</v>
      </c>
      <c r="B50" s="52" t="s">
        <v>183</v>
      </c>
      <c r="C50" s="105">
        <f>Shares!Y19/INFTOTAL</f>
        <v>5.4830287206266322E-2</v>
      </c>
      <c r="D50" s="22" t="e">
        <f t="shared" si="2"/>
        <v>#REF!</v>
      </c>
      <c r="E50" s="22" t="e">
        <f t="shared" si="3"/>
        <v>#REF!</v>
      </c>
    </row>
    <row r="51" spans="1:5" ht="17" x14ac:dyDescent="0.45">
      <c r="A51" s="20">
        <v>15</v>
      </c>
      <c r="B51" s="52" t="s">
        <v>131</v>
      </c>
      <c r="C51" s="105">
        <f>Shares!Y20/INFTOTAL</f>
        <v>5.4830287206266322E-2</v>
      </c>
      <c r="D51" s="22" t="e">
        <f t="shared" si="2"/>
        <v>#REF!</v>
      </c>
      <c r="E51" s="22" t="e">
        <f t="shared" si="3"/>
        <v>#REF!</v>
      </c>
    </row>
    <row r="52" spans="1:5" ht="17" x14ac:dyDescent="0.45">
      <c r="A52" s="20">
        <v>16</v>
      </c>
      <c r="B52" s="52" t="s">
        <v>184</v>
      </c>
      <c r="C52" s="105">
        <f>Shares!Y21/INFTOTAL</f>
        <v>5.87467362924282E-2</v>
      </c>
      <c r="D52" s="22" t="e">
        <f t="shared" si="2"/>
        <v>#REF!</v>
      </c>
      <c r="E52" s="22" t="e">
        <f t="shared" si="3"/>
        <v>#REF!</v>
      </c>
    </row>
    <row r="53" spans="1:5" ht="17" x14ac:dyDescent="0.45">
      <c r="A53" s="20">
        <v>17</v>
      </c>
      <c r="B53" s="53" t="s">
        <v>56</v>
      </c>
      <c r="C53" s="105">
        <f>Shares!Y23/INFTOTAL</f>
        <v>5.4395126196692775E-2</v>
      </c>
      <c r="D53" s="22" t="e">
        <f t="shared" si="2"/>
        <v>#REF!</v>
      </c>
      <c r="E53" s="22" t="e">
        <f t="shared" si="3"/>
        <v>#REF!</v>
      </c>
    </row>
    <row r="54" spans="1:5" ht="17" x14ac:dyDescent="0.45">
      <c r="A54" s="20">
        <v>18</v>
      </c>
      <c r="B54" s="53" t="s">
        <v>31</v>
      </c>
      <c r="C54" s="105">
        <f>Shares!Y24/INFTOTAL</f>
        <v>3.0896431679721496E-2</v>
      </c>
      <c r="D54" s="22" t="e">
        <f t="shared" si="2"/>
        <v>#REF!</v>
      </c>
      <c r="E54" s="22" t="e">
        <f t="shared" si="3"/>
        <v>#REF!</v>
      </c>
    </row>
    <row r="55" spans="1:5" ht="17" x14ac:dyDescent="0.45">
      <c r="A55" s="20">
        <v>19</v>
      </c>
      <c r="B55" s="52" t="s">
        <v>57</v>
      </c>
      <c r="C55" s="105">
        <f>Shares!Y25/INFTOTAL</f>
        <v>7.006092254134029E-2</v>
      </c>
      <c r="D55" s="22" t="e">
        <f t="shared" si="2"/>
        <v>#REF!</v>
      </c>
      <c r="E55" s="22" t="e">
        <f t="shared" si="3"/>
        <v>#REF!</v>
      </c>
    </row>
    <row r="56" spans="1:5" ht="17" x14ac:dyDescent="0.45">
      <c r="A56" s="20">
        <v>20</v>
      </c>
      <c r="B56" s="53" t="s">
        <v>185</v>
      </c>
      <c r="C56" s="105">
        <f>Shares!Y26/INFTOTAL</f>
        <v>2.3933855526544822E-2</v>
      </c>
      <c r="D56" s="22" t="e">
        <f t="shared" si="2"/>
        <v>#REF!</v>
      </c>
      <c r="E56" s="22" t="e">
        <f t="shared" si="3"/>
        <v>#REF!</v>
      </c>
    </row>
    <row r="57" spans="1:5" ht="17" x14ac:dyDescent="0.45">
      <c r="A57" s="20">
        <v>21</v>
      </c>
      <c r="B57" s="53" t="s">
        <v>33</v>
      </c>
      <c r="C57" s="105">
        <f>Shares!Y27/INFTOTAL</f>
        <v>2.0452567449956483E-2</v>
      </c>
      <c r="D57" s="22" t="e">
        <f t="shared" si="2"/>
        <v>#REF!</v>
      </c>
      <c r="E57" s="22" t="e">
        <f t="shared" si="3"/>
        <v>#REF!</v>
      </c>
    </row>
    <row r="58" spans="1:5" ht="17" x14ac:dyDescent="0.45">
      <c r="A58" s="20">
        <v>22</v>
      </c>
      <c r="B58" s="53" t="s">
        <v>186</v>
      </c>
      <c r="C58" s="105" t="e">
        <f>Shares!#REF!/INFTOTAL</f>
        <v>#REF!</v>
      </c>
      <c r="D58" s="22" t="e">
        <f t="shared" si="2"/>
        <v>#REF!</v>
      </c>
      <c r="E58" s="22" t="e">
        <f t="shared" si="3"/>
        <v>#REF!</v>
      </c>
    </row>
    <row r="59" spans="1:5" ht="17" x14ac:dyDescent="0.45">
      <c r="A59" s="20">
        <v>23</v>
      </c>
      <c r="B59" s="52" t="s">
        <v>187</v>
      </c>
      <c r="C59" s="105">
        <f>Shares!Y28/INFTOTAL</f>
        <v>4.351610095735422E-4</v>
      </c>
      <c r="D59" s="22" t="e">
        <f t="shared" si="2"/>
        <v>#REF!</v>
      </c>
      <c r="E59" s="22" t="e">
        <f t="shared" si="3"/>
        <v>#REF!</v>
      </c>
    </row>
    <row r="60" spans="1:5" ht="17" x14ac:dyDescent="0.45">
      <c r="A60" s="20">
        <v>24</v>
      </c>
      <c r="B60" s="52" t="s">
        <v>188</v>
      </c>
      <c r="C60" s="105" t="e">
        <f>Shares!#REF!/INFTOTAL</f>
        <v>#REF!</v>
      </c>
      <c r="D60" s="22" t="e">
        <f t="shared" si="2"/>
        <v>#REF!</v>
      </c>
      <c r="E60" s="22" t="e">
        <f t="shared" si="3"/>
        <v>#REF!</v>
      </c>
    </row>
    <row r="61" spans="1:5" ht="17" x14ac:dyDescent="0.45">
      <c r="A61" s="20">
        <v>25</v>
      </c>
      <c r="B61" s="52" t="s">
        <v>59</v>
      </c>
      <c r="C61" s="105" t="e">
        <f>Shares!#REF!/INFTOTAL</f>
        <v>#REF!</v>
      </c>
      <c r="D61" s="22" t="e">
        <f t="shared" si="2"/>
        <v>#REF!</v>
      </c>
      <c r="E61" s="22" t="e">
        <f t="shared" si="3"/>
        <v>#REF!</v>
      </c>
    </row>
    <row r="62" spans="1:5" ht="17" x14ac:dyDescent="0.45">
      <c r="A62" s="20">
        <v>26</v>
      </c>
      <c r="B62" s="52" t="s">
        <v>132</v>
      </c>
      <c r="C62" s="105" t="e">
        <f>Shares!#REF!/INFTOTAL</f>
        <v>#REF!</v>
      </c>
      <c r="D62" s="22" t="e">
        <f t="shared" si="2"/>
        <v>#REF!</v>
      </c>
      <c r="E62" s="22" t="e">
        <f t="shared" si="3"/>
        <v>#REF!</v>
      </c>
    </row>
    <row r="63" spans="1:5" ht="17" x14ac:dyDescent="0.45">
      <c r="A63" s="20">
        <v>27</v>
      </c>
      <c r="B63" s="52" t="s">
        <v>189</v>
      </c>
      <c r="C63" s="105" t="e">
        <f>Shares!#REF!/INFTOTAL</f>
        <v>#REF!</v>
      </c>
      <c r="D63" s="22" t="e">
        <f t="shared" si="2"/>
        <v>#REF!</v>
      </c>
      <c r="E63" s="22" t="e">
        <f t="shared" si="3"/>
        <v>#REF!</v>
      </c>
    </row>
    <row r="64" spans="1:5" ht="17" x14ac:dyDescent="0.45">
      <c r="A64" s="20">
        <v>28</v>
      </c>
      <c r="B64" s="52" t="s">
        <v>190</v>
      </c>
      <c r="C64" s="105" t="e">
        <f>Shares!#REF!/INFTOTAL</f>
        <v>#REF!</v>
      </c>
      <c r="D64" s="22" t="e">
        <f t="shared" si="2"/>
        <v>#REF!</v>
      </c>
      <c r="E64" s="22" t="e">
        <f t="shared" si="3"/>
        <v>#REF!</v>
      </c>
    </row>
    <row r="65" spans="1:5" ht="17" x14ac:dyDescent="0.45">
      <c r="A65" s="20">
        <v>29</v>
      </c>
      <c r="B65" s="52" t="s">
        <v>191</v>
      </c>
      <c r="C65" s="105" t="e">
        <f>Shares!#REF!/INFTOTAL</f>
        <v>#REF!</v>
      </c>
      <c r="D65" s="22" t="e">
        <f t="shared" si="2"/>
        <v>#REF!</v>
      </c>
      <c r="E65" s="22" t="e">
        <f t="shared" si="3"/>
        <v>#REF!</v>
      </c>
    </row>
    <row r="66" spans="1:5" ht="17" x14ac:dyDescent="0.45">
      <c r="A66" s="20">
        <v>30</v>
      </c>
      <c r="B66" s="52" t="s">
        <v>192</v>
      </c>
      <c r="C66" s="105" t="e">
        <f>Shares!#REF!/INFTOTAL</f>
        <v>#REF!</v>
      </c>
      <c r="D66" s="22" t="e">
        <f t="shared" si="2"/>
        <v>#REF!</v>
      </c>
      <c r="E66" s="22" t="e">
        <f t="shared" si="3"/>
        <v>#REF!</v>
      </c>
    </row>
    <row r="67" spans="1:5" ht="17" x14ac:dyDescent="0.35">
      <c r="A67" s="28"/>
      <c r="B67" s="29" t="s">
        <v>14</v>
      </c>
      <c r="C67" s="58" t="e">
        <f>SUM(C37:C66)</f>
        <v>#REF!</v>
      </c>
      <c r="D67" s="30" t="e">
        <f>SUM(D37:D66)</f>
        <v>#REF!</v>
      </c>
      <c r="E67" s="30" t="e">
        <f>SUM(E37:E66)</f>
        <v>#REF!</v>
      </c>
    </row>
  </sheetData>
  <phoneticPr fontId="22" type="noConversion"/>
  <pageMargins left="0.7" right="0.7" top="0.75" bottom="0.75" header="0.3" footer="0.3"/>
  <pageSetup paperSize="9" orientation="portrait" r:id="rId1"/>
  <ignoredErrors>
    <ignoredError sqref="M3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802F-ADAC-41B9-86B7-A717FE0F053C}">
  <dimension ref="A1:O26"/>
  <sheetViews>
    <sheetView workbookViewId="0">
      <selection activeCell="M16" sqref="M16"/>
    </sheetView>
  </sheetViews>
  <sheetFormatPr defaultRowHeight="14.5" x14ac:dyDescent="0.35"/>
  <cols>
    <col min="1" max="1" width="3.81640625" bestFit="1" customWidth="1"/>
    <col min="2" max="2" width="13.453125" bestFit="1" customWidth="1"/>
    <col min="3" max="3" width="9.54296875" bestFit="1" customWidth="1"/>
    <col min="4" max="4" width="9.453125" bestFit="1" customWidth="1"/>
    <col min="5" max="5" width="7.6328125" bestFit="1" customWidth="1"/>
    <col min="13" max="13" width="10" bestFit="1" customWidth="1"/>
    <col min="15" max="15" width="9.08984375" bestFit="1" customWidth="1"/>
  </cols>
  <sheetData>
    <row r="1" spans="1:15" ht="21" x14ac:dyDescent="0.5">
      <c r="B1" s="436" t="s">
        <v>193</v>
      </c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</row>
    <row r="2" spans="1:15" x14ac:dyDescent="0.35">
      <c r="A2" s="67"/>
      <c r="B2" s="68" t="s">
        <v>155</v>
      </c>
      <c r="C2" s="222" t="s">
        <v>156</v>
      </c>
      <c r="D2" s="222" t="s">
        <v>117</v>
      </c>
      <c r="E2" s="222" t="s">
        <v>118</v>
      </c>
      <c r="F2" s="222" t="s">
        <v>119</v>
      </c>
      <c r="G2" s="222" t="s">
        <v>120</v>
      </c>
      <c r="H2" s="222" t="s">
        <v>121</v>
      </c>
      <c r="I2" s="222" t="s">
        <v>122</v>
      </c>
      <c r="J2" s="222" t="s">
        <v>123</v>
      </c>
      <c r="K2" s="222" t="s">
        <v>80</v>
      </c>
      <c r="L2" s="222" t="s">
        <v>81</v>
      </c>
      <c r="M2" s="222" t="s">
        <v>82</v>
      </c>
      <c r="N2" s="222" t="s">
        <v>83</v>
      </c>
      <c r="O2" s="222" t="s">
        <v>71</v>
      </c>
    </row>
    <row r="3" spans="1:15" x14ac:dyDescent="0.35">
      <c r="A3" s="11">
        <v>1</v>
      </c>
      <c r="B3" s="11" t="s">
        <v>18</v>
      </c>
      <c r="C3" s="91"/>
      <c r="D3" s="91">
        <v>100</v>
      </c>
      <c r="E3" s="91">
        <v>100</v>
      </c>
      <c r="F3" s="91"/>
      <c r="G3" s="91"/>
      <c r="H3" s="91"/>
      <c r="I3" s="91"/>
      <c r="J3" s="91"/>
      <c r="K3" s="91"/>
      <c r="L3" s="91"/>
      <c r="M3" s="91"/>
      <c r="N3" s="91"/>
      <c r="O3" s="163">
        <f>SUM(C3:N3)</f>
        <v>200</v>
      </c>
    </row>
    <row r="4" spans="1:15" x14ac:dyDescent="0.35">
      <c r="A4" s="11">
        <v>2</v>
      </c>
      <c r="B4" s="11" t="s">
        <v>19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163">
        <f t="shared" ref="O4:O25" si="0">SUM(C4:N4)</f>
        <v>0</v>
      </c>
    </row>
    <row r="5" spans="1:15" x14ac:dyDescent="0.35">
      <c r="A5" s="11">
        <v>3</v>
      </c>
      <c r="B5" s="11" t="s">
        <v>20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163">
        <f t="shared" si="0"/>
        <v>0</v>
      </c>
    </row>
    <row r="6" spans="1:15" x14ac:dyDescent="0.35">
      <c r="A6" s="11">
        <v>4</v>
      </c>
      <c r="B6" s="11" t="s">
        <v>21</v>
      </c>
      <c r="C6" s="91"/>
      <c r="D6" s="91"/>
      <c r="E6" s="91">
        <v>100</v>
      </c>
      <c r="F6" s="91"/>
      <c r="G6" s="91"/>
      <c r="H6" s="91"/>
      <c r="I6" s="91"/>
      <c r="J6" s="91"/>
      <c r="K6" s="91"/>
      <c r="L6" s="91"/>
      <c r="M6" s="91"/>
      <c r="N6" s="91"/>
      <c r="O6" s="163">
        <f t="shared" si="0"/>
        <v>100</v>
      </c>
    </row>
    <row r="7" spans="1:15" x14ac:dyDescent="0.35">
      <c r="A7" s="11">
        <v>5</v>
      </c>
      <c r="B7" s="11" t="s">
        <v>22</v>
      </c>
      <c r="C7" s="91"/>
      <c r="D7" s="91"/>
      <c r="E7" s="91"/>
      <c r="F7" s="91"/>
      <c r="G7" s="91"/>
      <c r="H7" s="91"/>
      <c r="I7" s="91"/>
      <c r="J7" s="91"/>
      <c r="K7" s="91"/>
      <c r="L7" s="91">
        <v>100</v>
      </c>
      <c r="M7" s="91"/>
      <c r="N7" s="91"/>
      <c r="O7" s="163">
        <f t="shared" si="0"/>
        <v>100</v>
      </c>
    </row>
    <row r="8" spans="1:15" x14ac:dyDescent="0.35">
      <c r="A8" s="11">
        <v>6</v>
      </c>
      <c r="B8" s="11" t="s">
        <v>23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163">
        <f t="shared" si="0"/>
        <v>0</v>
      </c>
    </row>
    <row r="9" spans="1:15" x14ac:dyDescent="0.35">
      <c r="A9" s="11">
        <v>7</v>
      </c>
      <c r="B9" s="11" t="s">
        <v>24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163">
        <f t="shared" si="0"/>
        <v>0</v>
      </c>
    </row>
    <row r="10" spans="1:15" x14ac:dyDescent="0.35">
      <c r="A10" s="11">
        <v>8</v>
      </c>
      <c r="B10" s="11" t="s">
        <v>25</v>
      </c>
      <c r="C10" s="91"/>
      <c r="D10" s="91"/>
      <c r="E10" s="91"/>
      <c r="F10" s="91"/>
      <c r="G10" s="91"/>
      <c r="H10" s="91"/>
      <c r="I10" s="91"/>
      <c r="J10" s="91"/>
      <c r="K10" s="91"/>
      <c r="L10" s="91">
        <v>100</v>
      </c>
      <c r="M10" s="91"/>
      <c r="N10" s="91"/>
      <c r="O10" s="163">
        <f t="shared" si="0"/>
        <v>100</v>
      </c>
    </row>
    <row r="11" spans="1:15" x14ac:dyDescent="0.35">
      <c r="A11" s="11">
        <v>9</v>
      </c>
      <c r="B11" s="11" t="s">
        <v>26</v>
      </c>
      <c r="C11" s="91"/>
      <c r="D11" s="91"/>
      <c r="E11" s="91">
        <v>100</v>
      </c>
      <c r="F11" s="91"/>
      <c r="G11" s="91"/>
      <c r="H11" s="91"/>
      <c r="I11" s="91"/>
      <c r="J11" s="91"/>
      <c r="K11" s="91"/>
      <c r="L11" s="91"/>
      <c r="M11" s="91"/>
      <c r="N11" s="91"/>
      <c r="O11" s="163">
        <f t="shared" si="0"/>
        <v>100</v>
      </c>
    </row>
    <row r="12" spans="1:15" x14ac:dyDescent="0.35">
      <c r="A12" s="11">
        <v>10</v>
      </c>
      <c r="B12" s="11" t="s">
        <v>27</v>
      </c>
      <c r="C12" s="91"/>
      <c r="D12" s="91">
        <v>100</v>
      </c>
      <c r="E12" s="91">
        <v>100</v>
      </c>
      <c r="F12" s="91"/>
      <c r="G12" s="91"/>
      <c r="H12" s="91"/>
      <c r="I12" s="91"/>
      <c r="J12" s="91"/>
      <c r="K12" s="91"/>
      <c r="L12" s="91">
        <v>100</v>
      </c>
      <c r="M12" s="91"/>
      <c r="N12" s="91"/>
      <c r="O12" s="163">
        <f t="shared" si="0"/>
        <v>300</v>
      </c>
    </row>
    <row r="13" spans="1:15" x14ac:dyDescent="0.35">
      <c r="A13" s="11">
        <v>11</v>
      </c>
      <c r="B13" s="11" t="s">
        <v>28</v>
      </c>
      <c r="C13" s="91"/>
      <c r="D13" s="91"/>
      <c r="E13" s="91">
        <v>100</v>
      </c>
      <c r="F13" s="91">
        <v>100</v>
      </c>
      <c r="G13" s="91"/>
      <c r="H13" s="91"/>
      <c r="I13" s="91"/>
      <c r="J13" s="91"/>
      <c r="K13" s="91"/>
      <c r="L13" s="91"/>
      <c r="M13" s="91"/>
      <c r="N13" s="91"/>
      <c r="O13" s="163">
        <f t="shared" si="0"/>
        <v>200</v>
      </c>
    </row>
    <row r="14" spans="1:15" x14ac:dyDescent="0.35">
      <c r="A14" s="11">
        <v>12</v>
      </c>
      <c r="B14" s="11" t="s">
        <v>29</v>
      </c>
      <c r="C14" s="91"/>
      <c r="D14" s="91"/>
      <c r="E14" s="91">
        <v>100</v>
      </c>
      <c r="F14" s="91"/>
      <c r="G14" s="91"/>
      <c r="H14" s="91"/>
      <c r="I14" s="91">
        <v>100</v>
      </c>
      <c r="J14" s="91">
        <v>100</v>
      </c>
      <c r="K14" s="91">
        <v>100</v>
      </c>
      <c r="L14" s="91">
        <v>100</v>
      </c>
      <c r="M14" s="91"/>
      <c r="N14" s="91"/>
      <c r="O14" s="163">
        <f t="shared" si="0"/>
        <v>500</v>
      </c>
    </row>
    <row r="15" spans="1:15" x14ac:dyDescent="0.35">
      <c r="A15" s="11">
        <v>13</v>
      </c>
      <c r="B15" s="11" t="s">
        <v>30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163">
        <f t="shared" si="0"/>
        <v>0</v>
      </c>
    </row>
    <row r="16" spans="1:15" x14ac:dyDescent="0.35">
      <c r="A16" s="11">
        <v>14</v>
      </c>
      <c r="B16" s="11" t="s">
        <v>31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163">
        <f t="shared" si="0"/>
        <v>0</v>
      </c>
    </row>
    <row r="17" spans="1:15" x14ac:dyDescent="0.35">
      <c r="A17" s="11">
        <v>15</v>
      </c>
      <c r="B17" s="11" t="s">
        <v>32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163">
        <f t="shared" si="0"/>
        <v>0</v>
      </c>
    </row>
    <row r="18" spans="1:15" x14ac:dyDescent="0.35">
      <c r="A18" s="11">
        <v>16</v>
      </c>
      <c r="B18" s="11" t="s">
        <v>33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163">
        <f t="shared" si="0"/>
        <v>0</v>
      </c>
    </row>
    <row r="19" spans="1:15" x14ac:dyDescent="0.35">
      <c r="A19" s="11">
        <v>17</v>
      </c>
      <c r="B19" s="11" t="s">
        <v>34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163">
        <f t="shared" si="0"/>
        <v>0</v>
      </c>
    </row>
    <row r="20" spans="1:15" x14ac:dyDescent="0.35">
      <c r="A20" s="11">
        <v>18</v>
      </c>
      <c r="B20" s="11" t="s">
        <v>48</v>
      </c>
      <c r="C20" s="91"/>
      <c r="D20" s="91"/>
      <c r="E20" s="91"/>
      <c r="F20" s="91"/>
      <c r="G20" s="91"/>
      <c r="H20" s="91"/>
      <c r="I20" s="91"/>
      <c r="J20" s="91"/>
      <c r="K20" s="91"/>
      <c r="L20" s="91">
        <v>100</v>
      </c>
      <c r="M20" s="91"/>
      <c r="N20" s="91"/>
      <c r="O20" s="163">
        <f t="shared" si="0"/>
        <v>100</v>
      </c>
    </row>
    <row r="21" spans="1:15" x14ac:dyDescent="0.35">
      <c r="A21" s="11">
        <v>19</v>
      </c>
      <c r="B21" s="11" t="s">
        <v>35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163">
        <f t="shared" si="0"/>
        <v>0</v>
      </c>
    </row>
    <row r="22" spans="1:15" x14ac:dyDescent="0.35">
      <c r="A22" s="11">
        <v>20</v>
      </c>
      <c r="B22" s="11" t="s">
        <v>36</v>
      </c>
      <c r="C22" s="91"/>
      <c r="D22" s="91">
        <v>100</v>
      </c>
      <c r="E22" s="91"/>
      <c r="F22" s="91">
        <v>100</v>
      </c>
      <c r="G22" s="91"/>
      <c r="H22" s="91"/>
      <c r="I22" s="91"/>
      <c r="J22" s="91"/>
      <c r="K22" s="91"/>
      <c r="L22" s="91"/>
      <c r="M22" s="91"/>
      <c r="N22" s="91"/>
      <c r="O22" s="163">
        <f t="shared" si="0"/>
        <v>200</v>
      </c>
    </row>
    <row r="23" spans="1:15" x14ac:dyDescent="0.35">
      <c r="A23" s="11">
        <v>21</v>
      </c>
      <c r="B23" s="11" t="s">
        <v>37</v>
      </c>
      <c r="C23" s="91"/>
      <c r="D23" s="91"/>
      <c r="E23" s="91"/>
      <c r="F23" s="91">
        <v>100</v>
      </c>
      <c r="G23" s="91"/>
      <c r="H23" s="91"/>
      <c r="I23" s="91"/>
      <c r="J23" s="91"/>
      <c r="K23" s="91"/>
      <c r="L23" s="91"/>
      <c r="M23" s="91"/>
      <c r="N23" s="91"/>
      <c r="O23" s="163">
        <f t="shared" si="0"/>
        <v>100</v>
      </c>
    </row>
    <row r="24" spans="1:15" x14ac:dyDescent="0.35">
      <c r="A24" s="11">
        <v>22</v>
      </c>
      <c r="B24" s="11" t="s">
        <v>38</v>
      </c>
      <c r="C24" s="91"/>
      <c r="D24" s="91"/>
      <c r="E24" s="91">
        <v>100</v>
      </c>
      <c r="F24" s="91"/>
      <c r="G24" s="91"/>
      <c r="H24" s="91"/>
      <c r="I24" s="91"/>
      <c r="J24" s="91"/>
      <c r="K24" s="91"/>
      <c r="L24" s="91"/>
      <c r="M24" s="91"/>
      <c r="N24" s="91"/>
      <c r="O24" s="163">
        <f t="shared" si="0"/>
        <v>100</v>
      </c>
    </row>
    <row r="25" spans="1:15" x14ac:dyDescent="0.35">
      <c r="A25" s="11">
        <v>23</v>
      </c>
      <c r="B25" s="11" t="s">
        <v>39</v>
      </c>
      <c r="C25" s="91"/>
      <c r="D25" s="91"/>
      <c r="E25" s="91"/>
      <c r="F25" s="91"/>
      <c r="G25" s="91"/>
      <c r="H25" s="91"/>
      <c r="I25" s="91"/>
      <c r="J25" s="91"/>
      <c r="K25" s="91"/>
      <c r="L25" s="91">
        <v>100</v>
      </c>
      <c r="M25" s="91"/>
      <c r="N25" s="91"/>
      <c r="O25" s="163">
        <f t="shared" si="0"/>
        <v>100</v>
      </c>
    </row>
    <row r="26" spans="1:15" x14ac:dyDescent="0.35">
      <c r="A26" s="301"/>
      <c r="B26" s="301" t="s">
        <v>74</v>
      </c>
      <c r="C26" s="225">
        <f t="shared" ref="C26:O26" si="1">SUM(C3:C25)</f>
        <v>0</v>
      </c>
      <c r="D26" s="225">
        <f t="shared" si="1"/>
        <v>300</v>
      </c>
      <c r="E26" s="225"/>
      <c r="F26" s="225"/>
      <c r="G26" s="225">
        <f t="shared" si="1"/>
        <v>0</v>
      </c>
      <c r="H26" s="225">
        <f t="shared" si="1"/>
        <v>0</v>
      </c>
      <c r="I26" s="225"/>
      <c r="J26" s="225"/>
      <c r="K26" s="225"/>
      <c r="L26" s="225"/>
      <c r="M26" s="225">
        <f t="shared" si="1"/>
        <v>0</v>
      </c>
      <c r="N26" s="225">
        <f t="shared" si="1"/>
        <v>0</v>
      </c>
      <c r="O26" s="225">
        <f t="shared" si="1"/>
        <v>2200</v>
      </c>
    </row>
  </sheetData>
  <mergeCells count="1">
    <mergeCell ref="B1:O1"/>
  </mergeCells>
  <phoneticPr fontId="2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AC2F-E118-46F5-8E71-A0F4D5FA8B5D}">
  <dimension ref="A2:Z38"/>
  <sheetViews>
    <sheetView topLeftCell="A3" zoomScale="75" zoomScaleNormal="75" workbookViewId="0">
      <pane xSplit="2" topLeftCell="K1" activePane="topRight" state="frozen"/>
      <selection pane="topRight" activeCell="H24" sqref="H24"/>
    </sheetView>
  </sheetViews>
  <sheetFormatPr defaultColWidth="9.1796875" defaultRowHeight="13.5" x14ac:dyDescent="0.35"/>
  <cols>
    <col min="1" max="1" width="9.453125" style="1" bestFit="1" customWidth="1"/>
    <col min="2" max="2" width="25.453125" style="1" customWidth="1"/>
    <col min="3" max="3" width="13.1796875" style="57" bestFit="1" customWidth="1"/>
    <col min="4" max="4" width="13.7265625" style="1" customWidth="1"/>
    <col min="5" max="5" width="11.54296875" style="1" customWidth="1"/>
    <col min="6" max="6" width="14.453125" style="1" customWidth="1"/>
    <col min="7" max="7" width="11.26953125" style="1" bestFit="1" customWidth="1"/>
    <col min="8" max="8" width="17.81640625" style="1" customWidth="1"/>
    <col min="9" max="9" width="11" style="1" customWidth="1"/>
    <col min="10" max="10" width="15.453125" style="1" customWidth="1"/>
    <col min="11" max="11" width="10.1796875" style="1" bestFit="1" customWidth="1"/>
    <col min="12" max="12" width="16" style="1" customWidth="1"/>
    <col min="13" max="13" width="11.54296875" style="1" customWidth="1"/>
    <col min="14" max="14" width="14.26953125" style="1" customWidth="1"/>
    <col min="15" max="15" width="12.453125" style="1" customWidth="1"/>
    <col min="16" max="16" width="15.453125" style="1" customWidth="1"/>
    <col min="17" max="17" width="12.26953125" style="1" customWidth="1"/>
    <col min="18" max="18" width="14.1796875" style="1" customWidth="1"/>
    <col min="19" max="19" width="14" style="1" customWidth="1"/>
    <col min="20" max="20" width="12.54296875" style="1" customWidth="1"/>
    <col min="21" max="21" width="12.1796875" style="1" customWidth="1"/>
    <col min="22" max="22" width="11" style="1" customWidth="1"/>
    <col min="23" max="23" width="13.453125" style="1" customWidth="1"/>
    <col min="24" max="24" width="14.54296875" style="1" customWidth="1"/>
    <col min="25" max="25" width="17.26953125" style="1" customWidth="1"/>
    <col min="26" max="26" width="14" style="5" customWidth="1"/>
    <col min="27" max="16384" width="9.1796875" style="1"/>
  </cols>
  <sheetData>
    <row r="2" spans="1:26" ht="15.75" customHeight="1" x14ac:dyDescent="0.4">
      <c r="A2" s="86"/>
      <c r="B2" s="86" t="s">
        <v>0</v>
      </c>
      <c r="C2" s="412" t="s">
        <v>1</v>
      </c>
      <c r="D2" s="412"/>
      <c r="E2" s="412" t="s">
        <v>2</v>
      </c>
      <c r="F2" s="412"/>
      <c r="G2" s="412" t="s">
        <v>3</v>
      </c>
      <c r="H2" s="412"/>
      <c r="I2" s="412" t="s">
        <v>4</v>
      </c>
      <c r="J2" s="412"/>
      <c r="K2" s="412" t="s">
        <v>5</v>
      </c>
      <c r="L2" s="412"/>
      <c r="M2" s="412" t="s">
        <v>6</v>
      </c>
      <c r="N2" s="412"/>
      <c r="O2" s="412" t="s">
        <v>7</v>
      </c>
      <c r="P2" s="413"/>
      <c r="Q2" s="410" t="s">
        <v>8</v>
      </c>
      <c r="R2" s="410"/>
      <c r="S2" s="410" t="s">
        <v>9</v>
      </c>
      <c r="T2" s="410"/>
      <c r="U2" s="411" t="s">
        <v>10</v>
      </c>
      <c r="V2" s="411"/>
      <c r="W2" s="87"/>
      <c r="X2" s="88"/>
      <c r="Y2" s="88"/>
      <c r="Z2" s="89"/>
    </row>
    <row r="3" spans="1:26" ht="43.5" x14ac:dyDescent="0.4">
      <c r="A3" s="14" t="s">
        <v>11</v>
      </c>
      <c r="B3" s="14" t="s">
        <v>12</v>
      </c>
      <c r="C3" s="14" t="s">
        <v>194</v>
      </c>
      <c r="D3" s="15" t="s">
        <v>195</v>
      </c>
      <c r="E3" s="14" t="s">
        <v>194</v>
      </c>
      <c r="F3" s="15" t="s">
        <v>195</v>
      </c>
      <c r="G3" s="14" t="s">
        <v>194</v>
      </c>
      <c r="H3" s="15" t="s">
        <v>195</v>
      </c>
      <c r="I3" s="14" t="s">
        <v>194</v>
      </c>
      <c r="J3" s="15" t="s">
        <v>195</v>
      </c>
      <c r="K3" s="14" t="s">
        <v>194</v>
      </c>
      <c r="L3" s="15" t="s">
        <v>195</v>
      </c>
      <c r="M3" s="14" t="s">
        <v>194</v>
      </c>
      <c r="N3" s="15" t="s">
        <v>195</v>
      </c>
      <c r="O3" s="14" t="s">
        <v>194</v>
      </c>
      <c r="P3" s="15" t="s">
        <v>195</v>
      </c>
      <c r="Q3" s="14" t="s">
        <v>194</v>
      </c>
      <c r="R3" s="15" t="s">
        <v>195</v>
      </c>
      <c r="S3" s="14" t="s">
        <v>194</v>
      </c>
      <c r="T3" s="15" t="s">
        <v>195</v>
      </c>
      <c r="U3" s="14" t="s">
        <v>194</v>
      </c>
      <c r="V3" s="15" t="s">
        <v>195</v>
      </c>
      <c r="W3" s="15" t="s">
        <v>196</v>
      </c>
      <c r="X3" s="17" t="s">
        <v>197</v>
      </c>
      <c r="Y3" s="18" t="s">
        <v>198</v>
      </c>
      <c r="Z3" s="19" t="s">
        <v>17</v>
      </c>
    </row>
    <row r="4" spans="1:26" ht="17" x14ac:dyDescent="0.45">
      <c r="A4" s="20">
        <v>1</v>
      </c>
      <c r="B4" s="52" t="s">
        <v>49</v>
      </c>
      <c r="C4" s="82">
        <v>15000</v>
      </c>
      <c r="D4" s="22"/>
      <c r="E4" s="82"/>
      <c r="F4" s="21">
        <v>1000</v>
      </c>
      <c r="G4" s="82"/>
      <c r="H4" s="48"/>
      <c r="I4" s="82"/>
      <c r="J4" s="48"/>
      <c r="K4" s="21"/>
      <c r="L4" s="83"/>
      <c r="M4" s="21"/>
      <c r="N4" s="48"/>
      <c r="O4" s="21"/>
      <c r="P4" s="48"/>
      <c r="Q4" s="21"/>
      <c r="R4" s="48"/>
      <c r="S4" s="21"/>
      <c r="T4" s="21"/>
      <c r="U4" s="21"/>
      <c r="V4" s="48"/>
      <c r="W4" s="48">
        <f>SUM(C4,E4,G4,I4,K4,M4,O4,Q4,S4,U4)</f>
        <v>15000</v>
      </c>
      <c r="X4" s="21">
        <f>(W4-(SUM(D4,F4,H4,J4,L4,N4,P4,R4,T4,V4)))</f>
        <v>14000</v>
      </c>
      <c r="Y4" s="25">
        <f>Shares!Y4</f>
        <v>27400</v>
      </c>
      <c r="Z4" s="26">
        <f>Y4*3</f>
        <v>82200</v>
      </c>
    </row>
    <row r="5" spans="1:26" ht="17" x14ac:dyDescent="0.45">
      <c r="A5" s="20">
        <v>2</v>
      </c>
      <c r="B5" s="52" t="s">
        <v>51</v>
      </c>
      <c r="C5" s="82"/>
      <c r="D5" s="22"/>
      <c r="E5" s="82"/>
      <c r="F5" s="21"/>
      <c r="G5" s="82"/>
      <c r="H5" s="48"/>
      <c r="I5" s="82"/>
      <c r="J5" s="48"/>
      <c r="K5" s="21"/>
      <c r="L5" s="83"/>
      <c r="M5" s="21"/>
      <c r="N5" s="48"/>
      <c r="O5" s="21"/>
      <c r="P5" s="48"/>
      <c r="Q5" s="21"/>
      <c r="R5" s="48"/>
      <c r="S5" s="21"/>
      <c r="T5" s="21"/>
      <c r="U5" s="21"/>
      <c r="V5" s="48"/>
      <c r="W5" s="48">
        <f t="shared" ref="W5:W33" si="0">SUM(C5,E5,G5,I5,K5,M5,O5,Q5,S5,U5)</f>
        <v>0</v>
      </c>
      <c r="X5" s="21">
        <f t="shared" ref="X5:X33" si="1">(W5-(SUM(D5,F5,H5,J5,L5,N5,P5,R5,T5,V5)))</f>
        <v>0</v>
      </c>
      <c r="Y5" s="25">
        <f>Shares!Y6</f>
        <v>5800</v>
      </c>
      <c r="Z5" s="26">
        <f>Y5*3</f>
        <v>17400</v>
      </c>
    </row>
    <row r="6" spans="1:26" ht="17" x14ac:dyDescent="0.45">
      <c r="A6" s="20">
        <v>3</v>
      </c>
      <c r="B6" s="52" t="s">
        <v>52</v>
      </c>
      <c r="C6" s="82"/>
      <c r="D6" s="22"/>
      <c r="E6" s="82">
        <v>9000</v>
      </c>
      <c r="F6" s="21"/>
      <c r="G6" s="82"/>
      <c r="H6" s="48"/>
      <c r="I6" s="82"/>
      <c r="J6" s="48"/>
      <c r="K6" s="21"/>
      <c r="L6" s="83"/>
      <c r="M6" s="21"/>
      <c r="N6" s="48"/>
      <c r="O6" s="21"/>
      <c r="P6" s="48"/>
      <c r="Q6" s="21"/>
      <c r="R6" s="48"/>
      <c r="S6" s="21"/>
      <c r="T6" s="84"/>
      <c r="U6" s="21"/>
      <c r="V6" s="48"/>
      <c r="W6" s="48">
        <f t="shared" si="0"/>
        <v>9000</v>
      </c>
      <c r="X6" s="21">
        <f t="shared" si="1"/>
        <v>9000</v>
      </c>
      <c r="Y6" s="25">
        <f>Shares!Y7</f>
        <v>6200</v>
      </c>
      <c r="Z6" s="26">
        <f t="shared" ref="Z6:Z33" si="2">Y6*3</f>
        <v>18600</v>
      </c>
    </row>
    <row r="7" spans="1:26" ht="17" x14ac:dyDescent="0.45">
      <c r="A7" s="20">
        <v>4</v>
      </c>
      <c r="B7" s="52" t="s">
        <v>182</v>
      </c>
      <c r="C7" s="82"/>
      <c r="D7" s="22"/>
      <c r="E7" s="82"/>
      <c r="F7" s="21"/>
      <c r="G7" s="82"/>
      <c r="H7" s="48"/>
      <c r="I7" s="82"/>
      <c r="J7" s="48"/>
      <c r="K7" s="21"/>
      <c r="L7" s="83"/>
      <c r="M7" s="21"/>
      <c r="N7" s="48"/>
      <c r="O7" s="21"/>
      <c r="P7" s="48"/>
      <c r="Q7" s="21"/>
      <c r="R7" s="48"/>
      <c r="S7" s="21"/>
      <c r="T7" s="21"/>
      <c r="U7" s="21"/>
      <c r="V7" s="48"/>
      <c r="W7" s="48">
        <f t="shared" si="0"/>
        <v>0</v>
      </c>
      <c r="X7" s="21">
        <f t="shared" si="1"/>
        <v>0</v>
      </c>
      <c r="Y7" s="25">
        <f>Shares!Y8</f>
        <v>10400</v>
      </c>
      <c r="Z7" s="26">
        <f t="shared" si="2"/>
        <v>31200</v>
      </c>
    </row>
    <row r="8" spans="1:26" ht="17" x14ac:dyDescent="0.45">
      <c r="A8" s="20">
        <v>5</v>
      </c>
      <c r="B8" s="52" t="s">
        <v>25</v>
      </c>
      <c r="C8" s="82"/>
      <c r="D8" s="22"/>
      <c r="E8" s="82"/>
      <c r="F8" s="21"/>
      <c r="G8" s="82"/>
      <c r="H8" s="48"/>
      <c r="I8" s="82"/>
      <c r="J8" s="48"/>
      <c r="K8" s="21"/>
      <c r="L8" s="83"/>
      <c r="M8" s="21"/>
      <c r="N8" s="48"/>
      <c r="O8" s="21"/>
      <c r="P8" s="48"/>
      <c r="Q8" s="21"/>
      <c r="R8" s="48"/>
      <c r="S8" s="21"/>
      <c r="T8" s="21"/>
      <c r="U8" s="21"/>
      <c r="V8" s="48"/>
      <c r="W8" s="48">
        <f t="shared" si="0"/>
        <v>0</v>
      </c>
      <c r="X8" s="21">
        <f t="shared" si="1"/>
        <v>0</v>
      </c>
      <c r="Y8" s="25" t="e">
        <f>Shares!#REF!</f>
        <v>#REF!</v>
      </c>
      <c r="Z8" s="26" t="e">
        <f t="shared" si="2"/>
        <v>#REF!</v>
      </c>
    </row>
    <row r="9" spans="1:26" ht="17" x14ac:dyDescent="0.45">
      <c r="A9" s="20">
        <v>5</v>
      </c>
      <c r="B9" s="52" t="s">
        <v>183</v>
      </c>
      <c r="C9" s="82"/>
      <c r="D9" s="22"/>
      <c r="E9" s="82"/>
      <c r="F9" s="21"/>
      <c r="G9" s="82"/>
      <c r="H9" s="48"/>
      <c r="I9" s="82"/>
      <c r="J9" s="48"/>
      <c r="K9" s="21"/>
      <c r="L9" s="83"/>
      <c r="M9" s="21"/>
      <c r="N9" s="48"/>
      <c r="O9" s="21"/>
      <c r="P9" s="48"/>
      <c r="Q9" s="21"/>
      <c r="R9" s="48"/>
      <c r="S9" s="21"/>
      <c r="T9" s="21"/>
      <c r="U9" s="21"/>
      <c r="V9" s="48"/>
      <c r="W9" s="48">
        <f t="shared" si="0"/>
        <v>0</v>
      </c>
      <c r="X9" s="21">
        <f t="shared" si="1"/>
        <v>0</v>
      </c>
      <c r="Y9" s="25">
        <f>Shares!Y9</f>
        <v>2200</v>
      </c>
      <c r="Z9" s="26">
        <f t="shared" si="2"/>
        <v>6600</v>
      </c>
    </row>
    <row r="10" spans="1:26" ht="17" x14ac:dyDescent="0.45">
      <c r="A10" s="20">
        <v>7</v>
      </c>
      <c r="B10" s="52" t="s">
        <v>131</v>
      </c>
      <c r="C10" s="82">
        <v>13000</v>
      </c>
      <c r="D10" s="22"/>
      <c r="E10" s="82"/>
      <c r="F10" s="21">
        <v>1500</v>
      </c>
      <c r="G10" s="82"/>
      <c r="H10" s="48"/>
      <c r="I10" s="82"/>
      <c r="J10" s="48"/>
      <c r="K10" s="21"/>
      <c r="L10" s="83"/>
      <c r="M10" s="21"/>
      <c r="N10" s="48"/>
      <c r="O10" s="21"/>
      <c r="P10" s="48"/>
      <c r="Q10" s="21"/>
      <c r="R10" s="48"/>
      <c r="S10" s="21"/>
      <c r="T10" s="21"/>
      <c r="U10" s="21"/>
      <c r="V10" s="48"/>
      <c r="W10" s="48">
        <f t="shared" si="0"/>
        <v>13000</v>
      </c>
      <c r="X10" s="21">
        <f t="shared" si="1"/>
        <v>11500</v>
      </c>
      <c r="Y10" s="25">
        <f>Shares!Y10</f>
        <v>13400</v>
      </c>
      <c r="Z10" s="26">
        <f t="shared" si="2"/>
        <v>40200</v>
      </c>
    </row>
    <row r="11" spans="1:26" ht="17" x14ac:dyDescent="0.45">
      <c r="A11" s="20">
        <v>8</v>
      </c>
      <c r="B11" s="52" t="s">
        <v>132</v>
      </c>
      <c r="C11" s="82">
        <v>4800</v>
      </c>
      <c r="D11" s="22"/>
      <c r="E11" s="82"/>
      <c r="F11" s="21">
        <v>1000</v>
      </c>
      <c r="G11" s="82"/>
      <c r="H11" s="48"/>
      <c r="I11" s="82"/>
      <c r="J11" s="48"/>
      <c r="K11" s="21"/>
      <c r="L11" s="83"/>
      <c r="M11" s="21"/>
      <c r="N11" s="48"/>
      <c r="O11" s="21"/>
      <c r="P11" s="48"/>
      <c r="Q11" s="21"/>
      <c r="R11" s="48"/>
      <c r="S11" s="21"/>
      <c r="T11" s="21"/>
      <c r="U11" s="21"/>
      <c r="V11" s="48"/>
      <c r="W11" s="48">
        <f t="shared" si="0"/>
        <v>4800</v>
      </c>
      <c r="X11" s="21">
        <f t="shared" si="1"/>
        <v>3800</v>
      </c>
      <c r="Y11" s="25">
        <f>Shares!Y11</f>
        <v>7400</v>
      </c>
      <c r="Z11" s="26">
        <f t="shared" si="2"/>
        <v>22200</v>
      </c>
    </row>
    <row r="12" spans="1:26" ht="17" x14ac:dyDescent="0.45">
      <c r="A12" s="20">
        <v>9</v>
      </c>
      <c r="B12" s="52" t="s">
        <v>184</v>
      </c>
      <c r="C12" s="82"/>
      <c r="D12" s="22"/>
      <c r="E12" s="82"/>
      <c r="F12" s="21"/>
      <c r="G12" s="82"/>
      <c r="H12" s="48"/>
      <c r="I12" s="82"/>
      <c r="J12" s="48"/>
      <c r="K12" s="21"/>
      <c r="L12" s="83"/>
      <c r="M12" s="21"/>
      <c r="N12" s="48"/>
      <c r="O12" s="21"/>
      <c r="P12" s="48"/>
      <c r="Q12" s="21"/>
      <c r="R12" s="48"/>
      <c r="S12" s="21"/>
      <c r="T12" s="21"/>
      <c r="U12" s="21"/>
      <c r="V12" s="48"/>
      <c r="W12" s="48">
        <f t="shared" si="0"/>
        <v>0</v>
      </c>
      <c r="X12" s="21">
        <f t="shared" si="1"/>
        <v>0</v>
      </c>
      <c r="Y12" s="25">
        <f>Shares!Y12</f>
        <v>5200</v>
      </c>
      <c r="Z12" s="26">
        <f t="shared" si="2"/>
        <v>15600</v>
      </c>
    </row>
    <row r="13" spans="1:26" ht="17" x14ac:dyDescent="0.45">
      <c r="A13" s="20">
        <v>10</v>
      </c>
      <c r="B13" s="53" t="s">
        <v>186</v>
      </c>
      <c r="C13" s="82"/>
      <c r="D13" s="85"/>
      <c r="E13" s="82"/>
      <c r="F13" s="21"/>
      <c r="G13" s="82"/>
      <c r="H13" s="48"/>
      <c r="I13" s="82"/>
      <c r="J13" s="48"/>
      <c r="K13" s="21"/>
      <c r="L13" s="83"/>
      <c r="M13" s="21"/>
      <c r="N13" s="48"/>
      <c r="O13" s="21"/>
      <c r="P13" s="48"/>
      <c r="Q13" s="21"/>
      <c r="R13" s="48"/>
      <c r="S13" s="21"/>
      <c r="T13" s="21"/>
      <c r="U13" s="21"/>
      <c r="V13" s="48"/>
      <c r="W13" s="48">
        <f t="shared" si="0"/>
        <v>0</v>
      </c>
      <c r="X13" s="21">
        <f t="shared" si="1"/>
        <v>0</v>
      </c>
      <c r="Y13" s="25">
        <f>Shares!Y13</f>
        <v>6600</v>
      </c>
      <c r="Z13" s="26">
        <f t="shared" si="2"/>
        <v>19800</v>
      </c>
    </row>
    <row r="14" spans="1:26" ht="17" x14ac:dyDescent="0.45">
      <c r="A14" s="20">
        <v>11</v>
      </c>
      <c r="B14" s="52" t="s">
        <v>57</v>
      </c>
      <c r="C14" s="82"/>
      <c r="D14" s="22"/>
      <c r="E14" s="82"/>
      <c r="F14" s="21"/>
      <c r="G14" s="82"/>
      <c r="H14" s="48"/>
      <c r="I14" s="82"/>
      <c r="J14" s="48"/>
      <c r="K14" s="21"/>
      <c r="L14" s="83"/>
      <c r="M14" s="21"/>
      <c r="N14" s="48"/>
      <c r="O14" s="21"/>
      <c r="P14" s="48"/>
      <c r="Q14" s="21"/>
      <c r="R14" s="48"/>
      <c r="S14" s="21"/>
      <c r="T14" s="21"/>
      <c r="U14" s="21"/>
      <c r="V14" s="48"/>
      <c r="W14" s="48">
        <f t="shared" si="0"/>
        <v>0</v>
      </c>
      <c r="X14" s="21">
        <f t="shared" si="1"/>
        <v>0</v>
      </c>
      <c r="Y14" s="25">
        <f>Shares!Y14</f>
        <v>31800</v>
      </c>
      <c r="Z14" s="26">
        <f t="shared" si="2"/>
        <v>95400</v>
      </c>
    </row>
    <row r="15" spans="1:26" ht="17" x14ac:dyDescent="0.45">
      <c r="A15" s="20">
        <v>12</v>
      </c>
      <c r="B15" s="52" t="s">
        <v>187</v>
      </c>
      <c r="C15" s="82"/>
      <c r="D15" s="22"/>
      <c r="E15" s="82"/>
      <c r="F15" s="21"/>
      <c r="G15" s="82"/>
      <c r="H15" s="48"/>
      <c r="I15" s="82"/>
      <c r="J15" s="48"/>
      <c r="K15" s="21"/>
      <c r="L15" s="83"/>
      <c r="M15" s="21"/>
      <c r="N15" s="48"/>
      <c r="O15" s="21"/>
      <c r="P15" s="48"/>
      <c r="Q15" s="21"/>
      <c r="R15" s="48"/>
      <c r="S15" s="21"/>
      <c r="T15" s="21"/>
      <c r="U15" s="21"/>
      <c r="V15" s="48"/>
      <c r="W15" s="48">
        <f t="shared" si="0"/>
        <v>0</v>
      </c>
      <c r="X15" s="21">
        <f t="shared" si="1"/>
        <v>0</v>
      </c>
      <c r="Y15" s="25">
        <f>Shares!Y15</f>
        <v>3200</v>
      </c>
      <c r="Z15" s="26">
        <f t="shared" si="2"/>
        <v>9600</v>
      </c>
    </row>
    <row r="16" spans="1:26" ht="17" x14ac:dyDescent="0.45">
      <c r="A16" s="20">
        <v>13</v>
      </c>
      <c r="B16" s="52" t="s">
        <v>188</v>
      </c>
      <c r="C16" s="82"/>
      <c r="D16" s="22"/>
      <c r="E16" s="82"/>
      <c r="F16" s="21"/>
      <c r="G16" s="82"/>
      <c r="H16" s="48"/>
      <c r="I16" s="82"/>
      <c r="J16" s="48"/>
      <c r="K16" s="21"/>
      <c r="L16" s="83"/>
      <c r="M16" s="21"/>
      <c r="N16" s="48"/>
      <c r="O16" s="21"/>
      <c r="P16" s="48"/>
      <c r="Q16" s="21"/>
      <c r="R16" s="48"/>
      <c r="S16" s="21"/>
      <c r="T16" s="21"/>
      <c r="U16" s="21"/>
      <c r="V16" s="48"/>
      <c r="W16" s="48">
        <f t="shared" si="0"/>
        <v>0</v>
      </c>
      <c r="X16" s="21">
        <f t="shared" si="1"/>
        <v>0</v>
      </c>
      <c r="Y16" s="25">
        <f>Shares!Y17</f>
        <v>48800</v>
      </c>
      <c r="Z16" s="26">
        <f t="shared" si="2"/>
        <v>146400</v>
      </c>
    </row>
    <row r="17" spans="1:26" ht="17" x14ac:dyDescent="0.45">
      <c r="A17" s="20">
        <v>14</v>
      </c>
      <c r="B17" s="52" t="s">
        <v>191</v>
      </c>
      <c r="C17" s="82"/>
      <c r="D17" s="22"/>
      <c r="E17" s="82"/>
      <c r="F17" s="21"/>
      <c r="G17" s="82"/>
      <c r="H17" s="48"/>
      <c r="I17" s="82"/>
      <c r="J17" s="48"/>
      <c r="K17" s="21"/>
      <c r="L17" s="83"/>
      <c r="M17" s="21"/>
      <c r="N17" s="48"/>
      <c r="O17" s="21"/>
      <c r="P17" s="48"/>
      <c r="Q17" s="21"/>
      <c r="R17" s="48"/>
      <c r="S17" s="21"/>
      <c r="T17" s="21"/>
      <c r="U17" s="21"/>
      <c r="V17" s="48"/>
      <c r="W17" s="48">
        <f t="shared" si="0"/>
        <v>0</v>
      </c>
      <c r="X17" s="21">
        <f t="shared" si="1"/>
        <v>0</v>
      </c>
      <c r="Y17" s="25">
        <f>Shares!Y19</f>
        <v>25200</v>
      </c>
      <c r="Z17" s="26">
        <f t="shared" si="2"/>
        <v>75600</v>
      </c>
    </row>
    <row r="18" spans="1:26" ht="17" x14ac:dyDescent="0.45">
      <c r="A18" s="20">
        <v>15</v>
      </c>
      <c r="B18" s="52" t="s">
        <v>192</v>
      </c>
      <c r="C18" s="82"/>
      <c r="D18" s="22"/>
      <c r="E18" s="82"/>
      <c r="F18" s="21"/>
      <c r="G18" s="82"/>
      <c r="H18" s="48"/>
      <c r="I18" s="82"/>
      <c r="J18" s="48"/>
      <c r="K18" s="21"/>
      <c r="L18" s="83"/>
      <c r="M18" s="21"/>
      <c r="N18" s="48"/>
      <c r="O18" s="21"/>
      <c r="P18" s="48"/>
      <c r="Q18" s="21"/>
      <c r="R18" s="48"/>
      <c r="S18" s="21"/>
      <c r="T18" s="21"/>
      <c r="U18" s="21"/>
      <c r="V18" s="48"/>
      <c r="W18" s="48">
        <f t="shared" si="0"/>
        <v>0</v>
      </c>
      <c r="X18" s="21">
        <f t="shared" si="1"/>
        <v>0</v>
      </c>
      <c r="Y18" s="25">
        <f>Shares!Y20</f>
        <v>25200</v>
      </c>
      <c r="Z18" s="26">
        <f t="shared" si="2"/>
        <v>75600</v>
      </c>
    </row>
    <row r="19" spans="1:26" ht="17" x14ac:dyDescent="0.45">
      <c r="A19" s="20">
        <v>16</v>
      </c>
      <c r="B19" s="52" t="s">
        <v>190</v>
      </c>
      <c r="C19" s="82"/>
      <c r="D19" s="22"/>
      <c r="E19" s="82"/>
      <c r="F19" s="21"/>
      <c r="G19" s="82"/>
      <c r="H19" s="48"/>
      <c r="I19" s="82"/>
      <c r="J19" s="48"/>
      <c r="K19" s="21"/>
      <c r="L19" s="83"/>
      <c r="M19" s="21"/>
      <c r="N19" s="48"/>
      <c r="O19" s="21"/>
      <c r="P19" s="48"/>
      <c r="Q19" s="21"/>
      <c r="R19" s="48"/>
      <c r="S19" s="21"/>
      <c r="T19" s="21"/>
      <c r="U19" s="21"/>
      <c r="V19" s="48"/>
      <c r="W19" s="48">
        <f t="shared" si="0"/>
        <v>0</v>
      </c>
      <c r="X19" s="21">
        <f t="shared" si="1"/>
        <v>0</v>
      </c>
      <c r="Y19" s="25">
        <f>Shares!Y21</f>
        <v>27000</v>
      </c>
      <c r="Z19" s="26">
        <f t="shared" si="2"/>
        <v>81000</v>
      </c>
    </row>
    <row r="20" spans="1:26" ht="17" x14ac:dyDescent="0.45">
      <c r="A20" s="20">
        <v>17</v>
      </c>
      <c r="B20" s="52" t="s">
        <v>189</v>
      </c>
      <c r="C20" s="82"/>
      <c r="D20" s="22"/>
      <c r="E20" s="82"/>
      <c r="F20" s="21"/>
      <c r="G20" s="82"/>
      <c r="H20" s="48"/>
      <c r="I20" s="82"/>
      <c r="J20" s="48"/>
      <c r="K20" s="21"/>
      <c r="L20" s="83"/>
      <c r="M20" s="21"/>
      <c r="N20" s="48"/>
      <c r="O20" s="21"/>
      <c r="P20" s="48"/>
      <c r="Q20" s="21"/>
      <c r="R20" s="48"/>
      <c r="S20" s="21"/>
      <c r="T20" s="21"/>
      <c r="U20" s="21"/>
      <c r="V20" s="48"/>
      <c r="W20" s="48">
        <f t="shared" si="0"/>
        <v>0</v>
      </c>
      <c r="X20" s="21">
        <f t="shared" si="1"/>
        <v>0</v>
      </c>
      <c r="Y20" s="25">
        <f>Shares!Y23</f>
        <v>25000</v>
      </c>
      <c r="Z20" s="26">
        <f t="shared" si="2"/>
        <v>75000</v>
      </c>
    </row>
    <row r="21" spans="1:26" ht="17" x14ac:dyDescent="0.45">
      <c r="A21" s="20">
        <v>18</v>
      </c>
      <c r="B21" s="52" t="s">
        <v>59</v>
      </c>
      <c r="C21" s="82"/>
      <c r="D21" s="22"/>
      <c r="E21" s="82"/>
      <c r="F21" s="21"/>
      <c r="G21" s="82"/>
      <c r="H21" s="48"/>
      <c r="I21" s="82"/>
      <c r="J21" s="48"/>
      <c r="K21" s="21"/>
      <c r="L21" s="83"/>
      <c r="M21" s="21"/>
      <c r="N21" s="48"/>
      <c r="O21" s="21"/>
      <c r="P21" s="48"/>
      <c r="Q21" s="21"/>
      <c r="R21" s="48"/>
      <c r="S21" s="21"/>
      <c r="T21" s="21"/>
      <c r="U21" s="21"/>
      <c r="V21" s="48"/>
      <c r="W21" s="48">
        <f t="shared" si="0"/>
        <v>0</v>
      </c>
      <c r="X21" s="21">
        <f t="shared" si="1"/>
        <v>0</v>
      </c>
      <c r="Y21" s="25">
        <f>Shares!Y24</f>
        <v>14200</v>
      </c>
      <c r="Z21" s="26">
        <f>Y21*3</f>
        <v>42600</v>
      </c>
    </row>
    <row r="22" spans="1:26" ht="17" x14ac:dyDescent="0.45">
      <c r="A22" s="20">
        <v>19</v>
      </c>
      <c r="B22" s="52" t="s">
        <v>23</v>
      </c>
      <c r="C22" s="82"/>
      <c r="D22" s="22"/>
      <c r="E22" s="82"/>
      <c r="F22" s="21"/>
      <c r="G22" s="82"/>
      <c r="H22" s="48"/>
      <c r="I22" s="82"/>
      <c r="J22" s="48"/>
      <c r="K22" s="21"/>
      <c r="L22" s="83"/>
      <c r="M22" s="21"/>
      <c r="N22" s="48"/>
      <c r="O22" s="21"/>
      <c r="P22" s="48"/>
      <c r="Q22" s="21"/>
      <c r="R22" s="48"/>
      <c r="S22" s="21"/>
      <c r="T22" s="21"/>
      <c r="U22" s="21"/>
      <c r="V22" s="48"/>
      <c r="W22" s="48">
        <f t="shared" si="0"/>
        <v>0</v>
      </c>
      <c r="X22" s="21">
        <f t="shared" si="1"/>
        <v>0</v>
      </c>
      <c r="Y22" s="25">
        <f>Shares!Y25</f>
        <v>32200</v>
      </c>
      <c r="Z22" s="26">
        <f>Y22*3</f>
        <v>96600</v>
      </c>
    </row>
    <row r="23" spans="1:26" ht="17" x14ac:dyDescent="0.45">
      <c r="A23" s="20">
        <v>20</v>
      </c>
      <c r="B23" s="52" t="s">
        <v>26</v>
      </c>
      <c r="C23" s="82">
        <v>4800</v>
      </c>
      <c r="D23" s="22"/>
      <c r="E23" s="82"/>
      <c r="F23" s="21"/>
      <c r="G23" s="82"/>
      <c r="H23" s="48"/>
      <c r="I23" s="82"/>
      <c r="J23" s="48"/>
      <c r="K23" s="21"/>
      <c r="L23" s="83"/>
      <c r="M23" s="21"/>
      <c r="N23" s="48"/>
      <c r="O23" s="21"/>
      <c r="P23" s="48"/>
      <c r="Q23" s="21"/>
      <c r="R23" s="48"/>
      <c r="S23" s="21"/>
      <c r="T23" s="21"/>
      <c r="U23" s="21"/>
      <c r="V23" s="48"/>
      <c r="W23" s="48">
        <f t="shared" si="0"/>
        <v>4800</v>
      </c>
      <c r="X23" s="21">
        <f t="shared" si="1"/>
        <v>4800</v>
      </c>
      <c r="Y23" s="25">
        <f>Shares!Y26</f>
        <v>11000</v>
      </c>
      <c r="Z23" s="26">
        <f>Y23*3</f>
        <v>33000</v>
      </c>
    </row>
    <row r="24" spans="1:26" ht="17" x14ac:dyDescent="0.45">
      <c r="A24" s="20">
        <v>21</v>
      </c>
      <c r="B24" s="53" t="s">
        <v>31</v>
      </c>
      <c r="C24" s="82"/>
      <c r="D24" s="22"/>
      <c r="E24" s="82">
        <v>8000</v>
      </c>
      <c r="F24" s="21"/>
      <c r="G24" s="82"/>
      <c r="H24" s="48"/>
      <c r="I24" s="82"/>
      <c r="J24" s="48"/>
      <c r="K24" s="21"/>
      <c r="L24" s="83"/>
      <c r="M24" s="21"/>
      <c r="N24" s="48"/>
      <c r="O24" s="21"/>
      <c r="P24" s="48"/>
      <c r="Q24" s="21"/>
      <c r="R24" s="48"/>
      <c r="S24" s="21"/>
      <c r="T24" s="21"/>
      <c r="U24" s="21"/>
      <c r="V24" s="48"/>
      <c r="W24" s="48">
        <f t="shared" si="0"/>
        <v>8000</v>
      </c>
      <c r="X24" s="21">
        <f t="shared" si="1"/>
        <v>8000</v>
      </c>
      <c r="Y24" s="25">
        <f>Shares!Y27</f>
        <v>9400</v>
      </c>
      <c r="Z24" s="26">
        <f t="shared" si="2"/>
        <v>28200</v>
      </c>
    </row>
    <row r="25" spans="1:26" ht="17" x14ac:dyDescent="0.45">
      <c r="A25" s="20">
        <v>22</v>
      </c>
      <c r="B25" s="53" t="s">
        <v>185</v>
      </c>
      <c r="C25" s="82"/>
      <c r="D25" s="22"/>
      <c r="E25" s="82"/>
      <c r="F25" s="21"/>
      <c r="G25" s="82"/>
      <c r="H25" s="48"/>
      <c r="I25" s="82"/>
      <c r="J25" s="48"/>
      <c r="K25" s="21"/>
      <c r="L25" s="83"/>
      <c r="M25" s="21"/>
      <c r="N25" s="48"/>
      <c r="O25" s="21"/>
      <c r="P25" s="48"/>
      <c r="Q25" s="21"/>
      <c r="R25" s="48"/>
      <c r="S25" s="21"/>
      <c r="T25" s="21"/>
      <c r="U25" s="21"/>
      <c r="V25" s="48"/>
      <c r="W25" s="48">
        <f t="shared" si="0"/>
        <v>0</v>
      </c>
      <c r="X25" s="21">
        <f t="shared" si="1"/>
        <v>0</v>
      </c>
      <c r="Y25" s="25" t="e">
        <f>Shares!#REF!</f>
        <v>#REF!</v>
      </c>
      <c r="Z25" s="26" t="e">
        <f t="shared" si="2"/>
        <v>#REF!</v>
      </c>
    </row>
    <row r="26" spans="1:26" ht="17" x14ac:dyDescent="0.45">
      <c r="A26" s="20">
        <v>23</v>
      </c>
      <c r="B26" s="53" t="s">
        <v>55</v>
      </c>
      <c r="C26" s="82"/>
      <c r="D26" s="22"/>
      <c r="E26" s="82"/>
      <c r="F26" s="21"/>
      <c r="G26" s="82"/>
      <c r="H26" s="48"/>
      <c r="I26" s="82"/>
      <c r="J26" s="48"/>
      <c r="K26" s="21"/>
      <c r="L26" s="83"/>
      <c r="M26" s="21"/>
      <c r="N26" s="48"/>
      <c r="O26" s="21"/>
      <c r="P26" s="48"/>
      <c r="Q26" s="21"/>
      <c r="R26" s="48"/>
      <c r="S26" s="21"/>
      <c r="T26" s="21"/>
      <c r="U26" s="21"/>
      <c r="V26" s="48"/>
      <c r="W26" s="48">
        <f t="shared" si="0"/>
        <v>0</v>
      </c>
      <c r="X26" s="21">
        <f t="shared" si="1"/>
        <v>0</v>
      </c>
      <c r="Y26" s="25">
        <f>Shares!Y28</f>
        <v>200</v>
      </c>
      <c r="Z26" s="26">
        <f t="shared" si="2"/>
        <v>600</v>
      </c>
    </row>
    <row r="27" spans="1:26" ht="17" x14ac:dyDescent="0.45">
      <c r="A27" s="20">
        <v>24</v>
      </c>
      <c r="B27" s="53" t="s">
        <v>18</v>
      </c>
      <c r="C27" s="82">
        <v>20000</v>
      </c>
      <c r="D27" s="22"/>
      <c r="E27" s="82"/>
      <c r="F27" s="21">
        <v>12000</v>
      </c>
      <c r="G27" s="82"/>
      <c r="H27" s="48"/>
      <c r="I27" s="82"/>
      <c r="J27" s="48"/>
      <c r="K27" s="21"/>
      <c r="L27" s="83"/>
      <c r="M27" s="21"/>
      <c r="N27" s="48"/>
      <c r="O27" s="21"/>
      <c r="P27" s="48"/>
      <c r="Q27" s="21"/>
      <c r="R27" s="48"/>
      <c r="S27" s="21"/>
      <c r="T27" s="21"/>
      <c r="U27" s="21"/>
      <c r="V27" s="48"/>
      <c r="W27" s="48">
        <f t="shared" si="0"/>
        <v>20000</v>
      </c>
      <c r="X27" s="21">
        <f t="shared" si="1"/>
        <v>8000</v>
      </c>
      <c r="Y27" s="25" t="e">
        <f>Shares!#REF!</f>
        <v>#REF!</v>
      </c>
      <c r="Z27" s="26" t="e">
        <f t="shared" si="2"/>
        <v>#REF!</v>
      </c>
    </row>
    <row r="28" spans="1:26" ht="17" x14ac:dyDescent="0.45">
      <c r="A28" s="20">
        <v>25</v>
      </c>
      <c r="B28" s="53" t="s">
        <v>50</v>
      </c>
      <c r="C28" s="82"/>
      <c r="D28" s="22"/>
      <c r="E28" s="82"/>
      <c r="F28" s="21"/>
      <c r="G28" s="82"/>
      <c r="H28" s="48"/>
      <c r="I28" s="82"/>
      <c r="J28" s="48"/>
      <c r="K28" s="21"/>
      <c r="L28" s="83"/>
      <c r="M28" s="21"/>
      <c r="N28" s="48"/>
      <c r="O28" s="21"/>
      <c r="P28" s="48"/>
      <c r="Q28" s="21"/>
      <c r="R28" s="48"/>
      <c r="S28" s="21"/>
      <c r="T28" s="21"/>
      <c r="U28" s="21"/>
      <c r="V28" s="48"/>
      <c r="W28" s="48">
        <f t="shared" si="0"/>
        <v>0</v>
      </c>
      <c r="X28" s="21">
        <f t="shared" si="1"/>
        <v>0</v>
      </c>
      <c r="Y28" s="25" t="e">
        <f>Shares!#REF!</f>
        <v>#REF!</v>
      </c>
      <c r="Z28" s="26" t="e">
        <f t="shared" si="2"/>
        <v>#REF!</v>
      </c>
    </row>
    <row r="29" spans="1:26" ht="17" x14ac:dyDescent="0.45">
      <c r="A29" s="20">
        <v>26</v>
      </c>
      <c r="B29" s="53" t="s">
        <v>20</v>
      </c>
      <c r="C29" s="82"/>
      <c r="D29" s="22"/>
      <c r="E29" s="82"/>
      <c r="F29" s="21"/>
      <c r="G29" s="82"/>
      <c r="H29" s="48"/>
      <c r="I29" s="82"/>
      <c r="J29" s="48"/>
      <c r="K29" s="21"/>
      <c r="L29" s="83"/>
      <c r="M29" s="21"/>
      <c r="N29" s="48"/>
      <c r="O29" s="21"/>
      <c r="P29" s="48"/>
      <c r="Q29" s="21"/>
      <c r="R29" s="48"/>
      <c r="S29" s="21"/>
      <c r="T29" s="21"/>
      <c r="U29" s="21"/>
      <c r="V29" s="48"/>
      <c r="W29" s="48">
        <f t="shared" si="0"/>
        <v>0</v>
      </c>
      <c r="X29" s="21">
        <f t="shared" si="1"/>
        <v>0</v>
      </c>
      <c r="Y29" s="25" t="e">
        <f>Shares!#REF!</f>
        <v>#REF!</v>
      </c>
      <c r="Z29" s="26" t="e">
        <f t="shared" si="2"/>
        <v>#REF!</v>
      </c>
    </row>
    <row r="30" spans="1:26" ht="17" x14ac:dyDescent="0.45">
      <c r="A30" s="20">
        <v>27</v>
      </c>
      <c r="B30" s="53" t="s">
        <v>33</v>
      </c>
      <c r="C30" s="82"/>
      <c r="D30" s="22"/>
      <c r="E30" s="82"/>
      <c r="F30" s="21"/>
      <c r="G30" s="82"/>
      <c r="H30" s="48"/>
      <c r="I30" s="82"/>
      <c r="J30" s="48"/>
      <c r="K30" s="21"/>
      <c r="L30" s="83"/>
      <c r="M30" s="21"/>
      <c r="N30" s="48"/>
      <c r="O30" s="21"/>
      <c r="P30" s="48"/>
      <c r="Q30" s="21"/>
      <c r="R30" s="48"/>
      <c r="S30" s="21"/>
      <c r="T30" s="21"/>
      <c r="U30" s="21"/>
      <c r="V30" s="48"/>
      <c r="W30" s="48">
        <f t="shared" si="0"/>
        <v>0</v>
      </c>
      <c r="X30" s="21">
        <f t="shared" si="1"/>
        <v>0</v>
      </c>
      <c r="Y30" s="25" t="e">
        <f>Shares!#REF!</f>
        <v>#REF!</v>
      </c>
      <c r="Z30" s="26" t="e">
        <f t="shared" si="2"/>
        <v>#REF!</v>
      </c>
    </row>
    <row r="31" spans="1:26" ht="17" x14ac:dyDescent="0.45">
      <c r="A31" s="20">
        <v>28</v>
      </c>
      <c r="B31" s="53" t="s">
        <v>53</v>
      </c>
      <c r="C31" s="82"/>
      <c r="D31" s="22"/>
      <c r="E31" s="82"/>
      <c r="F31" s="21"/>
      <c r="G31" s="82"/>
      <c r="H31" s="48"/>
      <c r="I31" s="82"/>
      <c r="J31" s="48"/>
      <c r="K31" s="21"/>
      <c r="L31" s="83"/>
      <c r="M31" s="21"/>
      <c r="N31" s="48"/>
      <c r="O31" s="21"/>
      <c r="P31" s="48"/>
      <c r="Q31" s="21"/>
      <c r="R31" s="48"/>
      <c r="S31" s="21"/>
      <c r="T31" s="21"/>
      <c r="U31" s="21"/>
      <c r="V31" s="48"/>
      <c r="W31" s="48">
        <f t="shared" si="0"/>
        <v>0</v>
      </c>
      <c r="X31" s="21">
        <f t="shared" si="1"/>
        <v>0</v>
      </c>
      <c r="Y31" s="25" t="e">
        <f>Shares!#REF!</f>
        <v>#REF!</v>
      </c>
      <c r="Z31" s="26" t="e">
        <f t="shared" si="2"/>
        <v>#REF!</v>
      </c>
    </row>
    <row r="32" spans="1:26" ht="17" x14ac:dyDescent="0.45">
      <c r="A32" s="20">
        <v>29</v>
      </c>
      <c r="B32" s="53" t="s">
        <v>56</v>
      </c>
      <c r="C32" s="82"/>
      <c r="D32" s="22"/>
      <c r="E32" s="82"/>
      <c r="F32" s="21"/>
      <c r="G32" s="82"/>
      <c r="H32" s="48"/>
      <c r="I32" s="82"/>
      <c r="J32" s="48"/>
      <c r="K32" s="21"/>
      <c r="L32" s="83"/>
      <c r="M32" s="21"/>
      <c r="N32" s="48"/>
      <c r="O32" s="21"/>
      <c r="P32" s="48"/>
      <c r="Q32" s="21"/>
      <c r="R32" s="48"/>
      <c r="S32" s="21"/>
      <c r="T32" s="21"/>
      <c r="U32" s="21"/>
      <c r="V32" s="48"/>
      <c r="W32" s="48">
        <f t="shared" si="0"/>
        <v>0</v>
      </c>
      <c r="X32" s="21">
        <f t="shared" si="1"/>
        <v>0</v>
      </c>
      <c r="Y32" s="25" t="e">
        <f>Shares!#REF!</f>
        <v>#REF!</v>
      </c>
      <c r="Z32" s="26" t="e">
        <f t="shared" si="2"/>
        <v>#REF!</v>
      </c>
    </row>
    <row r="33" spans="1:26" ht="17" x14ac:dyDescent="0.45">
      <c r="A33" s="20">
        <v>30</v>
      </c>
      <c r="B33" s="53" t="s">
        <v>19</v>
      </c>
      <c r="C33" s="82"/>
      <c r="D33" s="22"/>
      <c r="E33" s="82"/>
      <c r="F33" s="21"/>
      <c r="G33" s="82"/>
      <c r="H33" s="48"/>
      <c r="I33" s="82"/>
      <c r="J33" s="48"/>
      <c r="K33" s="21"/>
      <c r="L33" s="83"/>
      <c r="M33" s="21"/>
      <c r="N33" s="48"/>
      <c r="O33" s="21"/>
      <c r="P33" s="48"/>
      <c r="Q33" s="21"/>
      <c r="R33" s="48"/>
      <c r="S33" s="21"/>
      <c r="T33" s="21"/>
      <c r="U33" s="21"/>
      <c r="V33" s="48"/>
      <c r="W33" s="48">
        <f t="shared" si="0"/>
        <v>0</v>
      </c>
      <c r="X33" s="21">
        <f t="shared" si="1"/>
        <v>0</v>
      </c>
      <c r="Y33" s="25" t="e">
        <f>Shares!#REF!</f>
        <v>#REF!</v>
      </c>
      <c r="Z33" s="26" t="e">
        <f t="shared" si="2"/>
        <v>#REF!</v>
      </c>
    </row>
    <row r="34" spans="1:26" ht="17" x14ac:dyDescent="0.45">
      <c r="A34" s="28"/>
      <c r="B34" s="29" t="s">
        <v>14</v>
      </c>
      <c r="C34" s="58">
        <f t="shared" ref="C34:J34" si="3">SUM(C4:C33)</f>
        <v>57600</v>
      </c>
      <c r="D34" s="30">
        <f t="shared" si="3"/>
        <v>0</v>
      </c>
      <c r="E34" s="58">
        <f t="shared" si="3"/>
        <v>17000</v>
      </c>
      <c r="F34" s="30">
        <f t="shared" si="3"/>
        <v>15500</v>
      </c>
      <c r="G34" s="58">
        <f t="shared" si="3"/>
        <v>0</v>
      </c>
      <c r="H34" s="30">
        <f t="shared" si="3"/>
        <v>0</v>
      </c>
      <c r="I34" s="58">
        <f t="shared" si="3"/>
        <v>0</v>
      </c>
      <c r="J34" s="30">
        <f t="shared" si="3"/>
        <v>0</v>
      </c>
      <c r="K34" s="28">
        <f>SUM(K4:K24)</f>
        <v>0</v>
      </c>
      <c r="L34" s="30">
        <f>SUM(L4:L33)</f>
        <v>0</v>
      </c>
      <c r="M34" s="28">
        <f>SUM(M4:M26)</f>
        <v>0</v>
      </c>
      <c r="N34" s="32">
        <f>SUM(N4:N26)</f>
        <v>0</v>
      </c>
      <c r="O34" s="31">
        <f>SUM(O4:O24)</f>
        <v>0</v>
      </c>
      <c r="P34" s="32">
        <f>SUM(P4:P26)</f>
        <v>0</v>
      </c>
      <c r="Q34" s="31">
        <f>SUM(Q4:Q24)</f>
        <v>0</v>
      </c>
      <c r="R34" s="32">
        <f>SUM(R4:R26)</f>
        <v>0</v>
      </c>
      <c r="S34" s="31">
        <f>SUM(S4:S26)</f>
        <v>0</v>
      </c>
      <c r="T34" s="32">
        <f>SUM(T4:T26)</f>
        <v>0</v>
      </c>
      <c r="U34" s="31">
        <f>SUM(U4:U24)</f>
        <v>0</v>
      </c>
      <c r="V34" s="31">
        <f>SUM(V4:V26)</f>
        <v>0</v>
      </c>
      <c r="W34" s="31"/>
      <c r="X34" s="31">
        <f>SUM(X4:X24)</f>
        <v>51100</v>
      </c>
      <c r="Y34" s="27" t="e">
        <f>SUM(Y4:Y33)</f>
        <v>#REF!</v>
      </c>
      <c r="Z34" s="22"/>
    </row>
    <row r="36" spans="1:26" x14ac:dyDescent="0.35">
      <c r="Y36" s="4"/>
    </row>
    <row r="38" spans="1:26" x14ac:dyDescent="0.35">
      <c r="E38" s="4"/>
    </row>
  </sheetData>
  <mergeCells count="10">
    <mergeCell ref="O2:P2"/>
    <mergeCell ref="Q2:R2"/>
    <mergeCell ref="S2:T2"/>
    <mergeCell ref="U2:V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9173-D9BF-4FFF-8705-8C583A546325}">
  <dimension ref="A1:U36"/>
  <sheetViews>
    <sheetView zoomScale="60" zoomScaleNormal="60" workbookViewId="0">
      <selection activeCell="J2" sqref="J2"/>
    </sheetView>
  </sheetViews>
  <sheetFormatPr defaultRowHeight="14.5" x14ac:dyDescent="0.35"/>
  <cols>
    <col min="1" max="1" width="10.81640625" bestFit="1" customWidth="1"/>
    <col min="5" max="5" width="15.453125" customWidth="1"/>
    <col min="6" max="6" width="24.81640625" bestFit="1" customWidth="1"/>
    <col min="7" max="7" width="13" bestFit="1" customWidth="1"/>
    <col min="8" max="8" width="12.1796875" customWidth="1"/>
    <col min="9" max="9" width="22.453125" customWidth="1"/>
    <col min="10" max="10" width="10.81640625" customWidth="1"/>
    <col min="11" max="11" width="11.453125" customWidth="1"/>
    <col min="12" max="12" width="10.1796875" customWidth="1"/>
    <col min="13" max="13" width="9.54296875" style="78" customWidth="1"/>
    <col min="14" max="15" width="10.453125" customWidth="1"/>
    <col min="16" max="16" width="10.7265625" customWidth="1"/>
    <col min="17" max="18" width="9.7265625" customWidth="1"/>
    <col min="19" max="19" width="10.7265625" customWidth="1"/>
    <col min="20" max="20" width="12.26953125" customWidth="1"/>
    <col min="21" max="21" width="16.54296875" customWidth="1"/>
  </cols>
  <sheetData>
    <row r="1" spans="1:21" ht="15.5" x14ac:dyDescent="0.35">
      <c r="I1" s="447" t="s">
        <v>199</v>
      </c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</row>
    <row r="2" spans="1:21" x14ac:dyDescent="0.35">
      <c r="I2" s="65" t="s">
        <v>200</v>
      </c>
      <c r="J2" s="65" t="s">
        <v>52</v>
      </c>
      <c r="K2" s="65" t="s">
        <v>48</v>
      </c>
      <c r="L2" s="65" t="s">
        <v>84</v>
      </c>
      <c r="M2" s="65" t="s">
        <v>56</v>
      </c>
      <c r="N2" s="65" t="s">
        <v>37</v>
      </c>
      <c r="O2" s="65" t="s">
        <v>139</v>
      </c>
      <c r="P2" s="65" t="s">
        <v>38</v>
      </c>
      <c r="Q2" s="65" t="s">
        <v>201</v>
      </c>
      <c r="R2" s="65" t="s">
        <v>21</v>
      </c>
      <c r="S2" s="65" t="s">
        <v>137</v>
      </c>
      <c r="T2" s="65" t="s">
        <v>71</v>
      </c>
      <c r="U2" s="66" t="s">
        <v>202</v>
      </c>
    </row>
    <row r="3" spans="1:21" x14ac:dyDescent="0.35">
      <c r="I3" s="67" t="s">
        <v>203</v>
      </c>
      <c r="J3" s="68">
        <v>7200</v>
      </c>
      <c r="K3" s="68">
        <v>20000</v>
      </c>
      <c r="L3" s="68">
        <v>25000</v>
      </c>
      <c r="M3" s="68">
        <v>3060</v>
      </c>
      <c r="N3" s="68">
        <v>4800</v>
      </c>
      <c r="O3" s="68">
        <v>5000</v>
      </c>
      <c r="P3" s="68">
        <v>2000</v>
      </c>
      <c r="Q3" s="68">
        <v>5000</v>
      </c>
      <c r="R3" s="68">
        <v>6000</v>
      </c>
      <c r="S3" s="68">
        <v>6000</v>
      </c>
      <c r="T3" s="68">
        <f t="shared" ref="T3:T34" si="0">SUM(J3:S3)</f>
        <v>84060</v>
      </c>
    </row>
    <row r="4" spans="1:21" s="47" customFormat="1" x14ac:dyDescent="0.35">
      <c r="B4" s="47" t="s">
        <v>204</v>
      </c>
      <c r="C4" s="47" t="s">
        <v>67</v>
      </c>
      <c r="D4" s="47" t="s">
        <v>205</v>
      </c>
      <c r="E4" s="47" t="s">
        <v>86</v>
      </c>
      <c r="I4" s="69" t="s">
        <v>73</v>
      </c>
      <c r="J4" s="70"/>
      <c r="K4" s="70"/>
      <c r="L4" s="70"/>
      <c r="M4" s="71"/>
      <c r="N4" s="70"/>
      <c r="O4" s="70"/>
      <c r="P4" s="70"/>
      <c r="Q4" s="70"/>
      <c r="R4" s="70"/>
      <c r="S4" s="70"/>
      <c r="T4" s="68">
        <f t="shared" si="0"/>
        <v>0</v>
      </c>
    </row>
    <row r="5" spans="1:21" ht="17" x14ac:dyDescent="0.35">
      <c r="A5" t="s">
        <v>206</v>
      </c>
      <c r="B5">
        <v>1000</v>
      </c>
      <c r="C5">
        <v>2530</v>
      </c>
      <c r="E5">
        <f>SUM(B5:D5)</f>
        <v>3530</v>
      </c>
      <c r="F5" s="52" t="s">
        <v>49</v>
      </c>
      <c r="G5" s="52">
        <f>B32</f>
        <v>200</v>
      </c>
      <c r="H5" s="52"/>
      <c r="I5" s="72" t="str">
        <f t="shared" ref="I5:I30" si="1">A5</f>
        <v xml:space="preserve">Michael </v>
      </c>
      <c r="J5" s="73"/>
      <c r="K5" s="73"/>
      <c r="L5" s="73">
        <v>3530</v>
      </c>
      <c r="M5" s="74"/>
      <c r="N5" s="11"/>
      <c r="O5" s="11"/>
      <c r="P5" s="11"/>
      <c r="Q5" s="11"/>
      <c r="R5" s="11"/>
      <c r="S5" s="11"/>
      <c r="T5" s="68">
        <f t="shared" si="0"/>
        <v>3530</v>
      </c>
      <c r="U5">
        <f t="shared" ref="U5:U30" si="2">E5-T5</f>
        <v>0</v>
      </c>
    </row>
    <row r="6" spans="1:21" ht="17" x14ac:dyDescent="0.35">
      <c r="A6" t="s">
        <v>149</v>
      </c>
      <c r="B6">
        <v>1000</v>
      </c>
      <c r="E6">
        <f t="shared" ref="E6:E34" si="3">SUM(B6:D6)</f>
        <v>1000</v>
      </c>
      <c r="F6" s="52" t="s">
        <v>51</v>
      </c>
      <c r="G6" s="52">
        <f>B29</f>
        <v>200</v>
      </c>
      <c r="H6" s="52"/>
      <c r="I6" s="72" t="str">
        <f t="shared" si="1"/>
        <v>Mwinga</v>
      </c>
      <c r="J6" s="75"/>
      <c r="K6" s="76">
        <v>1000</v>
      </c>
      <c r="L6" s="11"/>
      <c r="M6" s="74"/>
      <c r="N6" s="11"/>
      <c r="O6" s="11"/>
      <c r="P6" s="11"/>
      <c r="Q6" s="11"/>
      <c r="R6" s="11"/>
      <c r="S6" s="11"/>
      <c r="T6" s="68">
        <f t="shared" si="0"/>
        <v>1000</v>
      </c>
      <c r="U6">
        <f t="shared" si="2"/>
        <v>0</v>
      </c>
    </row>
    <row r="7" spans="1:21" ht="17" x14ac:dyDescent="0.35">
      <c r="A7" t="s">
        <v>57</v>
      </c>
      <c r="B7">
        <v>800</v>
      </c>
      <c r="E7">
        <f t="shared" si="3"/>
        <v>800</v>
      </c>
      <c r="F7" s="52" t="s">
        <v>52</v>
      </c>
      <c r="G7" s="52">
        <f>B17</f>
        <v>2400</v>
      </c>
      <c r="H7" s="52"/>
      <c r="I7" s="72" t="str">
        <f t="shared" si="1"/>
        <v>Mofya</v>
      </c>
      <c r="J7" s="73"/>
      <c r="K7" s="76">
        <v>800</v>
      </c>
      <c r="L7" s="11"/>
      <c r="M7" s="74"/>
      <c r="N7" s="11"/>
      <c r="O7" s="11"/>
      <c r="P7" s="11"/>
      <c r="Q7" s="11"/>
      <c r="R7" s="11"/>
      <c r="S7" s="11"/>
      <c r="T7" s="68">
        <f t="shared" si="0"/>
        <v>800</v>
      </c>
      <c r="U7">
        <f t="shared" si="2"/>
        <v>0</v>
      </c>
    </row>
    <row r="8" spans="1:21" ht="17" x14ac:dyDescent="0.35">
      <c r="A8" t="s">
        <v>55</v>
      </c>
      <c r="B8">
        <v>400</v>
      </c>
      <c r="C8">
        <v>1500</v>
      </c>
      <c r="E8">
        <f t="shared" si="3"/>
        <v>1900</v>
      </c>
      <c r="F8" s="52" t="s">
        <v>182</v>
      </c>
      <c r="G8" s="52">
        <f>B30</f>
        <v>600</v>
      </c>
      <c r="H8" s="52"/>
      <c r="I8" s="72" t="str">
        <f t="shared" si="1"/>
        <v>Kebby</v>
      </c>
      <c r="J8" s="75"/>
      <c r="K8" s="75">
        <v>1900</v>
      </c>
      <c r="L8" s="11"/>
      <c r="M8" s="74"/>
      <c r="N8" s="11"/>
      <c r="O8" s="11"/>
      <c r="P8" s="11"/>
      <c r="Q8" s="11"/>
      <c r="R8" s="11"/>
      <c r="S8" s="11"/>
      <c r="T8" s="68">
        <f t="shared" si="0"/>
        <v>1900</v>
      </c>
      <c r="U8">
        <f t="shared" si="2"/>
        <v>0</v>
      </c>
    </row>
    <row r="9" spans="1:21" ht="17" x14ac:dyDescent="0.35">
      <c r="A9" t="s">
        <v>32</v>
      </c>
      <c r="B9">
        <v>1000</v>
      </c>
      <c r="C9">
        <v>1000</v>
      </c>
      <c r="E9">
        <f t="shared" si="3"/>
        <v>2000</v>
      </c>
      <c r="F9" s="52" t="s">
        <v>25</v>
      </c>
      <c r="G9" s="52">
        <f>B6</f>
        <v>1000</v>
      </c>
      <c r="H9" s="52"/>
      <c r="I9" s="72" t="str">
        <f t="shared" si="1"/>
        <v>Mukuma</v>
      </c>
      <c r="J9" s="73"/>
      <c r="K9" s="73"/>
      <c r="L9" s="73">
        <v>2000</v>
      </c>
      <c r="M9" s="74"/>
      <c r="N9" s="11"/>
      <c r="O9" s="11"/>
      <c r="P9" s="11"/>
      <c r="Q9" s="11"/>
      <c r="R9" s="11"/>
      <c r="S9" s="11"/>
      <c r="T9" s="68">
        <f t="shared" si="0"/>
        <v>2000</v>
      </c>
      <c r="U9">
        <f t="shared" si="2"/>
        <v>0</v>
      </c>
    </row>
    <row r="10" spans="1:21" ht="17" x14ac:dyDescent="0.35">
      <c r="A10" t="s">
        <v>207</v>
      </c>
      <c r="B10">
        <v>200</v>
      </c>
      <c r="E10">
        <f t="shared" si="3"/>
        <v>200</v>
      </c>
      <c r="F10" s="52" t="s">
        <v>183</v>
      </c>
      <c r="G10" s="52">
        <f>B10</f>
        <v>200</v>
      </c>
      <c r="H10" s="52"/>
      <c r="I10" s="72" t="str">
        <f t="shared" si="1"/>
        <v>Khuch</v>
      </c>
      <c r="J10" s="75"/>
      <c r="K10" s="75"/>
      <c r="L10" s="75"/>
      <c r="M10" s="75"/>
      <c r="N10" s="75"/>
      <c r="O10" s="75"/>
      <c r="P10" s="75"/>
      <c r="Q10" s="75"/>
      <c r="R10" s="75"/>
      <c r="S10" s="75">
        <v>200</v>
      </c>
      <c r="T10" s="68">
        <f t="shared" si="0"/>
        <v>200</v>
      </c>
      <c r="U10">
        <f t="shared" si="2"/>
        <v>0</v>
      </c>
    </row>
    <row r="11" spans="1:21" ht="17" x14ac:dyDescent="0.35">
      <c r="A11" t="s">
        <v>60</v>
      </c>
      <c r="B11">
        <v>2000</v>
      </c>
      <c r="E11">
        <f t="shared" si="3"/>
        <v>2000</v>
      </c>
      <c r="F11" s="52" t="s">
        <v>131</v>
      </c>
      <c r="G11" s="52">
        <f>B26</f>
        <v>400</v>
      </c>
      <c r="H11" s="52"/>
      <c r="I11" s="72" t="str">
        <f t="shared" si="1"/>
        <v>Zeko</v>
      </c>
      <c r="J11" s="73"/>
      <c r="K11" s="73"/>
      <c r="L11" s="73"/>
      <c r="M11" s="73"/>
      <c r="N11" s="73"/>
      <c r="O11" s="73"/>
      <c r="P11" s="73"/>
      <c r="Q11" s="73"/>
      <c r="R11" s="73"/>
      <c r="S11" s="73">
        <v>2000</v>
      </c>
      <c r="T11" s="68">
        <f t="shared" si="0"/>
        <v>2000</v>
      </c>
      <c r="U11">
        <f t="shared" si="2"/>
        <v>0</v>
      </c>
    </row>
    <row r="12" spans="1:21" ht="17" x14ac:dyDescent="0.35">
      <c r="A12" t="s">
        <v>31</v>
      </c>
      <c r="B12">
        <v>1600</v>
      </c>
      <c r="C12">
        <v>3000</v>
      </c>
      <c r="E12">
        <f t="shared" si="3"/>
        <v>4600</v>
      </c>
      <c r="F12" s="52" t="s">
        <v>132</v>
      </c>
      <c r="G12" s="52">
        <f>B33</f>
        <v>400</v>
      </c>
      <c r="H12" s="52"/>
      <c r="I12" s="72" t="str">
        <f t="shared" si="1"/>
        <v>Millie</v>
      </c>
      <c r="J12" s="75"/>
      <c r="K12" s="76">
        <v>4600</v>
      </c>
      <c r="L12" s="11"/>
      <c r="M12" s="74"/>
      <c r="N12" s="11"/>
      <c r="O12" s="11"/>
      <c r="P12" s="11"/>
      <c r="Q12" s="11"/>
      <c r="R12" s="11"/>
      <c r="S12" s="11"/>
      <c r="T12" s="68">
        <f t="shared" si="0"/>
        <v>4600</v>
      </c>
      <c r="U12">
        <f t="shared" si="2"/>
        <v>0</v>
      </c>
    </row>
    <row r="13" spans="1:21" ht="17" x14ac:dyDescent="0.35">
      <c r="A13" t="s">
        <v>33</v>
      </c>
      <c r="B13">
        <v>2000</v>
      </c>
      <c r="E13">
        <f t="shared" si="3"/>
        <v>2000</v>
      </c>
      <c r="F13" s="52" t="s">
        <v>184</v>
      </c>
      <c r="G13" s="52">
        <f>B5</f>
        <v>1000</v>
      </c>
      <c r="H13" s="52"/>
      <c r="I13" s="72" t="str">
        <f t="shared" si="1"/>
        <v>Mumba</v>
      </c>
      <c r="J13" s="73"/>
      <c r="K13" s="73"/>
      <c r="L13" s="73">
        <v>2000</v>
      </c>
      <c r="M13" s="74"/>
      <c r="N13" s="11"/>
      <c r="O13" s="11"/>
      <c r="P13" s="11"/>
      <c r="Q13" s="11"/>
      <c r="R13" s="11"/>
      <c r="S13" s="11"/>
      <c r="T13" s="68">
        <f t="shared" si="0"/>
        <v>2000</v>
      </c>
      <c r="U13">
        <f t="shared" si="2"/>
        <v>0</v>
      </c>
    </row>
    <row r="14" spans="1:21" ht="17" x14ac:dyDescent="0.45">
      <c r="A14" t="s">
        <v>50</v>
      </c>
      <c r="B14">
        <v>400</v>
      </c>
      <c r="C14">
        <v>1650</v>
      </c>
      <c r="E14">
        <f t="shared" si="3"/>
        <v>2050</v>
      </c>
      <c r="F14" s="53" t="s">
        <v>186</v>
      </c>
      <c r="G14" s="53">
        <f>B20</f>
        <v>6000</v>
      </c>
      <c r="H14" s="53"/>
      <c r="I14" s="72" t="str">
        <f t="shared" si="1"/>
        <v>Davies</v>
      </c>
      <c r="J14" s="75"/>
      <c r="K14" s="75"/>
      <c r="L14" s="75">
        <v>2050</v>
      </c>
      <c r="M14" s="74"/>
      <c r="N14" s="11"/>
      <c r="O14" s="11"/>
      <c r="P14" s="11"/>
      <c r="Q14" s="11"/>
      <c r="R14" s="11"/>
      <c r="S14" s="11"/>
      <c r="T14" s="68">
        <f t="shared" si="0"/>
        <v>2050</v>
      </c>
      <c r="U14">
        <f t="shared" si="2"/>
        <v>0</v>
      </c>
    </row>
    <row r="15" spans="1:21" ht="17" x14ac:dyDescent="0.35">
      <c r="A15" t="s">
        <v>23</v>
      </c>
      <c r="B15">
        <v>600</v>
      </c>
      <c r="E15">
        <f t="shared" si="3"/>
        <v>600</v>
      </c>
      <c r="F15" s="52" t="s">
        <v>57</v>
      </c>
      <c r="G15" s="52">
        <f>B7</f>
        <v>800</v>
      </c>
      <c r="H15" s="52"/>
      <c r="I15" s="72" t="str">
        <f t="shared" si="1"/>
        <v>Joshua</v>
      </c>
      <c r="J15" s="73">
        <v>600</v>
      </c>
      <c r="K15" s="11"/>
      <c r="L15" s="11"/>
      <c r="M15" s="74"/>
      <c r="N15" s="11"/>
      <c r="O15" s="11"/>
      <c r="P15" s="11"/>
      <c r="Q15" s="11"/>
      <c r="R15" s="11"/>
      <c r="S15" s="11"/>
      <c r="T15" s="68">
        <f t="shared" si="0"/>
        <v>600</v>
      </c>
      <c r="U15">
        <f t="shared" si="2"/>
        <v>0</v>
      </c>
    </row>
    <row r="16" spans="1:21" ht="17" x14ac:dyDescent="0.35">
      <c r="A16" t="s">
        <v>37</v>
      </c>
      <c r="B16">
        <v>1000</v>
      </c>
      <c r="C16">
        <v>1980</v>
      </c>
      <c r="E16">
        <f t="shared" si="3"/>
        <v>2980</v>
      </c>
      <c r="F16" s="52" t="s">
        <v>187</v>
      </c>
      <c r="G16" s="52">
        <f>B28</f>
        <v>5200</v>
      </c>
      <c r="H16" s="52"/>
      <c r="I16" s="72" t="str">
        <f t="shared" si="1"/>
        <v>Schuller</v>
      </c>
      <c r="J16" s="75"/>
      <c r="K16" s="75"/>
      <c r="L16" s="75"/>
      <c r="M16" s="75"/>
      <c r="N16" s="75">
        <v>2980</v>
      </c>
      <c r="O16" s="11"/>
      <c r="P16" s="11"/>
      <c r="Q16" s="11"/>
      <c r="R16" s="11"/>
      <c r="S16" s="11"/>
      <c r="T16" s="68">
        <f t="shared" si="0"/>
        <v>2980</v>
      </c>
      <c r="U16">
        <f t="shared" si="2"/>
        <v>0</v>
      </c>
    </row>
    <row r="17" spans="1:21" ht="17" x14ac:dyDescent="0.35">
      <c r="A17" t="s">
        <v>52</v>
      </c>
      <c r="B17">
        <v>2400</v>
      </c>
      <c r="C17">
        <v>3300</v>
      </c>
      <c r="E17">
        <f t="shared" si="3"/>
        <v>5700</v>
      </c>
      <c r="F17" s="52" t="s">
        <v>188</v>
      </c>
      <c r="G17" s="52">
        <f>B23</f>
        <v>1000</v>
      </c>
      <c r="H17" s="52"/>
      <c r="I17" s="72" t="str">
        <f t="shared" si="1"/>
        <v>Gilbert</v>
      </c>
      <c r="J17" s="73">
        <v>5700</v>
      </c>
      <c r="K17" s="11"/>
      <c r="L17" s="11"/>
      <c r="M17" s="74"/>
      <c r="N17" s="11"/>
      <c r="O17" s="11"/>
      <c r="P17" s="11"/>
      <c r="Q17" s="11"/>
      <c r="R17" s="11"/>
      <c r="S17" s="11"/>
      <c r="T17" s="68">
        <f t="shared" si="0"/>
        <v>5700</v>
      </c>
      <c r="U17">
        <f t="shared" si="2"/>
        <v>0</v>
      </c>
    </row>
    <row r="18" spans="1:21" ht="17" x14ac:dyDescent="0.35">
      <c r="A18" t="s">
        <v>20</v>
      </c>
      <c r="B18">
        <v>400</v>
      </c>
      <c r="C18">
        <v>1100</v>
      </c>
      <c r="E18">
        <f t="shared" si="3"/>
        <v>1500</v>
      </c>
      <c r="F18" s="52" t="s">
        <v>191</v>
      </c>
      <c r="G18" s="52">
        <f>B27</f>
        <v>1000</v>
      </c>
      <c r="H18" s="52"/>
      <c r="I18" s="72" t="str">
        <f t="shared" si="1"/>
        <v>Arthur</v>
      </c>
      <c r="J18" s="75"/>
      <c r="K18" s="75"/>
      <c r="L18" s="75"/>
      <c r="M18" s="75"/>
      <c r="N18" s="75">
        <v>1500</v>
      </c>
      <c r="O18" s="11"/>
      <c r="P18" s="11"/>
      <c r="Q18" s="11"/>
      <c r="R18" s="11"/>
      <c r="S18" s="11"/>
      <c r="T18" s="68">
        <f t="shared" si="0"/>
        <v>1500</v>
      </c>
      <c r="U18">
        <f t="shared" si="2"/>
        <v>0</v>
      </c>
    </row>
    <row r="19" spans="1:21" ht="17" x14ac:dyDescent="0.35">
      <c r="A19" t="s">
        <v>84</v>
      </c>
      <c r="B19">
        <v>1000</v>
      </c>
      <c r="C19">
        <v>5500</v>
      </c>
      <c r="E19">
        <f t="shared" si="3"/>
        <v>6500</v>
      </c>
      <c r="F19" s="52" t="s">
        <v>192</v>
      </c>
      <c r="G19" s="52">
        <f>B11</f>
        <v>2000</v>
      </c>
      <c r="H19" s="52"/>
      <c r="I19" s="72" t="str">
        <f t="shared" si="1"/>
        <v>Abigail</v>
      </c>
      <c r="J19" s="73"/>
      <c r="K19" s="73"/>
      <c r="L19" s="73">
        <v>6500</v>
      </c>
      <c r="M19" s="74"/>
      <c r="N19" s="11"/>
      <c r="O19" s="11"/>
      <c r="P19" s="11"/>
      <c r="Q19" s="11"/>
      <c r="R19" s="11"/>
      <c r="S19" s="11"/>
      <c r="T19" s="68">
        <f t="shared" si="0"/>
        <v>6500</v>
      </c>
      <c r="U19">
        <f t="shared" si="2"/>
        <v>0</v>
      </c>
    </row>
    <row r="20" spans="1:21" ht="17" x14ac:dyDescent="0.35">
      <c r="A20" t="s">
        <v>48</v>
      </c>
      <c r="B20">
        <v>6000</v>
      </c>
      <c r="E20">
        <f t="shared" si="3"/>
        <v>6000</v>
      </c>
      <c r="F20" s="52" t="s">
        <v>190</v>
      </c>
      <c r="G20" s="52">
        <f>B34</f>
        <v>1000</v>
      </c>
      <c r="H20" s="52"/>
      <c r="I20" s="72" t="str">
        <f t="shared" si="1"/>
        <v>Mwenya</v>
      </c>
      <c r="J20" s="75"/>
      <c r="K20" s="76">
        <v>6000</v>
      </c>
      <c r="L20" s="11"/>
      <c r="M20" s="74"/>
      <c r="N20" s="11"/>
      <c r="O20" s="11"/>
      <c r="P20" s="11"/>
      <c r="Q20" s="11"/>
      <c r="R20" s="11"/>
      <c r="S20" s="11"/>
      <c r="T20" s="68">
        <f t="shared" si="0"/>
        <v>6000</v>
      </c>
      <c r="U20">
        <f t="shared" si="2"/>
        <v>0</v>
      </c>
    </row>
    <row r="21" spans="1:21" ht="17" x14ac:dyDescent="0.35">
      <c r="A21" t="s">
        <v>208</v>
      </c>
      <c r="B21">
        <v>2000</v>
      </c>
      <c r="E21">
        <f t="shared" si="3"/>
        <v>2000</v>
      </c>
      <c r="F21" s="52" t="s">
        <v>189</v>
      </c>
      <c r="G21" s="52">
        <f>B16</f>
        <v>1000</v>
      </c>
      <c r="H21" s="52"/>
      <c r="I21" s="72" t="str">
        <f t="shared" si="1"/>
        <v>Mr Chola</v>
      </c>
      <c r="J21" s="73"/>
      <c r="K21" s="73"/>
      <c r="L21" s="73">
        <v>2000</v>
      </c>
      <c r="M21" s="74"/>
      <c r="N21" s="11"/>
      <c r="O21" s="11"/>
      <c r="P21" s="11"/>
      <c r="Q21" s="11"/>
      <c r="R21" s="11"/>
      <c r="S21" s="11"/>
      <c r="T21" s="68">
        <f t="shared" si="0"/>
        <v>2000</v>
      </c>
      <c r="U21">
        <f t="shared" si="2"/>
        <v>0</v>
      </c>
    </row>
    <row r="22" spans="1:21" ht="17" x14ac:dyDescent="0.35">
      <c r="A22" t="s">
        <v>19</v>
      </c>
      <c r="B22">
        <v>2000</v>
      </c>
      <c r="E22">
        <f t="shared" si="3"/>
        <v>2000</v>
      </c>
      <c r="F22" s="52" t="s">
        <v>59</v>
      </c>
      <c r="G22" s="52">
        <f>B25</f>
        <v>7000</v>
      </c>
      <c r="H22" s="52"/>
      <c r="I22" s="72" t="str">
        <f t="shared" si="1"/>
        <v>Andrew</v>
      </c>
      <c r="J22" s="75"/>
      <c r="K22" s="76">
        <v>2000</v>
      </c>
      <c r="L22" s="11"/>
      <c r="M22" s="74"/>
      <c r="N22" s="11"/>
      <c r="O22" s="11"/>
      <c r="P22" s="11"/>
      <c r="Q22" s="11"/>
      <c r="R22" s="11"/>
      <c r="S22" s="11"/>
      <c r="T22" s="68">
        <f t="shared" si="0"/>
        <v>2000</v>
      </c>
      <c r="U22">
        <f t="shared" si="2"/>
        <v>0</v>
      </c>
    </row>
    <row r="23" spans="1:21" ht="17" x14ac:dyDescent="0.35">
      <c r="A23" t="s">
        <v>36</v>
      </c>
      <c r="B23">
        <v>1000</v>
      </c>
      <c r="E23">
        <f t="shared" si="3"/>
        <v>1000</v>
      </c>
      <c r="F23" s="52" t="s">
        <v>23</v>
      </c>
      <c r="G23" s="52">
        <f>B15</f>
        <v>600</v>
      </c>
      <c r="H23" s="52"/>
      <c r="I23" s="72" t="str">
        <f t="shared" si="1"/>
        <v>Pamela</v>
      </c>
      <c r="J23" s="73">
        <v>900</v>
      </c>
      <c r="K23" s="73"/>
      <c r="L23" s="73"/>
      <c r="M23" s="73">
        <v>100</v>
      </c>
      <c r="N23" s="11"/>
      <c r="O23" s="11"/>
      <c r="P23" s="11"/>
      <c r="Q23" s="11"/>
      <c r="R23" s="11"/>
      <c r="S23" s="11"/>
      <c r="T23" s="68">
        <f t="shared" si="0"/>
        <v>1000</v>
      </c>
      <c r="U23">
        <f t="shared" si="2"/>
        <v>0</v>
      </c>
    </row>
    <row r="24" spans="1:21" ht="17" x14ac:dyDescent="0.35">
      <c r="A24" t="s">
        <v>26</v>
      </c>
      <c r="B24">
        <v>200</v>
      </c>
      <c r="C24">
        <v>1760</v>
      </c>
      <c r="D24">
        <v>1540</v>
      </c>
      <c r="E24">
        <f t="shared" si="3"/>
        <v>3500</v>
      </c>
      <c r="F24" s="52" t="s">
        <v>26</v>
      </c>
      <c r="G24" s="52">
        <f>B24</f>
        <v>200</v>
      </c>
      <c r="H24" s="52"/>
      <c r="I24" s="72" t="str">
        <f t="shared" si="1"/>
        <v>Keji</v>
      </c>
      <c r="J24" s="75"/>
      <c r="K24" s="76">
        <v>3500</v>
      </c>
      <c r="L24" s="11"/>
      <c r="M24" s="74"/>
      <c r="N24" s="11"/>
      <c r="O24" s="11"/>
      <c r="P24" s="11"/>
      <c r="Q24" s="11"/>
      <c r="R24" s="11"/>
      <c r="S24" s="11"/>
      <c r="T24" s="68">
        <f t="shared" si="0"/>
        <v>3500</v>
      </c>
      <c r="U24">
        <f t="shared" si="2"/>
        <v>0</v>
      </c>
    </row>
    <row r="25" spans="1:21" ht="17" x14ac:dyDescent="0.45">
      <c r="A25" t="s">
        <v>59</v>
      </c>
      <c r="B25">
        <v>7000</v>
      </c>
      <c r="E25">
        <f t="shared" si="3"/>
        <v>7000</v>
      </c>
      <c r="F25" s="53" t="s">
        <v>31</v>
      </c>
      <c r="G25" s="53">
        <f>B12</f>
        <v>1600</v>
      </c>
      <c r="H25" s="53"/>
      <c r="I25" s="72" t="str">
        <f t="shared" si="1"/>
        <v>Paul</v>
      </c>
      <c r="J25" s="73"/>
      <c r="K25" s="73"/>
      <c r="L25" s="73"/>
      <c r="M25" s="73"/>
      <c r="N25" s="73"/>
      <c r="O25" s="73"/>
      <c r="P25" s="73"/>
      <c r="Q25" s="73">
        <v>5000</v>
      </c>
      <c r="R25" s="73"/>
      <c r="S25" s="73">
        <v>2000</v>
      </c>
      <c r="T25" s="68">
        <f t="shared" si="0"/>
        <v>7000</v>
      </c>
      <c r="U25">
        <f t="shared" si="2"/>
        <v>0</v>
      </c>
    </row>
    <row r="26" spans="1:21" ht="17" x14ac:dyDescent="0.45">
      <c r="A26" t="s">
        <v>29</v>
      </c>
      <c r="B26">
        <v>400</v>
      </c>
      <c r="C26">
        <v>3800</v>
      </c>
      <c r="E26">
        <f t="shared" si="3"/>
        <v>4200</v>
      </c>
      <c r="F26" s="53" t="s">
        <v>185</v>
      </c>
      <c r="G26" s="53">
        <f>B9</f>
        <v>1000</v>
      </c>
      <c r="H26" s="53"/>
      <c r="I26" s="72" t="str">
        <f t="shared" si="1"/>
        <v>Kwibisa</v>
      </c>
      <c r="J26" s="75"/>
      <c r="K26" s="75"/>
      <c r="L26" s="75"/>
      <c r="M26" s="75">
        <v>80</v>
      </c>
      <c r="N26" s="75">
        <v>320</v>
      </c>
      <c r="O26" s="75">
        <v>3800</v>
      </c>
      <c r="P26" s="11"/>
      <c r="Q26" s="11"/>
      <c r="R26" s="11"/>
      <c r="S26" s="11"/>
      <c r="T26" s="68">
        <f t="shared" si="0"/>
        <v>4200</v>
      </c>
      <c r="U26">
        <f t="shared" si="2"/>
        <v>0</v>
      </c>
    </row>
    <row r="27" spans="1:21" ht="17" x14ac:dyDescent="0.45">
      <c r="A27" t="s">
        <v>39</v>
      </c>
      <c r="B27">
        <v>1000</v>
      </c>
      <c r="C27">
        <v>4000</v>
      </c>
      <c r="E27">
        <f t="shared" si="3"/>
        <v>5000</v>
      </c>
      <c r="F27" s="53" t="s">
        <v>55</v>
      </c>
      <c r="G27" s="53">
        <f>B8</f>
        <v>400</v>
      </c>
      <c r="H27" s="53"/>
      <c r="I27" s="72" t="str">
        <f t="shared" si="1"/>
        <v>Solomon</v>
      </c>
      <c r="J27" s="73"/>
      <c r="K27" s="73"/>
      <c r="L27" s="73">
        <v>5000</v>
      </c>
      <c r="M27" s="74"/>
      <c r="N27" s="11"/>
      <c r="O27" s="11"/>
      <c r="P27" s="11"/>
      <c r="Q27" s="11"/>
      <c r="R27" s="11"/>
      <c r="S27" s="11"/>
      <c r="T27" s="68">
        <f t="shared" si="0"/>
        <v>5000</v>
      </c>
      <c r="U27">
        <f t="shared" si="2"/>
        <v>0</v>
      </c>
    </row>
    <row r="28" spans="1:21" ht="17" x14ac:dyDescent="0.45">
      <c r="A28" t="s">
        <v>35</v>
      </c>
      <c r="B28">
        <v>5200</v>
      </c>
      <c r="E28">
        <f t="shared" si="3"/>
        <v>5200</v>
      </c>
      <c r="F28" s="53" t="s">
        <v>18</v>
      </c>
      <c r="G28" s="53">
        <f>B19</f>
        <v>1000</v>
      </c>
      <c r="H28" s="53"/>
      <c r="I28" s="72" t="str">
        <f t="shared" si="1"/>
        <v>Nyanyiwe</v>
      </c>
      <c r="J28" s="75"/>
      <c r="K28" s="76">
        <v>200</v>
      </c>
      <c r="L28" s="11"/>
      <c r="M28" s="74"/>
      <c r="N28" s="11"/>
      <c r="O28" s="11"/>
      <c r="P28" s="11"/>
      <c r="Q28" s="11"/>
      <c r="R28" s="11">
        <v>5000</v>
      </c>
      <c r="S28" s="11"/>
      <c r="T28" s="68">
        <f t="shared" si="0"/>
        <v>5200</v>
      </c>
      <c r="U28">
        <f t="shared" si="2"/>
        <v>0</v>
      </c>
    </row>
    <row r="29" spans="1:21" ht="17" x14ac:dyDescent="0.45">
      <c r="A29" t="s">
        <v>21</v>
      </c>
      <c r="B29">
        <v>200</v>
      </c>
      <c r="C29">
        <v>2000</v>
      </c>
      <c r="E29">
        <f t="shared" si="3"/>
        <v>2200</v>
      </c>
      <c r="F29" s="53" t="s">
        <v>50</v>
      </c>
      <c r="G29" s="53">
        <f>B14</f>
        <v>400</v>
      </c>
      <c r="H29" s="53"/>
      <c r="I29" s="72" t="str">
        <f t="shared" si="1"/>
        <v>Evans</v>
      </c>
      <c r="J29" s="73"/>
      <c r="K29" s="73"/>
      <c r="L29" s="73"/>
      <c r="M29" s="73">
        <v>1000</v>
      </c>
      <c r="N29" s="73"/>
      <c r="O29" s="73"/>
      <c r="P29" s="73"/>
      <c r="Q29" s="73"/>
      <c r="R29" s="73">
        <v>1000</v>
      </c>
      <c r="S29" s="73">
        <v>200</v>
      </c>
      <c r="T29" s="68">
        <f t="shared" si="0"/>
        <v>2200</v>
      </c>
      <c r="U29">
        <f t="shared" si="2"/>
        <v>0</v>
      </c>
    </row>
    <row r="30" spans="1:21" ht="17" x14ac:dyDescent="0.45">
      <c r="A30" t="s">
        <v>137</v>
      </c>
      <c r="B30">
        <v>600</v>
      </c>
      <c r="C30">
        <v>1000</v>
      </c>
      <c r="E30">
        <f t="shared" si="3"/>
        <v>1600</v>
      </c>
      <c r="F30" s="53" t="s">
        <v>20</v>
      </c>
      <c r="G30" s="53">
        <f>B18</f>
        <v>400</v>
      </c>
      <c r="H30" s="53"/>
      <c r="I30" s="72" t="str">
        <f t="shared" si="1"/>
        <v>Kamps</v>
      </c>
      <c r="J30" s="75"/>
      <c r="K30" s="75"/>
      <c r="L30" s="75"/>
      <c r="M30" s="75"/>
      <c r="N30" s="75"/>
      <c r="O30" s="75"/>
      <c r="P30" s="75"/>
      <c r="Q30" s="75"/>
      <c r="R30" s="75"/>
      <c r="S30" s="75">
        <v>1600</v>
      </c>
      <c r="T30" s="68">
        <f t="shared" si="0"/>
        <v>1600</v>
      </c>
      <c r="U30">
        <f t="shared" si="2"/>
        <v>0</v>
      </c>
    </row>
    <row r="31" spans="1:21" ht="17" x14ac:dyDescent="0.45">
      <c r="A31" t="s">
        <v>56</v>
      </c>
      <c r="B31">
        <v>1000</v>
      </c>
      <c r="E31">
        <f t="shared" si="3"/>
        <v>1000</v>
      </c>
      <c r="F31" s="53" t="s">
        <v>33</v>
      </c>
      <c r="G31" s="53">
        <f>B13</f>
        <v>2000</v>
      </c>
      <c r="H31" s="53"/>
      <c r="I31" s="72" t="str">
        <f>A31</f>
        <v>Mike</v>
      </c>
      <c r="J31" s="73"/>
      <c r="K31" s="73"/>
      <c r="L31" s="73"/>
      <c r="M31" s="73">
        <v>1000</v>
      </c>
      <c r="N31" s="11"/>
      <c r="O31" s="11"/>
      <c r="P31" s="11"/>
      <c r="Q31" s="11"/>
      <c r="R31" s="11"/>
      <c r="S31" s="11"/>
      <c r="T31" s="68">
        <f t="shared" si="0"/>
        <v>1000</v>
      </c>
      <c r="U31">
        <f>E31-T31</f>
        <v>0</v>
      </c>
    </row>
    <row r="32" spans="1:21" ht="17" x14ac:dyDescent="0.45">
      <c r="A32" t="s">
        <v>139</v>
      </c>
      <c r="B32">
        <v>200</v>
      </c>
      <c r="C32">
        <v>1000</v>
      </c>
      <c r="E32">
        <f t="shared" si="3"/>
        <v>1200</v>
      </c>
      <c r="F32" s="53" t="s">
        <v>53</v>
      </c>
      <c r="G32" s="53">
        <f>B21</f>
        <v>2000</v>
      </c>
      <c r="H32" s="53"/>
      <c r="I32" s="72" t="str">
        <f>A32</f>
        <v>Benson</v>
      </c>
      <c r="J32" s="75"/>
      <c r="K32" s="75"/>
      <c r="L32" s="75"/>
      <c r="M32" s="75"/>
      <c r="N32" s="75"/>
      <c r="O32" s="75">
        <v>1200</v>
      </c>
      <c r="P32" s="11"/>
      <c r="Q32" s="11"/>
      <c r="R32" s="11"/>
      <c r="S32" s="11"/>
      <c r="T32" s="68">
        <f t="shared" si="0"/>
        <v>1200</v>
      </c>
      <c r="U32">
        <f>E32-T32</f>
        <v>0</v>
      </c>
    </row>
    <row r="33" spans="1:21" ht="17" x14ac:dyDescent="0.45">
      <c r="A33" t="s">
        <v>132</v>
      </c>
      <c r="B33">
        <v>400</v>
      </c>
      <c r="C33">
        <v>1400</v>
      </c>
      <c r="D33">
        <v>1000</v>
      </c>
      <c r="E33">
        <f t="shared" si="3"/>
        <v>2800</v>
      </c>
      <c r="F33" s="53" t="s">
        <v>56</v>
      </c>
      <c r="G33" s="53">
        <f>B31</f>
        <v>1000</v>
      </c>
      <c r="H33" s="53"/>
      <c r="I33" s="72" t="str">
        <f>A33</f>
        <v>Richard</v>
      </c>
      <c r="J33" s="73"/>
      <c r="K33" s="73"/>
      <c r="L33" s="73">
        <v>1920</v>
      </c>
      <c r="M33" s="73">
        <v>880</v>
      </c>
      <c r="N33" s="11"/>
      <c r="O33" s="11"/>
      <c r="P33" s="11"/>
      <c r="Q33" s="11"/>
      <c r="R33" s="11"/>
      <c r="S33" s="11"/>
      <c r="T33" s="68">
        <f t="shared" si="0"/>
        <v>2800</v>
      </c>
      <c r="U33">
        <f>E33-T33</f>
        <v>0</v>
      </c>
    </row>
    <row r="34" spans="1:21" ht="17" x14ac:dyDescent="0.45">
      <c r="A34" t="s">
        <v>38</v>
      </c>
      <c r="B34">
        <v>1000</v>
      </c>
      <c r="C34">
        <v>1000</v>
      </c>
      <c r="E34">
        <f t="shared" si="3"/>
        <v>2000</v>
      </c>
      <c r="F34" s="53" t="s">
        <v>19</v>
      </c>
      <c r="G34" s="53">
        <f>B22</f>
        <v>2000</v>
      </c>
      <c r="H34" s="53"/>
      <c r="I34" s="72" t="str">
        <f>A34</f>
        <v>Shubart</v>
      </c>
      <c r="J34" s="75"/>
      <c r="K34" s="75"/>
      <c r="L34" s="75"/>
      <c r="M34" s="75"/>
      <c r="N34" s="75"/>
      <c r="O34" s="75"/>
      <c r="P34" s="75">
        <v>2000</v>
      </c>
      <c r="Q34" s="11"/>
      <c r="R34" s="11"/>
      <c r="S34" s="11"/>
      <c r="T34" s="68">
        <f t="shared" si="0"/>
        <v>2000</v>
      </c>
      <c r="U34">
        <f>E34-T34</f>
        <v>0</v>
      </c>
    </row>
    <row r="35" spans="1:21" s="47" customFormat="1" ht="18.5" x14ac:dyDescent="0.45">
      <c r="A35" s="47" t="s">
        <v>71</v>
      </c>
      <c r="B35" s="47">
        <f>SUM(B5:B34)</f>
        <v>44000</v>
      </c>
      <c r="C35" s="47">
        <f>SUM(C5:C34)</f>
        <v>37520</v>
      </c>
      <c r="D35" s="47">
        <f>SUM(D5:D34)</f>
        <v>2540</v>
      </c>
      <c r="E35" s="77">
        <f>SUM(E5:E34)</f>
        <v>84060</v>
      </c>
      <c r="G35" s="47">
        <f>SUM(G5:G34)</f>
        <v>44000</v>
      </c>
      <c r="I35" s="70" t="s">
        <v>71</v>
      </c>
      <c r="J35" s="70">
        <f>SUM(J5:J34)</f>
        <v>7200</v>
      </c>
      <c r="K35" s="70">
        <f t="shared" ref="K35:T35" si="4">SUM(K5:K34)</f>
        <v>20000</v>
      </c>
      <c r="L35" s="70">
        <f t="shared" si="4"/>
        <v>25000</v>
      </c>
      <c r="M35" s="71">
        <f t="shared" si="4"/>
        <v>3060</v>
      </c>
      <c r="N35" s="70">
        <f t="shared" si="4"/>
        <v>4800</v>
      </c>
      <c r="O35" s="70">
        <f t="shared" si="4"/>
        <v>5000</v>
      </c>
      <c r="P35" s="70">
        <f t="shared" si="4"/>
        <v>2000</v>
      </c>
      <c r="Q35" s="70">
        <f t="shared" si="4"/>
        <v>5000</v>
      </c>
      <c r="R35" s="70">
        <f t="shared" si="4"/>
        <v>6000</v>
      </c>
      <c r="S35" s="70">
        <f t="shared" si="4"/>
        <v>6000</v>
      </c>
      <c r="T35" s="70">
        <f t="shared" si="4"/>
        <v>84060</v>
      </c>
      <c r="U35">
        <f>E35-T35</f>
        <v>0</v>
      </c>
    </row>
    <row r="36" spans="1:21" x14ac:dyDescent="0.35">
      <c r="I36" s="11"/>
      <c r="J36" s="11">
        <f t="shared" ref="J36:T36" si="5">J3-J35</f>
        <v>0</v>
      </c>
      <c r="K36" s="11">
        <f t="shared" si="5"/>
        <v>0</v>
      </c>
      <c r="L36" s="11">
        <f t="shared" si="5"/>
        <v>0</v>
      </c>
      <c r="M36" s="11">
        <f t="shared" si="5"/>
        <v>0</v>
      </c>
      <c r="N36" s="11">
        <f t="shared" si="5"/>
        <v>0</v>
      </c>
      <c r="O36" s="11">
        <f t="shared" si="5"/>
        <v>0</v>
      </c>
      <c r="P36" s="11">
        <f t="shared" si="5"/>
        <v>0</v>
      </c>
      <c r="Q36" s="11">
        <f t="shared" si="5"/>
        <v>0</v>
      </c>
      <c r="R36" s="11">
        <f t="shared" si="5"/>
        <v>0</v>
      </c>
      <c r="S36" s="11">
        <f t="shared" si="5"/>
        <v>0</v>
      </c>
      <c r="T36" s="11">
        <f t="shared" si="5"/>
        <v>0</v>
      </c>
    </row>
  </sheetData>
  <mergeCells count="1">
    <mergeCell ref="I1:T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5586E00125E744A62B84A7FE179D65" ma:contentTypeVersion="16" ma:contentTypeDescription="Create a new document." ma:contentTypeScope="" ma:versionID="33d5a610cded9f5f60e7c55373c7c6e6">
  <xsd:schema xmlns:xsd="http://www.w3.org/2001/XMLSchema" xmlns:xs="http://www.w3.org/2001/XMLSchema" xmlns:p="http://schemas.microsoft.com/office/2006/metadata/properties" xmlns:ns3="076c6b7c-f24b-4a12-9196-2c6a7f9b82e7" xmlns:ns4="c6448c28-9a4c-4b2f-9a61-daf60261c112" targetNamespace="http://schemas.microsoft.com/office/2006/metadata/properties" ma:root="true" ma:fieldsID="303ec2f599f889effbf5ba7670c2d17f" ns3:_="" ns4:_="">
    <xsd:import namespace="076c6b7c-f24b-4a12-9196-2c6a7f9b82e7"/>
    <xsd:import namespace="c6448c28-9a4c-4b2f-9a61-daf60261c1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c6b7c-f24b-4a12-9196-2c6a7f9b8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48c28-9a4c-4b2f-9a61-daf60261c1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6c6b7c-f24b-4a12-9196-2c6a7f9b82e7" xsi:nil="true"/>
  </documentManagement>
</p:properties>
</file>

<file path=customXml/itemProps1.xml><?xml version="1.0" encoding="utf-8"?>
<ds:datastoreItem xmlns:ds="http://schemas.openxmlformats.org/officeDocument/2006/customXml" ds:itemID="{7F005A78-085D-454A-A233-5E88C0183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6c6b7c-f24b-4a12-9196-2c6a7f9b82e7"/>
    <ds:schemaRef ds:uri="c6448c28-9a4c-4b2f-9a61-daf60261c1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F9E5B-0394-4DAE-82AF-E11F412AFD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07773A-BAE4-4BCE-A7C9-161DF01B26A3}">
  <ds:schemaRefs>
    <ds:schemaRef ds:uri="http://schemas.microsoft.com/office/infopath/2007/PartnerControls"/>
    <ds:schemaRef ds:uri="http://purl.org/dc/terms/"/>
    <ds:schemaRef ds:uri="http://purl.org/dc/dcmitype/"/>
    <ds:schemaRef ds:uri="c6448c28-9a4c-4b2f-9a61-daf60261c112"/>
    <ds:schemaRef ds:uri="076c6b7c-f24b-4a12-9196-2c6a7f9b82e7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17</vt:i4>
      </vt:variant>
    </vt:vector>
  </HeadingPairs>
  <TitlesOfParts>
    <vt:vector size="30" baseType="lpstr">
      <vt:lpstr>Shares</vt:lpstr>
      <vt:lpstr>final</vt:lpstr>
      <vt:lpstr>Calculations</vt:lpstr>
      <vt:lpstr>Admins</vt:lpstr>
      <vt:lpstr>New Repayment Schedule</vt:lpstr>
      <vt:lpstr>Repayment Schedule</vt:lpstr>
      <vt:lpstr>Loan Applicants</vt:lpstr>
      <vt:lpstr>REDLIST ALERT</vt:lpstr>
      <vt:lpstr>Shareout</vt:lpstr>
      <vt:lpstr>LOAN BALANCE</vt:lpstr>
      <vt:lpstr>Penalties</vt:lpstr>
      <vt:lpstr>Summary</vt:lpstr>
      <vt:lpstr>Sheet1</vt:lpstr>
      <vt:lpstr>Excessinfracash2023</vt:lpstr>
      <vt:lpstr>FLAUGUST2024</vt:lpstr>
      <vt:lpstr>Summary!INFINVEST</vt:lpstr>
      <vt:lpstr>INFINVEST</vt:lpstr>
      <vt:lpstr>infracashexcess2024</vt:lpstr>
      <vt:lpstr>INFRACASHshares2025</vt:lpstr>
      <vt:lpstr>INFRCASHTOTALSHARE2023</vt:lpstr>
      <vt:lpstr>'New Repayment Schedule'!INFSHARES</vt:lpstr>
      <vt:lpstr>Summary!INFSHARES</vt:lpstr>
      <vt:lpstr>INFSHARES</vt:lpstr>
      <vt:lpstr>'New Repayment Schedule'!INFTOTAL</vt:lpstr>
      <vt:lpstr>Summary!INFTOTAL</vt:lpstr>
      <vt:lpstr>INFTOTAL</vt:lpstr>
      <vt:lpstr>loan</vt:lpstr>
      <vt:lpstr>Summary!TotalFL</vt:lpstr>
      <vt:lpstr>TotalFL</vt:lpstr>
      <vt:lpstr>TOTALLOAN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Inventor</dc:creator>
  <cp:keywords/>
  <dc:description/>
  <cp:lastModifiedBy>Evans Ngeki: ZCCM-IH [ICT Technician]</cp:lastModifiedBy>
  <cp:revision/>
  <dcterms:created xsi:type="dcterms:W3CDTF">2019-07-29T13:04:49Z</dcterms:created>
  <dcterms:modified xsi:type="dcterms:W3CDTF">2025-10-24T09:42:49Z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NoClassification</vt:lpwstr>
  </property>
  <property fmtid="{D5CDD505-2E9C-101B-9397-08002B2CF9AE}" pid="3" name="ClassificationDisplay">
    <vt:lpwstr>[No Classification] </vt:lpwstr>
  </property>
  <property fmtid="{D5CDD505-2E9C-101B-9397-08002B2CF9AE}" pid="4" name="Verifier">
    <vt:lpwstr>IyCHJSc6Ni2APpMzOzkqPA==</vt:lpwstr>
  </property>
  <property fmtid="{D5CDD505-2E9C-101B-9397-08002B2CF9AE}" pid="5" name="PolicyName">
    <vt:lpwstr>IyBkiiooNjePMZkxLiQsPTo=</vt:lpwstr>
  </property>
  <property fmtid="{D5CDD505-2E9C-101B-9397-08002B2CF9AE}" pid="6" name="PolicyID">
    <vt:lpwstr/>
  </property>
  <property fmtid="{D5CDD505-2E9C-101B-9397-08002B2CF9AE}" pid="7" name="DomainID">
    <vt:lpwstr/>
  </property>
  <property fmtid="{D5CDD505-2E9C-101B-9397-08002B2CF9AE}" pid="8" name="HText">
    <vt:lpwstr/>
  </property>
  <property fmtid="{D5CDD505-2E9C-101B-9397-08002B2CF9AE}" pid="9" name="FText">
    <vt:lpwstr/>
  </property>
  <property fmtid="{D5CDD505-2E9C-101B-9397-08002B2CF9AE}" pid="10" name="WMark">
    <vt:lpwstr/>
  </property>
  <property fmtid="{D5CDD505-2E9C-101B-9397-08002B2CF9AE}" pid="11" name="Set">
    <vt:lpwstr>Ky4oOiM=</vt:lpwstr>
  </property>
  <property fmtid="{D5CDD505-2E9C-101B-9397-08002B2CF9AE}" pid="12" name="Version">
    <vt:lpwstr>Xw==</vt:lpwstr>
  </property>
  <property fmtid="{D5CDD505-2E9C-101B-9397-08002B2CF9AE}" pid="13" name="MSIP_Label_0d9f6cf9-1a99-41df-b09a-02be8db057dc_Enabled">
    <vt:lpwstr>true</vt:lpwstr>
  </property>
  <property fmtid="{D5CDD505-2E9C-101B-9397-08002B2CF9AE}" pid="14" name="MSIP_Label_0d9f6cf9-1a99-41df-b09a-02be8db057dc_SetDate">
    <vt:lpwstr>2024-07-18T19:45:29Z</vt:lpwstr>
  </property>
  <property fmtid="{D5CDD505-2E9C-101B-9397-08002B2CF9AE}" pid="15" name="MSIP_Label_0d9f6cf9-1a99-41df-b09a-02be8db057dc_Method">
    <vt:lpwstr>Privileged</vt:lpwstr>
  </property>
  <property fmtid="{D5CDD505-2E9C-101B-9397-08002B2CF9AE}" pid="16" name="MSIP_Label_0d9f6cf9-1a99-41df-b09a-02be8db057dc_Name">
    <vt:lpwstr>Public</vt:lpwstr>
  </property>
  <property fmtid="{D5CDD505-2E9C-101B-9397-08002B2CF9AE}" pid="17" name="MSIP_Label_0d9f6cf9-1a99-41df-b09a-02be8db057dc_SiteId">
    <vt:lpwstr>01698aa7-3e26-4bb8-bd62-adae6854271e</vt:lpwstr>
  </property>
  <property fmtid="{D5CDD505-2E9C-101B-9397-08002B2CF9AE}" pid="18" name="MSIP_Label_0d9f6cf9-1a99-41df-b09a-02be8db057dc_ActionId">
    <vt:lpwstr>3b33d963-ec47-4785-b2d3-9b6e1f2bf5fa</vt:lpwstr>
  </property>
  <property fmtid="{D5CDD505-2E9C-101B-9397-08002B2CF9AE}" pid="19" name="MSIP_Label_0d9f6cf9-1a99-41df-b09a-02be8db057dc_ContentBits">
    <vt:lpwstr>0</vt:lpwstr>
  </property>
  <property fmtid="{D5CDD505-2E9C-101B-9397-08002B2CF9AE}" pid="20" name="ContentTypeId">
    <vt:lpwstr>0x010100E45586E00125E744A62B84A7FE179D65</vt:lpwstr>
  </property>
</Properties>
</file>